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C1Qs+00LkR+17dQPOq2hD0XKQzVOAhLMXyxkwrMjlx8="/>
    </ext>
  </extLst>
</workbook>
</file>

<file path=xl/sharedStrings.xml><?xml version="1.0" encoding="utf-8"?>
<sst xmlns="http://schemas.openxmlformats.org/spreadsheetml/2006/main" count="4431" uniqueCount="344">
  <si>
    <t>ExpDate</t>
  </si>
  <si>
    <t>ExpNum</t>
  </si>
  <si>
    <t>Replicate</t>
  </si>
  <si>
    <t>ImageName</t>
  </si>
  <si>
    <t>Age</t>
  </si>
  <si>
    <t>Genotype</t>
  </si>
  <si>
    <t>Eye</t>
  </si>
  <si>
    <t>Quadrant</t>
  </si>
  <si>
    <t>Layer</t>
  </si>
  <si>
    <t>Magnification</t>
  </si>
  <si>
    <t>Mouse ID</t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</si>
  <si>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</si>
  <si>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</si>
  <si>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</si>
  <si>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</si>
  <si>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</si>
  <si>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</si>
  <si>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</si>
  <si>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</si>
  <si>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</si>
  <si>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</si>
  <si>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</si>
  <si>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</si>
  <si>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</si>
  <si>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</si>
  <si>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</si>
  <si>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</si>
  <si>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</si>
  <si>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</si>
  <si>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</si>
  <si>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</si>
  <si>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</si>
  <si>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</si>
  <si>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</si>
  <si>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</si>
  <si>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</si>
  <si>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</si>
  <si>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</si>
  <si>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</si>
  <si>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</si>
  <si>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</si>
  <si>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</si>
  <si>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</si>
  <si>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</si>
  <si>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</si>
  <si>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ManualLengthAve</t>
  </si>
  <si>
    <t>ManualLengthNonZeroAve</t>
  </si>
  <si>
    <t>230731_002</t>
  </si>
  <si>
    <t>WT</t>
  </si>
  <si>
    <t>left</t>
  </si>
  <si>
    <t>ventral</t>
  </si>
  <si>
    <t>Superficial</t>
  </si>
  <si>
    <t>20x</t>
  </si>
  <si>
    <t>P1</t>
  </si>
  <si>
    <t>230731_003</t>
  </si>
  <si>
    <t>230731_004</t>
  </si>
  <si>
    <t>B2</t>
  </si>
  <si>
    <t>P2</t>
  </si>
  <si>
    <t>230901_002</t>
  </si>
  <si>
    <t>P3</t>
  </si>
  <si>
    <t>230901_003</t>
  </si>
  <si>
    <t>nasal</t>
  </si>
  <si>
    <t>230901_004</t>
  </si>
  <si>
    <t>temporal</t>
  </si>
  <si>
    <t>230901_005</t>
  </si>
  <si>
    <t>dorsal</t>
  </si>
  <si>
    <t>230906_002</t>
  </si>
  <si>
    <t>right</t>
  </si>
  <si>
    <t>230906_003</t>
  </si>
  <si>
    <t>231027_001</t>
  </si>
  <si>
    <t>P4</t>
  </si>
  <si>
    <t>231027_002</t>
  </si>
  <si>
    <t>231027_003</t>
  </si>
  <si>
    <t>231027_004</t>
  </si>
  <si>
    <t>231027_005</t>
  </si>
  <si>
    <t>231101_002</t>
  </si>
  <si>
    <t>P5</t>
  </si>
  <si>
    <t>231101_003</t>
  </si>
  <si>
    <t>231101_004</t>
  </si>
  <si>
    <t>231013_001</t>
  </si>
  <si>
    <t>231013_002</t>
  </si>
  <si>
    <t>231013_003</t>
  </si>
  <si>
    <t>231013_004</t>
  </si>
  <si>
    <t>n/a</t>
  </si>
  <si>
    <t>231109_002</t>
  </si>
  <si>
    <t>Right</t>
  </si>
  <si>
    <t>231109_003</t>
  </si>
  <si>
    <t>231109_004</t>
  </si>
  <si>
    <t>231109_006</t>
  </si>
  <si>
    <t>Left</t>
  </si>
  <si>
    <t>231109_007</t>
  </si>
  <si>
    <t>230907_002</t>
  </si>
  <si>
    <t>230907_003</t>
  </si>
  <si>
    <t>230907_004</t>
  </si>
  <si>
    <t>230907_005</t>
  </si>
  <si>
    <t>230908_002</t>
  </si>
  <si>
    <t>230908_003</t>
  </si>
  <si>
    <t>230908_004</t>
  </si>
  <si>
    <t>231101_005</t>
  </si>
  <si>
    <t>231101_006</t>
  </si>
  <si>
    <t>231101_007</t>
  </si>
  <si>
    <t>231101_008</t>
  </si>
  <si>
    <t>231116_002</t>
  </si>
  <si>
    <t>231116_003</t>
  </si>
  <si>
    <t>231116_004</t>
  </si>
  <si>
    <t>231116_006</t>
  </si>
  <si>
    <t>231116_007</t>
  </si>
  <si>
    <t>231116_008</t>
  </si>
  <si>
    <t>231124_002</t>
  </si>
  <si>
    <t>231124_003</t>
  </si>
  <si>
    <t>231124_005</t>
  </si>
  <si>
    <t>231124_006</t>
  </si>
  <si>
    <t>231124_007</t>
  </si>
  <si>
    <t>231219_002</t>
  </si>
  <si>
    <t>231219_003</t>
  </si>
  <si>
    <t>231219_004</t>
  </si>
  <si>
    <t>231219_005</t>
  </si>
  <si>
    <t>231219_007</t>
  </si>
  <si>
    <t>P6</t>
  </si>
  <si>
    <t>231219_008</t>
  </si>
  <si>
    <t>231219_009</t>
  </si>
  <si>
    <t>231220_002</t>
  </si>
  <si>
    <t>231220_003</t>
  </si>
  <si>
    <t>231220_004</t>
  </si>
  <si>
    <t>231220_006</t>
  </si>
  <si>
    <t>P7</t>
  </si>
  <si>
    <t>231220_007</t>
  </si>
  <si>
    <t>231220_008</t>
  </si>
  <si>
    <t>231220_009</t>
  </si>
  <si>
    <t>231220_011</t>
  </si>
  <si>
    <t>231220_012</t>
  </si>
  <si>
    <t>231220_013</t>
  </si>
  <si>
    <t>240103_002</t>
  </si>
  <si>
    <t>P8</t>
  </si>
  <si>
    <t>240103_003</t>
  </si>
  <si>
    <t>240103_004</t>
  </si>
  <si>
    <t>RIGHT</t>
  </si>
  <si>
    <t>240103_005</t>
  </si>
  <si>
    <t>240103_007</t>
  </si>
  <si>
    <t>240103_008</t>
  </si>
  <si>
    <t>240104_002</t>
  </si>
  <si>
    <t>P9</t>
  </si>
  <si>
    <t>240104_003</t>
  </si>
  <si>
    <t>240104_004</t>
  </si>
  <si>
    <t>240117_002</t>
  </si>
  <si>
    <t>240117_003</t>
  </si>
  <si>
    <t>Deep</t>
  </si>
  <si>
    <t>230801_002</t>
  </si>
  <si>
    <t>230801_003</t>
  </si>
  <si>
    <t>230801_004</t>
  </si>
  <si>
    <t>230802_001</t>
  </si>
  <si>
    <t>230802_004</t>
  </si>
  <si>
    <t>240418_002</t>
  </si>
  <si>
    <t>240418_003</t>
  </si>
  <si>
    <t>240418_004</t>
  </si>
  <si>
    <t>240418_005</t>
  </si>
  <si>
    <t>240419_002</t>
  </si>
  <si>
    <t>240419_003</t>
  </si>
  <si>
    <t>240419_004</t>
  </si>
  <si>
    <t>240419_005</t>
  </si>
  <si>
    <t>240419_007</t>
  </si>
  <si>
    <t>240419_008</t>
  </si>
  <si>
    <t>240515_002</t>
  </si>
  <si>
    <t>240515_003</t>
  </si>
  <si>
    <t>240515_004</t>
  </si>
  <si>
    <t>240515_005</t>
  </si>
  <si>
    <t>240515_007</t>
  </si>
  <si>
    <t>240515_008</t>
  </si>
  <si>
    <t>240515_009</t>
  </si>
  <si>
    <t>230830_002</t>
  </si>
  <si>
    <t>230830_003</t>
  </si>
  <si>
    <t>230830_004</t>
  </si>
  <si>
    <t>230830_005</t>
  </si>
  <si>
    <t>230831_001</t>
  </si>
  <si>
    <t>230831_002</t>
  </si>
  <si>
    <t>230831_004</t>
  </si>
  <si>
    <t>231104_002</t>
  </si>
  <si>
    <t>231104_003</t>
  </si>
  <si>
    <t>231104_004</t>
  </si>
  <si>
    <t>231108_002</t>
  </si>
  <si>
    <t>231108_003</t>
  </si>
  <si>
    <t>231108_004</t>
  </si>
  <si>
    <t>231108_005</t>
  </si>
  <si>
    <t>231108_007</t>
  </si>
  <si>
    <t>231108_008</t>
  </si>
  <si>
    <t>Intermediate</t>
  </si>
  <si>
    <t>240830_002</t>
  </si>
  <si>
    <t>240830_003</t>
  </si>
  <si>
    <t>240830_004</t>
  </si>
  <si>
    <t>240830_005</t>
  </si>
  <si>
    <t>240902_002</t>
  </si>
  <si>
    <t>240902_003</t>
  </si>
  <si>
    <t>240902_004</t>
  </si>
  <si>
    <t>240903_001</t>
  </si>
  <si>
    <t>240903_003</t>
  </si>
  <si>
    <t>240903_004</t>
  </si>
  <si>
    <t>240903_005</t>
  </si>
  <si>
    <t>240903_006</t>
  </si>
  <si>
    <t>240904_002</t>
  </si>
  <si>
    <t>240904_003</t>
  </si>
  <si>
    <t>240904_004</t>
  </si>
  <si>
    <t>240904_005</t>
  </si>
  <si>
    <t>230913_002</t>
  </si>
  <si>
    <t>230913_003</t>
  </si>
  <si>
    <t>230913_004</t>
  </si>
  <si>
    <t>230914_002</t>
  </si>
  <si>
    <t>230914_003</t>
  </si>
  <si>
    <t>230914_004</t>
  </si>
  <si>
    <t>230915_002</t>
  </si>
  <si>
    <t>230915_003</t>
  </si>
  <si>
    <t>230915_004</t>
  </si>
  <si>
    <t>230915_005</t>
  </si>
  <si>
    <t>230915_007</t>
  </si>
  <si>
    <t>230915_008</t>
  </si>
  <si>
    <t>231103_002</t>
  </si>
  <si>
    <t>231103_003</t>
  </si>
  <si>
    <t>231103_004</t>
  </si>
  <si>
    <t>231103_006</t>
  </si>
  <si>
    <t>231103_007</t>
  </si>
  <si>
    <t>231103_008</t>
  </si>
  <si>
    <t>231103_009</t>
  </si>
  <si>
    <t>231128_002</t>
  </si>
  <si>
    <t>231128_003</t>
  </si>
  <si>
    <t>231128_004</t>
  </si>
  <si>
    <t>231128_006</t>
  </si>
  <si>
    <t>231128_007</t>
  </si>
  <si>
    <t>231128_008</t>
  </si>
  <si>
    <t>240115_002</t>
  </si>
  <si>
    <t>240115_003</t>
  </si>
  <si>
    <t>240115_004</t>
  </si>
  <si>
    <t>240115_005</t>
  </si>
  <si>
    <t>240115_007</t>
  </si>
  <si>
    <t>240115_008</t>
  </si>
  <si>
    <t>240115_009</t>
  </si>
  <si>
    <t>240115_010</t>
  </si>
  <si>
    <t>240119_002</t>
  </si>
  <si>
    <t>240119_003</t>
  </si>
  <si>
    <t>240119_004</t>
  </si>
  <si>
    <t>240119_005</t>
  </si>
  <si>
    <t>231110_002</t>
  </si>
  <si>
    <t>231110_003</t>
  </si>
  <si>
    <t>231110_004</t>
  </si>
  <si>
    <t>231110_006</t>
  </si>
  <si>
    <t>231110_007</t>
  </si>
  <si>
    <t>231110_008</t>
  </si>
  <si>
    <t>231115_002</t>
  </si>
  <si>
    <t>231115_003</t>
  </si>
  <si>
    <t>231115_004</t>
  </si>
  <si>
    <t>231115_005</t>
  </si>
  <si>
    <t>231115_007</t>
  </si>
  <si>
    <t>231115_008</t>
  </si>
  <si>
    <t>231115_009</t>
  </si>
  <si>
    <t>231124_009</t>
  </si>
  <si>
    <t>231124_010</t>
  </si>
  <si>
    <t>240301_002</t>
  </si>
  <si>
    <t>240301_003</t>
  </si>
  <si>
    <t>240301_004</t>
  </si>
  <si>
    <t>240313_002</t>
  </si>
  <si>
    <t>240313_003</t>
  </si>
  <si>
    <t>240313_004</t>
  </si>
  <si>
    <t>240313_005</t>
  </si>
  <si>
    <t>240319_002</t>
  </si>
  <si>
    <t>240319_003</t>
  </si>
  <si>
    <t>240319_004</t>
  </si>
  <si>
    <t>240319_005</t>
  </si>
  <si>
    <t>240320_002</t>
  </si>
  <si>
    <t>240320_003</t>
  </si>
  <si>
    <t>240320_004</t>
  </si>
  <si>
    <t>240320_005</t>
  </si>
  <si>
    <t>240320_007</t>
  </si>
  <si>
    <t>240320_008</t>
  </si>
  <si>
    <t>240320_009</t>
  </si>
  <si>
    <t>240320_010</t>
  </si>
  <si>
    <t>240403_002</t>
  </si>
  <si>
    <t>240403_003</t>
  </si>
  <si>
    <t>240403_004</t>
  </si>
  <si>
    <t>240404_002</t>
  </si>
  <si>
    <t>240404_003</t>
  </si>
  <si>
    <t>240425_007</t>
  </si>
  <si>
    <t>240425_009</t>
  </si>
  <si>
    <t>240216_002</t>
  </si>
  <si>
    <t>240216_003</t>
  </si>
  <si>
    <t>240216_004</t>
  </si>
  <si>
    <t>240216_005</t>
  </si>
  <si>
    <t>240216_007</t>
  </si>
  <si>
    <t>240216_008</t>
  </si>
  <si>
    <t>240221_002</t>
  </si>
  <si>
    <t>240221_003</t>
  </si>
  <si>
    <t>240221_004</t>
  </si>
  <si>
    <t>240221_005</t>
  </si>
  <si>
    <t>240221_007</t>
  </si>
  <si>
    <t>240221_008</t>
  </si>
  <si>
    <t>240221_009</t>
  </si>
  <si>
    <t>240124_003</t>
  </si>
  <si>
    <t>240124_004</t>
  </si>
  <si>
    <t>240125_001</t>
  </si>
  <si>
    <t>240125_002</t>
  </si>
  <si>
    <t>240205_002</t>
  </si>
  <si>
    <t>240205_003</t>
  </si>
  <si>
    <t>240205_004</t>
  </si>
  <si>
    <t>240205_005</t>
  </si>
  <si>
    <t>240207_002</t>
  </si>
  <si>
    <t>240207_003</t>
  </si>
  <si>
    <t>240207_004</t>
  </si>
  <si>
    <t>240207_005</t>
  </si>
  <si>
    <t>240425_002</t>
  </si>
  <si>
    <t>240425_003</t>
  </si>
  <si>
    <t>240425_004</t>
  </si>
  <si>
    <t>240425_005</t>
  </si>
  <si>
    <t>240515_011</t>
  </si>
  <si>
    <t>240515_012</t>
  </si>
  <si>
    <t>240515_013</t>
  </si>
  <si>
    <t>240515_014</t>
  </si>
  <si>
    <t>240701_002</t>
  </si>
  <si>
    <t>240701_003</t>
  </si>
  <si>
    <t>240701_004</t>
  </si>
  <si>
    <t>240705_001</t>
  </si>
  <si>
    <t>240723_002</t>
  </si>
  <si>
    <t>240723_003</t>
  </si>
  <si>
    <t>240723_004</t>
  </si>
  <si>
    <t>240723_005</t>
  </si>
  <si>
    <t>AnalyzedArea</t>
  </si>
  <si>
    <t>NbExtrem</t>
  </si>
  <si>
    <t>NbNodes</t>
  </si>
  <si>
    <t>NbJunctions</t>
  </si>
  <si>
    <t>NbMjunction</t>
  </si>
  <si>
    <t>NbMsegments</t>
  </si>
  <si>
    <t>TotMsegmentsLength</t>
  </si>
  <si>
    <t>NbMeshes</t>
  </si>
  <si>
    <t>TotMeshesArea</t>
  </si>
  <si>
    <t>NbPeaces</t>
  </si>
  <si>
    <t>NbSegments</t>
  </si>
  <si>
    <t>NbBranches</t>
  </si>
  <si>
    <t>NbIsolSeg</t>
  </si>
  <si>
    <t>TotLength</t>
  </si>
  <si>
    <t>TotBranchingLength</t>
  </si>
  <si>
    <t>TotSegmentsLength</t>
  </si>
  <si>
    <t>TotBranchesLength</t>
  </si>
  <si>
    <t>TotIsolBranchesLength</t>
  </si>
  <si>
    <t>BranchingInterval</t>
  </si>
  <si>
    <t>MeshIndex</t>
  </si>
  <si>
    <t>MeanMeshSize</t>
  </si>
  <si>
    <t>Path</t>
  </si>
  <si>
    <t>threshold 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</si>
</sst>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"/>
    <numFmt numFmtId="165" formatCode="0.000000000000"/>
  </numFmts>
  <fonts count="7">
    <font>
      <sz val="10.0"/>
      <color rgb="FF000000"/>
      <name val="Arial"/>
      <scheme val="minor"/>
    </font>
    <font>
      <sz val="12.0"/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sz val="12.0"/>
      <color rgb="FF0000FF"/>
      <name val="Calibri"/>
    </font>
    <font>
      <color theme="1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164" xfId="0" applyAlignment="1" applyFont="1" applyNumberFormat="1">
      <alignment shrinkToFit="0" vertical="bottom" wrapText="0"/>
    </xf>
    <xf borderId="0" fillId="3" fontId="2" numFmtId="164" xfId="0" applyAlignment="1" applyFill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0" fontId="5" numFmtId="0" xfId="0" applyFont="1"/>
    <xf borderId="0" fillId="0" fontId="5" numFmtId="164" xfId="0" applyFont="1" applyNumberFormat="1"/>
    <xf borderId="0" fillId="3" fontId="5" numFmtId="164" xfId="0" applyFont="1" applyNumberFormat="1"/>
    <xf borderId="0" fillId="0" fontId="5" numFmtId="1" xfId="0" applyFont="1" applyNumberFormat="1"/>
    <xf borderId="0" fillId="0" fontId="5" numFmtId="165" xfId="0" applyFont="1" applyNumberFormat="1"/>
    <xf borderId="0" fillId="0" fontId="4" numFmtId="0" xfId="0" applyAlignment="1" applyFont="1">
      <alignment vertical="bottom"/>
    </xf>
    <xf borderId="0" fillId="5" fontId="5" numFmtId="164" xfId="0" applyFill="1" applyFont="1" applyNumberFormat="1"/>
    <xf borderId="0" fillId="0" fontId="2" numFmtId="164" xfId="0" applyAlignment="1" applyFont="1" applyNumberFormat="1">
      <alignment horizontal="right" shrinkToFit="0" vertical="bottom" wrapText="0"/>
    </xf>
    <xf borderId="0" fillId="5" fontId="2" numFmtId="164" xfId="0" applyAlignment="1" applyFont="1" applyNumberFormat="1">
      <alignment horizontal="right" shrinkToFit="0" vertical="bottom" wrapText="0"/>
    </xf>
    <xf borderId="0" fillId="3" fontId="2" numFmtId="164" xfId="0" applyAlignment="1" applyFont="1" applyNumberFormat="1">
      <alignment horizontal="right" shrinkToFit="0" vertical="bottom" wrapText="0"/>
    </xf>
    <xf borderId="0" fillId="6" fontId="2" numFmtId="164" xfId="0" applyAlignment="1" applyFill="1" applyFont="1" applyNumberFormat="1">
      <alignment horizontal="right" shrinkToFit="0" vertical="bottom" wrapText="0"/>
    </xf>
    <xf borderId="0" fillId="0" fontId="1" numFmtId="0" xfId="0" applyFont="1"/>
    <xf borderId="0" fillId="6" fontId="5" numFmtId="164" xfId="0" applyFont="1" applyNumberFormat="1"/>
    <xf borderId="1" fillId="2" fontId="1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6" max="46" width="24.5"/>
    <col customWidth="1" min="47" max="47" width="28.88"/>
    <col customWidth="1" min="48" max="48" width="15.25"/>
    <col customWidth="1" min="49" max="49" width="22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5"/>
      <c r="AW1" s="5"/>
      <c r="AX1" s="6"/>
    </row>
    <row r="2" ht="15.75" customHeight="1">
      <c r="A2" s="7">
        <v>230731.0</v>
      </c>
      <c r="B2" s="7">
        <v>51.0</v>
      </c>
      <c r="C2" s="7">
        <v>1.0</v>
      </c>
      <c r="D2" s="8" t="s">
        <v>47</v>
      </c>
      <c r="E2" s="7">
        <v>5.0</v>
      </c>
      <c r="F2" s="9" t="s">
        <v>48</v>
      </c>
      <c r="G2" s="10" t="s">
        <v>49</v>
      </c>
      <c r="H2" s="10" t="s">
        <v>50</v>
      </c>
      <c r="I2" s="9" t="s">
        <v>51</v>
      </c>
      <c r="J2" s="9" t="s">
        <v>52</v>
      </c>
      <c r="K2" s="11" t="s">
        <v>53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3"/>
      <c r="AQ2" s="13"/>
      <c r="AR2" s="13"/>
      <c r="AS2" s="13"/>
      <c r="AT2" s="12"/>
      <c r="AU2" s="12"/>
      <c r="AV2" s="14"/>
      <c r="AW2" s="15"/>
      <c r="AX2" s="15"/>
    </row>
    <row r="3" ht="15.75" customHeight="1">
      <c r="A3" s="7">
        <v>230731.0</v>
      </c>
      <c r="B3" s="7">
        <v>51.0</v>
      </c>
      <c r="C3" s="7">
        <v>1.0</v>
      </c>
      <c r="D3" s="8" t="s">
        <v>54</v>
      </c>
      <c r="E3" s="7">
        <v>5.0</v>
      </c>
      <c r="F3" s="9" t="s">
        <v>48</v>
      </c>
      <c r="G3" s="10" t="s">
        <v>49</v>
      </c>
      <c r="H3" s="10" t="s">
        <v>50</v>
      </c>
      <c r="I3" s="9" t="s">
        <v>51</v>
      </c>
      <c r="J3" s="9" t="s">
        <v>52</v>
      </c>
      <c r="K3" s="11" t="s">
        <v>53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3"/>
      <c r="AQ3" s="13"/>
      <c r="AR3" s="13"/>
      <c r="AS3" s="13"/>
      <c r="AT3" s="12"/>
      <c r="AU3" s="12"/>
      <c r="AV3" s="14"/>
      <c r="AW3" s="15"/>
      <c r="AX3" s="15"/>
    </row>
    <row r="4" ht="15.75" customHeight="1">
      <c r="A4" s="7">
        <v>230731.0</v>
      </c>
      <c r="B4" s="7">
        <v>51.0</v>
      </c>
      <c r="C4" s="7">
        <v>1.0</v>
      </c>
      <c r="D4" s="8" t="s">
        <v>55</v>
      </c>
      <c r="E4" s="7">
        <v>5.0</v>
      </c>
      <c r="F4" s="8" t="s">
        <v>56</v>
      </c>
      <c r="G4" s="16" t="s">
        <v>49</v>
      </c>
      <c r="H4" s="16" t="s">
        <v>50</v>
      </c>
      <c r="I4" s="8" t="s">
        <v>51</v>
      </c>
      <c r="J4" s="8" t="s">
        <v>52</v>
      </c>
      <c r="K4" s="11" t="s">
        <v>57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3"/>
      <c r="AQ4" s="13"/>
      <c r="AR4" s="13"/>
      <c r="AS4" s="13"/>
      <c r="AT4" s="12"/>
      <c r="AU4" s="12"/>
      <c r="AV4" s="14"/>
      <c r="AW4" s="15"/>
      <c r="AX4" s="15"/>
    </row>
    <row r="5" ht="15.75" customHeight="1">
      <c r="A5" s="7">
        <v>230901.0</v>
      </c>
      <c r="B5" s="7">
        <v>56.0</v>
      </c>
      <c r="C5" s="7">
        <v>2.0</v>
      </c>
      <c r="D5" s="8" t="s">
        <v>58</v>
      </c>
      <c r="E5" s="7">
        <v>5.0</v>
      </c>
      <c r="F5" s="8" t="s">
        <v>56</v>
      </c>
      <c r="G5" s="8" t="s">
        <v>49</v>
      </c>
      <c r="H5" s="8" t="s">
        <v>50</v>
      </c>
      <c r="I5" s="8" t="s">
        <v>51</v>
      </c>
      <c r="J5" s="8" t="s">
        <v>52</v>
      </c>
      <c r="K5" s="11" t="s">
        <v>59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3"/>
      <c r="AQ5" s="13"/>
      <c r="AR5" s="13"/>
      <c r="AS5" s="13"/>
      <c r="AT5" s="12"/>
      <c r="AU5" s="12"/>
      <c r="AV5" s="14"/>
      <c r="AW5" s="15"/>
      <c r="AX5" s="15"/>
    </row>
    <row r="6" ht="15.75" customHeight="1">
      <c r="A6" s="7">
        <v>230901.0</v>
      </c>
      <c r="B6" s="7">
        <v>56.0</v>
      </c>
      <c r="C6" s="7">
        <v>2.0</v>
      </c>
      <c r="D6" s="8" t="s">
        <v>60</v>
      </c>
      <c r="E6" s="7">
        <v>5.0</v>
      </c>
      <c r="F6" s="8" t="s">
        <v>56</v>
      </c>
      <c r="G6" s="8" t="s">
        <v>49</v>
      </c>
      <c r="H6" s="8" t="s">
        <v>61</v>
      </c>
      <c r="I6" s="8" t="s">
        <v>51</v>
      </c>
      <c r="J6" s="8" t="s">
        <v>52</v>
      </c>
      <c r="K6" s="11" t="s">
        <v>59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3"/>
      <c r="AQ6" s="13"/>
      <c r="AR6" s="13"/>
      <c r="AS6" s="13"/>
      <c r="AT6" s="12"/>
      <c r="AU6" s="12"/>
      <c r="AV6" s="14"/>
      <c r="AW6" s="15"/>
      <c r="AX6" s="15"/>
    </row>
    <row r="7" ht="15.75" customHeight="1">
      <c r="A7" s="7">
        <v>230901.0</v>
      </c>
      <c r="B7" s="7">
        <v>56.0</v>
      </c>
      <c r="C7" s="7">
        <v>2.0</v>
      </c>
      <c r="D7" s="8" t="s">
        <v>62</v>
      </c>
      <c r="E7" s="7">
        <v>5.0</v>
      </c>
      <c r="F7" s="8" t="s">
        <v>56</v>
      </c>
      <c r="G7" s="8" t="s">
        <v>49</v>
      </c>
      <c r="H7" s="8" t="s">
        <v>63</v>
      </c>
      <c r="I7" s="8" t="s">
        <v>51</v>
      </c>
      <c r="J7" s="8" t="s">
        <v>52</v>
      </c>
      <c r="K7" s="11" t="s">
        <v>59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3"/>
      <c r="AQ7" s="13"/>
      <c r="AR7" s="13"/>
      <c r="AS7" s="13"/>
      <c r="AT7" s="12"/>
      <c r="AU7" s="12"/>
      <c r="AV7" s="14"/>
      <c r="AW7" s="15"/>
      <c r="AX7" s="15"/>
    </row>
    <row r="8" ht="15.75" customHeight="1">
      <c r="A8" s="7">
        <v>230901.0</v>
      </c>
      <c r="B8" s="7">
        <v>56.0</v>
      </c>
      <c r="C8" s="7">
        <v>2.0</v>
      </c>
      <c r="D8" s="8" t="s">
        <v>64</v>
      </c>
      <c r="E8" s="7">
        <v>5.0</v>
      </c>
      <c r="F8" s="8" t="s">
        <v>56</v>
      </c>
      <c r="G8" s="8" t="s">
        <v>49</v>
      </c>
      <c r="H8" s="8" t="s">
        <v>65</v>
      </c>
      <c r="I8" s="8" t="s">
        <v>51</v>
      </c>
      <c r="J8" s="8" t="s">
        <v>52</v>
      </c>
      <c r="K8" s="11" t="s">
        <v>59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3"/>
      <c r="AQ8" s="13"/>
      <c r="AR8" s="13"/>
      <c r="AS8" s="13"/>
      <c r="AT8" s="12"/>
      <c r="AU8" s="12"/>
      <c r="AV8" s="14"/>
      <c r="AW8" s="15"/>
      <c r="AX8" s="15"/>
    </row>
    <row r="9" ht="15.75" customHeight="1">
      <c r="A9" s="7">
        <v>230906.0</v>
      </c>
      <c r="B9" s="7">
        <v>56.0</v>
      </c>
      <c r="C9" s="7">
        <v>2.0</v>
      </c>
      <c r="D9" s="8" t="s">
        <v>66</v>
      </c>
      <c r="E9" s="7">
        <v>5.0</v>
      </c>
      <c r="F9" s="8" t="s">
        <v>56</v>
      </c>
      <c r="G9" s="8" t="s">
        <v>67</v>
      </c>
      <c r="H9" s="8" t="s">
        <v>65</v>
      </c>
      <c r="I9" s="8" t="s">
        <v>51</v>
      </c>
      <c r="J9" s="8" t="s">
        <v>52</v>
      </c>
      <c r="K9" s="11" t="s">
        <v>59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3"/>
      <c r="AQ9" s="13"/>
      <c r="AR9" s="13"/>
      <c r="AS9" s="13"/>
      <c r="AT9" s="12"/>
      <c r="AU9" s="12"/>
      <c r="AV9" s="14"/>
      <c r="AW9" s="15"/>
      <c r="AX9" s="15"/>
    </row>
    <row r="10" ht="15.75" customHeight="1">
      <c r="A10" s="7">
        <v>230906.0</v>
      </c>
      <c r="B10" s="7">
        <v>56.0</v>
      </c>
      <c r="C10" s="7">
        <v>2.0</v>
      </c>
      <c r="D10" s="8" t="s">
        <v>68</v>
      </c>
      <c r="E10" s="7">
        <v>5.0</v>
      </c>
      <c r="F10" s="8" t="s">
        <v>56</v>
      </c>
      <c r="G10" s="8" t="s">
        <v>67</v>
      </c>
      <c r="H10" s="8" t="s">
        <v>61</v>
      </c>
      <c r="I10" s="8" t="s">
        <v>51</v>
      </c>
      <c r="J10" s="8" t="s">
        <v>52</v>
      </c>
      <c r="K10" s="11" t="s">
        <v>59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3"/>
      <c r="AQ10" s="13"/>
      <c r="AR10" s="13"/>
      <c r="AS10" s="13"/>
      <c r="AT10" s="12"/>
      <c r="AU10" s="12"/>
      <c r="AV10" s="14"/>
      <c r="AW10" s="15"/>
      <c r="AX10" s="15"/>
    </row>
    <row r="11" ht="15.75" customHeight="1">
      <c r="A11" s="7">
        <v>231027.0</v>
      </c>
      <c r="B11" s="7">
        <v>69.0</v>
      </c>
      <c r="C11" s="7">
        <v>3.0</v>
      </c>
      <c r="D11" s="8" t="s">
        <v>69</v>
      </c>
      <c r="E11" s="7">
        <v>5.0</v>
      </c>
      <c r="F11" s="8" t="s">
        <v>56</v>
      </c>
      <c r="G11" s="8" t="s">
        <v>67</v>
      </c>
      <c r="H11" s="8" t="s">
        <v>63</v>
      </c>
      <c r="I11" s="8" t="s">
        <v>51</v>
      </c>
      <c r="J11" s="8" t="s">
        <v>52</v>
      </c>
      <c r="K11" s="11" t="s">
        <v>70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3"/>
      <c r="AQ11" s="13"/>
      <c r="AR11" s="13"/>
      <c r="AS11" s="13"/>
      <c r="AT11" s="12"/>
      <c r="AU11" s="12"/>
      <c r="AV11" s="14"/>
      <c r="AW11" s="15"/>
      <c r="AX11" s="15"/>
    </row>
    <row r="12" ht="15.75" customHeight="1">
      <c r="A12" s="7">
        <v>231027.0</v>
      </c>
      <c r="B12" s="7">
        <v>69.0</v>
      </c>
      <c r="C12" s="7">
        <v>3.0</v>
      </c>
      <c r="D12" s="8" t="s">
        <v>71</v>
      </c>
      <c r="E12" s="7">
        <v>5.0</v>
      </c>
      <c r="F12" s="8" t="s">
        <v>56</v>
      </c>
      <c r="G12" s="8" t="s">
        <v>67</v>
      </c>
      <c r="H12" s="8" t="s">
        <v>65</v>
      </c>
      <c r="I12" s="8" t="s">
        <v>51</v>
      </c>
      <c r="J12" s="8" t="s">
        <v>52</v>
      </c>
      <c r="K12" s="11" t="s">
        <v>70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3"/>
      <c r="AQ12" s="13"/>
      <c r="AR12" s="13"/>
      <c r="AS12" s="13"/>
      <c r="AT12" s="12"/>
      <c r="AU12" s="12"/>
      <c r="AV12" s="14"/>
      <c r="AW12" s="15"/>
      <c r="AX12" s="15"/>
    </row>
    <row r="13" ht="15.75" customHeight="1">
      <c r="A13" s="7">
        <v>231027.0</v>
      </c>
      <c r="B13" s="7">
        <v>69.0</v>
      </c>
      <c r="C13" s="7">
        <v>3.0</v>
      </c>
      <c r="D13" s="8" t="s">
        <v>72</v>
      </c>
      <c r="E13" s="7">
        <v>5.0</v>
      </c>
      <c r="F13" s="8" t="s">
        <v>56</v>
      </c>
      <c r="G13" s="8" t="s">
        <v>49</v>
      </c>
      <c r="H13" s="8" t="s">
        <v>50</v>
      </c>
      <c r="I13" s="8" t="s">
        <v>51</v>
      </c>
      <c r="J13" s="8" t="s">
        <v>52</v>
      </c>
      <c r="K13" s="11" t="s">
        <v>70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3"/>
      <c r="AQ13" s="13"/>
      <c r="AR13" s="13"/>
      <c r="AS13" s="13"/>
      <c r="AT13" s="12"/>
      <c r="AU13" s="12"/>
      <c r="AV13" s="14"/>
      <c r="AW13" s="15"/>
      <c r="AX13" s="15"/>
    </row>
    <row r="14" ht="15.75" customHeight="1">
      <c r="A14" s="7">
        <v>231027.0</v>
      </c>
      <c r="B14" s="7">
        <v>69.0</v>
      </c>
      <c r="C14" s="7">
        <v>3.0</v>
      </c>
      <c r="D14" s="8" t="s">
        <v>73</v>
      </c>
      <c r="E14" s="7">
        <v>5.0</v>
      </c>
      <c r="F14" s="8" t="s">
        <v>56</v>
      </c>
      <c r="G14" s="8" t="s">
        <v>49</v>
      </c>
      <c r="H14" s="8" t="s">
        <v>65</v>
      </c>
      <c r="I14" s="8" t="s">
        <v>51</v>
      </c>
      <c r="J14" s="8" t="s">
        <v>52</v>
      </c>
      <c r="K14" s="11" t="s">
        <v>70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3"/>
      <c r="AQ14" s="13"/>
      <c r="AR14" s="13"/>
      <c r="AS14" s="13"/>
      <c r="AT14" s="12"/>
      <c r="AU14" s="12"/>
      <c r="AV14" s="14"/>
      <c r="AW14" s="15"/>
      <c r="AX14" s="15"/>
    </row>
    <row r="15" ht="15.75" customHeight="1">
      <c r="A15" s="7">
        <v>231027.0</v>
      </c>
      <c r="B15" s="7">
        <v>69.0</v>
      </c>
      <c r="C15" s="7">
        <v>3.0</v>
      </c>
      <c r="D15" s="8" t="s">
        <v>74</v>
      </c>
      <c r="E15" s="7">
        <v>5.0</v>
      </c>
      <c r="F15" s="8" t="s">
        <v>56</v>
      </c>
      <c r="G15" s="8" t="s">
        <v>49</v>
      </c>
      <c r="H15" s="8" t="s">
        <v>63</v>
      </c>
      <c r="I15" s="8" t="s">
        <v>51</v>
      </c>
      <c r="J15" s="8" t="s">
        <v>52</v>
      </c>
      <c r="K15" s="11" t="s">
        <v>70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3"/>
      <c r="AQ15" s="13"/>
      <c r="AR15" s="13"/>
      <c r="AS15" s="13"/>
      <c r="AT15" s="12"/>
      <c r="AU15" s="12"/>
      <c r="AV15" s="14"/>
      <c r="AW15" s="15"/>
      <c r="AX15" s="15"/>
    </row>
    <row r="16" ht="15.75" customHeight="1">
      <c r="A16" s="7">
        <v>231101.0</v>
      </c>
      <c r="B16" s="7">
        <v>69.0</v>
      </c>
      <c r="C16" s="7">
        <v>2.0</v>
      </c>
      <c r="D16" s="8" t="s">
        <v>75</v>
      </c>
      <c r="E16" s="7">
        <v>5.0</v>
      </c>
      <c r="F16" s="9" t="s">
        <v>48</v>
      </c>
      <c r="G16" s="9" t="s">
        <v>49</v>
      </c>
      <c r="H16" s="9" t="s">
        <v>50</v>
      </c>
      <c r="I16" s="9" t="s">
        <v>51</v>
      </c>
      <c r="J16" s="9" t="s">
        <v>52</v>
      </c>
      <c r="K16" s="11" t="s">
        <v>76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3"/>
      <c r="AQ16" s="13"/>
      <c r="AR16" s="13"/>
      <c r="AS16" s="13"/>
      <c r="AT16" s="12"/>
      <c r="AU16" s="12"/>
      <c r="AV16" s="14"/>
      <c r="AW16" s="15"/>
      <c r="AX16" s="15"/>
    </row>
    <row r="17" ht="15.75" customHeight="1">
      <c r="A17" s="7">
        <v>231101.0</v>
      </c>
      <c r="B17" s="7">
        <v>69.0</v>
      </c>
      <c r="C17" s="7">
        <v>2.0</v>
      </c>
      <c r="D17" s="8" t="s">
        <v>77</v>
      </c>
      <c r="E17" s="7">
        <v>5.0</v>
      </c>
      <c r="F17" s="9" t="s">
        <v>48</v>
      </c>
      <c r="G17" s="9" t="s">
        <v>49</v>
      </c>
      <c r="H17" s="9" t="s">
        <v>65</v>
      </c>
      <c r="I17" s="9" t="s">
        <v>51</v>
      </c>
      <c r="J17" s="9" t="s">
        <v>52</v>
      </c>
      <c r="K17" s="11" t="s">
        <v>76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3"/>
      <c r="AQ17" s="13"/>
      <c r="AR17" s="13"/>
      <c r="AS17" s="13"/>
      <c r="AT17" s="12"/>
      <c r="AU17" s="12"/>
      <c r="AV17" s="14"/>
      <c r="AW17" s="15"/>
      <c r="AX17" s="15"/>
    </row>
    <row r="18" ht="15.75" customHeight="1">
      <c r="A18" s="7">
        <v>231101.0</v>
      </c>
      <c r="B18" s="7">
        <v>69.0</v>
      </c>
      <c r="C18" s="7">
        <v>2.0</v>
      </c>
      <c r="D18" s="8" t="s">
        <v>78</v>
      </c>
      <c r="E18" s="7">
        <v>5.0</v>
      </c>
      <c r="F18" s="9" t="s">
        <v>48</v>
      </c>
      <c r="G18" s="9" t="s">
        <v>49</v>
      </c>
      <c r="H18" s="9" t="s">
        <v>63</v>
      </c>
      <c r="I18" s="9" t="s">
        <v>51</v>
      </c>
      <c r="J18" s="9" t="s">
        <v>52</v>
      </c>
      <c r="K18" s="11" t="s">
        <v>76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3"/>
      <c r="AQ18" s="13"/>
      <c r="AR18" s="13"/>
      <c r="AS18" s="13"/>
      <c r="AT18" s="12"/>
      <c r="AU18" s="12"/>
      <c r="AV18" s="14"/>
      <c r="AW18" s="15"/>
      <c r="AX18" s="15"/>
    </row>
    <row r="19" ht="15.75" customHeight="1"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3"/>
      <c r="AQ19" s="13"/>
      <c r="AR19" s="13"/>
      <c r="AS19" s="13"/>
      <c r="AT19" s="12"/>
      <c r="AU19" s="12"/>
      <c r="AV19" s="14"/>
      <c r="AW19" s="15"/>
      <c r="AX19" s="15"/>
    </row>
    <row r="20" ht="15.75" customHeight="1">
      <c r="A20" s="7">
        <v>231013.0</v>
      </c>
      <c r="B20" s="7">
        <v>63.0</v>
      </c>
      <c r="C20" s="7">
        <v>1.0</v>
      </c>
      <c r="D20" s="8" t="s">
        <v>79</v>
      </c>
      <c r="E20" s="7">
        <v>6.0</v>
      </c>
      <c r="F20" s="8" t="s">
        <v>56</v>
      </c>
      <c r="G20" s="8" t="s">
        <v>49</v>
      </c>
      <c r="H20" s="8" t="s">
        <v>65</v>
      </c>
      <c r="I20" s="8" t="s">
        <v>51</v>
      </c>
      <c r="J20" s="8" t="s">
        <v>52</v>
      </c>
      <c r="K20" s="11" t="s">
        <v>53</v>
      </c>
      <c r="L20" s="2">
        <v>0.0210664</v>
      </c>
      <c r="M20" s="12">
        <v>0.0216231</v>
      </c>
      <c r="N20" s="12">
        <v>0.0251381</v>
      </c>
      <c r="O20" s="12">
        <v>0.0284707</v>
      </c>
      <c r="P20" s="12">
        <v>0.0269516</v>
      </c>
      <c r="Q20" s="12">
        <v>0.0264066</v>
      </c>
      <c r="R20" s="12">
        <v>0.0277568</v>
      </c>
      <c r="S20" s="12">
        <v>0.0264544</v>
      </c>
      <c r="T20" s="12">
        <v>0.0268144</v>
      </c>
      <c r="U20" s="12">
        <v>0.0282956</v>
      </c>
      <c r="V20" s="12">
        <v>0.0303315</v>
      </c>
      <c r="W20" s="12">
        <v>0.0326741</v>
      </c>
      <c r="X20" s="12">
        <v>0.0308104</v>
      </c>
      <c r="Y20" s="12">
        <v>0.0281053</v>
      </c>
      <c r="Z20" s="12">
        <v>0.0203045</v>
      </c>
      <c r="AA20" s="12">
        <v>0.009248</v>
      </c>
      <c r="AB20" s="12">
        <v>0.0034707</v>
      </c>
      <c r="AC20" s="12">
        <v>0.0034353</v>
      </c>
      <c r="AD20" s="12">
        <v>0.0053217</v>
      </c>
      <c r="AE20" s="12">
        <v>0.0066688</v>
      </c>
      <c r="AF20" s="12">
        <v>0.0086146</v>
      </c>
      <c r="AG20" s="12">
        <v>0.0111453</v>
      </c>
      <c r="AH20" s="12">
        <v>0.0106282</v>
      </c>
      <c r="AI20" s="12">
        <v>0.0107463</v>
      </c>
      <c r="AJ20" s="12">
        <v>0.0161617</v>
      </c>
      <c r="AK20" s="12">
        <v>0.0225373</v>
      </c>
      <c r="AL20" s="17">
        <v>0.0268992</v>
      </c>
      <c r="AM20" s="12">
        <v>0.0</v>
      </c>
      <c r="AN20" s="12">
        <v>0.0</v>
      </c>
      <c r="AO20" s="12">
        <v>0.0</v>
      </c>
      <c r="AP20" s="13">
        <v>0.0</v>
      </c>
      <c r="AQ20" s="13">
        <v>0.0</v>
      </c>
      <c r="AR20" s="13">
        <v>0.0</v>
      </c>
      <c r="AS20" s="13">
        <v>0.0</v>
      </c>
      <c r="AT20" s="12">
        <f>AVERAGE(L20:AL20)</f>
        <v>0.01985483704</v>
      </c>
      <c r="AU20" s="12">
        <f t="shared" ref="AU20:AU28" si="1">AVERAGEIF(L20:AS20, "&gt;0")
</f>
        <v>0.01985483704</v>
      </c>
      <c r="AV20" s="14"/>
      <c r="AW20" s="15"/>
      <c r="AX20" s="15"/>
    </row>
    <row r="21" ht="15.75" customHeight="1">
      <c r="A21" s="7">
        <v>231013.0</v>
      </c>
      <c r="B21" s="7">
        <v>63.0</v>
      </c>
      <c r="C21" s="7">
        <v>1.0</v>
      </c>
      <c r="D21" s="8" t="s">
        <v>80</v>
      </c>
      <c r="E21" s="7">
        <v>6.0</v>
      </c>
      <c r="F21" s="8" t="s">
        <v>56</v>
      </c>
      <c r="G21" s="8" t="s">
        <v>49</v>
      </c>
      <c r="H21" s="8" t="s">
        <v>61</v>
      </c>
      <c r="I21" s="8" t="s">
        <v>51</v>
      </c>
      <c r="J21" s="8" t="s">
        <v>52</v>
      </c>
      <c r="K21" s="11" t="s">
        <v>53</v>
      </c>
      <c r="L21" s="2">
        <v>0.011617</v>
      </c>
      <c r="M21" s="12">
        <v>0.0137203</v>
      </c>
      <c r="N21" s="12">
        <v>0.017707</v>
      </c>
      <c r="O21" s="12">
        <v>0.0206615</v>
      </c>
      <c r="P21" s="12">
        <v>0.022771</v>
      </c>
      <c r="Q21" s="12">
        <v>0.021701</v>
      </c>
      <c r="R21" s="12">
        <v>0.0201084</v>
      </c>
      <c r="S21" s="12">
        <v>0.0221126</v>
      </c>
      <c r="T21" s="12">
        <v>0.0259944</v>
      </c>
      <c r="U21" s="12">
        <v>0.0298299</v>
      </c>
      <c r="V21" s="12">
        <v>0.0304548</v>
      </c>
      <c r="W21" s="12">
        <v>0.0287037</v>
      </c>
      <c r="X21" s="12">
        <v>0.0298322</v>
      </c>
      <c r="Y21" s="12">
        <v>0.0310987</v>
      </c>
      <c r="Z21" s="12">
        <v>0.0291611</v>
      </c>
      <c r="AA21" s="12">
        <v>0.025706</v>
      </c>
      <c r="AB21" s="12">
        <v>0.0212878</v>
      </c>
      <c r="AC21" s="12">
        <v>0.0175861</v>
      </c>
      <c r="AD21" s="12">
        <v>0.0132094</v>
      </c>
      <c r="AE21" s="12">
        <v>0.0069489</v>
      </c>
      <c r="AF21" s="12">
        <v>0.0019623</v>
      </c>
      <c r="AG21" s="12">
        <v>2.716E-4</v>
      </c>
      <c r="AH21" s="12">
        <v>2.912E-4</v>
      </c>
      <c r="AI21" s="17">
        <v>2.057E-4</v>
      </c>
      <c r="AJ21" s="12">
        <v>0.0</v>
      </c>
      <c r="AK21" s="12">
        <v>0.0</v>
      </c>
      <c r="AL21" s="12">
        <v>0.0</v>
      </c>
      <c r="AM21" s="12">
        <v>0.0</v>
      </c>
      <c r="AN21" s="12">
        <v>0.0</v>
      </c>
      <c r="AO21" s="12">
        <v>0.0</v>
      </c>
      <c r="AP21" s="13">
        <v>0.0</v>
      </c>
      <c r="AQ21" s="13">
        <v>0.0</v>
      </c>
      <c r="AR21" s="13">
        <v>0.0</v>
      </c>
      <c r="AS21" s="13">
        <v>0.0</v>
      </c>
      <c r="AT21" s="12">
        <f>AVERAGE(L21:AI21)</f>
        <v>0.01845594167</v>
      </c>
      <c r="AU21" s="12">
        <f t="shared" si="1"/>
        <v>0.01845594167</v>
      </c>
      <c r="AV21" s="14"/>
      <c r="AW21" s="15"/>
      <c r="AX21" s="15"/>
    </row>
    <row r="22" ht="15.75" customHeight="1">
      <c r="A22" s="7">
        <v>231013.0</v>
      </c>
      <c r="B22" s="7">
        <v>63.0</v>
      </c>
      <c r="C22" s="7">
        <v>1.0</v>
      </c>
      <c r="D22" s="8" t="s">
        <v>81</v>
      </c>
      <c r="E22" s="7">
        <v>6.0</v>
      </c>
      <c r="F22" s="8" t="s">
        <v>56</v>
      </c>
      <c r="G22" s="8" t="s">
        <v>49</v>
      </c>
      <c r="H22" s="8" t="s">
        <v>63</v>
      </c>
      <c r="I22" s="8" t="s">
        <v>51</v>
      </c>
      <c r="J22" s="8" t="s">
        <v>52</v>
      </c>
      <c r="K22" s="11" t="s">
        <v>53</v>
      </c>
      <c r="L22" s="2">
        <v>0.0075984</v>
      </c>
      <c r="M22" s="12">
        <v>0.0118651</v>
      </c>
      <c r="N22" s="12">
        <v>0.016585</v>
      </c>
      <c r="O22" s="12">
        <v>0.0167473</v>
      </c>
      <c r="P22" s="12">
        <v>0.0147193</v>
      </c>
      <c r="Q22" s="12">
        <v>0.0180621</v>
      </c>
      <c r="R22" s="12">
        <v>0.0248915</v>
      </c>
      <c r="S22" s="12">
        <v>0.0265994</v>
      </c>
      <c r="T22" s="12">
        <v>0.0262215</v>
      </c>
      <c r="U22" s="12">
        <v>0.026907</v>
      </c>
      <c r="V22" s="12">
        <v>0.0267446</v>
      </c>
      <c r="W22" s="12">
        <v>0.0277475</v>
      </c>
      <c r="X22" s="12">
        <v>0.028989</v>
      </c>
      <c r="Y22" s="12">
        <v>0.0281431</v>
      </c>
      <c r="Z22" s="12">
        <v>0.0268827</v>
      </c>
      <c r="AA22" s="12">
        <v>0.0257643</v>
      </c>
      <c r="AB22" s="12">
        <v>0.0217985</v>
      </c>
      <c r="AC22" s="12">
        <v>0.0187847</v>
      </c>
      <c r="AD22" s="12">
        <v>0.0167012</v>
      </c>
      <c r="AE22" s="12">
        <v>0.0136803</v>
      </c>
      <c r="AF22" s="12">
        <v>0.0086546</v>
      </c>
      <c r="AG22" s="12">
        <v>0.0031718</v>
      </c>
      <c r="AH22" s="12">
        <v>0.0017215</v>
      </c>
      <c r="AI22" s="12">
        <v>0.0014928</v>
      </c>
      <c r="AJ22" s="12">
        <v>4.352E-4</v>
      </c>
      <c r="AK22" s="12">
        <v>3.86E-5</v>
      </c>
      <c r="AL22" s="17">
        <v>1.96E-5</v>
      </c>
      <c r="AM22" s="12">
        <v>0.0</v>
      </c>
      <c r="AN22" s="12">
        <v>0.0</v>
      </c>
      <c r="AO22" s="12">
        <v>0.0</v>
      </c>
      <c r="AP22" s="13">
        <v>0.0</v>
      </c>
      <c r="AQ22" s="13">
        <v>0.0</v>
      </c>
      <c r="AR22" s="13">
        <v>0.0</v>
      </c>
      <c r="AS22" s="13">
        <v>0.0</v>
      </c>
      <c r="AT22" s="12">
        <f>AVERAGE(L22:AL22)</f>
        <v>0.0163320963</v>
      </c>
      <c r="AU22" s="12">
        <f t="shared" si="1"/>
        <v>0.0163320963</v>
      </c>
      <c r="AV22" s="14"/>
      <c r="AW22" s="15"/>
      <c r="AX22" s="15"/>
    </row>
    <row r="23" ht="15.75" customHeight="1">
      <c r="A23" s="7">
        <v>231013.0</v>
      </c>
      <c r="B23" s="7">
        <v>63.0</v>
      </c>
      <c r="C23" s="7">
        <v>1.0</v>
      </c>
      <c r="D23" s="8" t="s">
        <v>82</v>
      </c>
      <c r="E23" s="7">
        <v>6.0</v>
      </c>
      <c r="F23" s="8" t="s">
        <v>56</v>
      </c>
      <c r="G23" s="8" t="s">
        <v>67</v>
      </c>
      <c r="H23" s="8" t="s">
        <v>83</v>
      </c>
      <c r="I23" s="8" t="s">
        <v>51</v>
      </c>
      <c r="J23" s="8" t="s">
        <v>52</v>
      </c>
      <c r="K23" s="11" t="s">
        <v>53</v>
      </c>
      <c r="L23" s="2">
        <v>0.0358452</v>
      </c>
      <c r="M23" s="12">
        <v>0.0351859</v>
      </c>
      <c r="N23" s="12">
        <v>0.0343688</v>
      </c>
      <c r="O23" s="12">
        <v>0.0311905</v>
      </c>
      <c r="P23" s="12">
        <v>0.0266218</v>
      </c>
      <c r="Q23" s="12">
        <v>0.0262362</v>
      </c>
      <c r="R23" s="12">
        <v>0.0255055</v>
      </c>
      <c r="S23" s="12">
        <v>0.0245553</v>
      </c>
      <c r="T23" s="12">
        <v>0.0279162</v>
      </c>
      <c r="U23" s="12">
        <v>0.026823</v>
      </c>
      <c r="V23" s="12">
        <v>0.024872</v>
      </c>
      <c r="W23" s="12">
        <v>0.0260757</v>
      </c>
      <c r="X23" s="12">
        <v>0.0297912</v>
      </c>
      <c r="Y23" s="12">
        <v>0.0337329</v>
      </c>
      <c r="Z23" s="12">
        <v>0.0321613</v>
      </c>
      <c r="AA23" s="12">
        <v>0.029142</v>
      </c>
      <c r="AB23" s="12">
        <v>0.0267152</v>
      </c>
      <c r="AC23" s="12">
        <v>0.0204242</v>
      </c>
      <c r="AD23" s="12">
        <v>0.0152318</v>
      </c>
      <c r="AE23" s="12">
        <v>0.013158</v>
      </c>
      <c r="AF23" s="12">
        <v>0.01112</v>
      </c>
      <c r="AG23" s="12">
        <v>0.0106407</v>
      </c>
      <c r="AH23" s="12">
        <v>0.0094328</v>
      </c>
      <c r="AI23" s="12">
        <v>0.0083161</v>
      </c>
      <c r="AJ23" s="12">
        <v>0.0073171</v>
      </c>
      <c r="AK23" s="12">
        <v>0.0055338</v>
      </c>
      <c r="AL23" s="12">
        <v>0.004564</v>
      </c>
      <c r="AM23" s="12">
        <v>0.0045076</v>
      </c>
      <c r="AN23" s="12">
        <v>0.0036608</v>
      </c>
      <c r="AO23" s="17">
        <v>9.97E-4</v>
      </c>
      <c r="AP23" s="13">
        <v>0.0</v>
      </c>
      <c r="AQ23" s="13">
        <v>0.0</v>
      </c>
      <c r="AR23" s="13">
        <v>0.0</v>
      </c>
      <c r="AS23" s="13">
        <v>0.0</v>
      </c>
      <c r="AT23" s="12">
        <f t="shared" ref="AT23:AT24" si="2">AVERAGE(L23:AO23)</f>
        <v>0.02038808667</v>
      </c>
      <c r="AU23" s="12">
        <f t="shared" si="1"/>
        <v>0.02038808667</v>
      </c>
      <c r="AV23" s="14"/>
      <c r="AW23" s="15"/>
      <c r="AX23" s="15"/>
    </row>
    <row r="24" ht="15.75" customHeight="1">
      <c r="A24" s="7">
        <v>231109.0</v>
      </c>
      <c r="B24" s="7">
        <v>63.0</v>
      </c>
      <c r="C24" s="7">
        <v>1.0</v>
      </c>
      <c r="D24" s="8" t="s">
        <v>84</v>
      </c>
      <c r="E24" s="7">
        <v>6.0</v>
      </c>
      <c r="F24" s="8" t="s">
        <v>48</v>
      </c>
      <c r="G24" s="8" t="s">
        <v>85</v>
      </c>
      <c r="H24" s="8" t="s">
        <v>50</v>
      </c>
      <c r="I24" s="8" t="s">
        <v>51</v>
      </c>
      <c r="J24" s="8" t="s">
        <v>52</v>
      </c>
      <c r="K24" s="11" t="s">
        <v>57</v>
      </c>
      <c r="L24" s="2">
        <v>0.0236548</v>
      </c>
      <c r="M24" s="12">
        <v>0.0255156</v>
      </c>
      <c r="N24" s="12">
        <v>0.0281069</v>
      </c>
      <c r="O24" s="12">
        <v>0.0285825</v>
      </c>
      <c r="P24" s="12">
        <v>0.0279471</v>
      </c>
      <c r="Q24" s="12">
        <v>0.0267157</v>
      </c>
      <c r="R24" s="12">
        <v>0.0257104</v>
      </c>
      <c r="S24" s="12">
        <v>0.026757</v>
      </c>
      <c r="T24" s="12">
        <v>0.0273244</v>
      </c>
      <c r="U24" s="12">
        <v>0.0251246</v>
      </c>
      <c r="V24" s="12">
        <v>0.023995</v>
      </c>
      <c r="W24" s="12">
        <v>0.027788</v>
      </c>
      <c r="X24" s="12">
        <v>0.0292268</v>
      </c>
      <c r="Y24" s="12">
        <v>0.0338606</v>
      </c>
      <c r="Z24" s="12">
        <v>0.0369564</v>
      </c>
      <c r="AA24" s="12">
        <v>0.0376345</v>
      </c>
      <c r="AB24" s="12">
        <v>0.0377845</v>
      </c>
      <c r="AC24" s="12">
        <v>0.0359092</v>
      </c>
      <c r="AD24" s="12">
        <v>0.0350062</v>
      </c>
      <c r="AE24" s="12">
        <v>0.0281367</v>
      </c>
      <c r="AF24" s="12">
        <v>0.0164653</v>
      </c>
      <c r="AG24" s="12">
        <v>0.0066594</v>
      </c>
      <c r="AH24" s="12">
        <v>0.0013876</v>
      </c>
      <c r="AI24" s="12">
        <v>0.0016397</v>
      </c>
      <c r="AJ24" s="12">
        <v>0.0064115</v>
      </c>
      <c r="AK24" s="12">
        <v>0.0115275</v>
      </c>
      <c r="AL24" s="12">
        <v>0.0165316</v>
      </c>
      <c r="AM24" s="12">
        <v>0.012413</v>
      </c>
      <c r="AN24" s="12">
        <v>0.0037597</v>
      </c>
      <c r="AO24" s="17">
        <v>0.0033528</v>
      </c>
      <c r="AP24" s="13">
        <v>0.0</v>
      </c>
      <c r="AQ24" s="13">
        <v>0.0</v>
      </c>
      <c r="AR24" s="13">
        <v>0.0</v>
      </c>
      <c r="AS24" s="13">
        <v>0.0</v>
      </c>
      <c r="AT24" s="12">
        <f t="shared" si="2"/>
        <v>0.02239616667</v>
      </c>
      <c r="AU24" s="12">
        <f t="shared" si="1"/>
        <v>0.02239616667</v>
      </c>
      <c r="AV24" s="14"/>
      <c r="AW24" s="15"/>
      <c r="AX24" s="15"/>
    </row>
    <row r="25" ht="15.75" customHeight="1">
      <c r="A25" s="7">
        <v>231109.0</v>
      </c>
      <c r="B25" s="7">
        <v>63.0</v>
      </c>
      <c r="C25" s="7">
        <v>1.0</v>
      </c>
      <c r="D25" s="8" t="s">
        <v>86</v>
      </c>
      <c r="E25" s="7">
        <v>6.0</v>
      </c>
      <c r="F25" s="8" t="s">
        <v>48</v>
      </c>
      <c r="G25" s="8" t="s">
        <v>85</v>
      </c>
      <c r="H25" s="8" t="s">
        <v>63</v>
      </c>
      <c r="I25" s="8" t="s">
        <v>51</v>
      </c>
      <c r="J25" s="8" t="s">
        <v>52</v>
      </c>
      <c r="K25" s="11" t="s">
        <v>57</v>
      </c>
      <c r="L25" s="2">
        <v>0.0293817</v>
      </c>
      <c r="M25" s="12">
        <v>0.0300978</v>
      </c>
      <c r="N25" s="12">
        <v>0.0289816</v>
      </c>
      <c r="O25" s="12">
        <v>0.0279707</v>
      </c>
      <c r="P25" s="12">
        <v>0.0281645</v>
      </c>
      <c r="Q25" s="12">
        <v>0.0281338</v>
      </c>
      <c r="R25" s="12">
        <v>0.0282425</v>
      </c>
      <c r="S25" s="12">
        <v>0.0281683</v>
      </c>
      <c r="T25" s="12">
        <v>0.029366</v>
      </c>
      <c r="U25" s="12">
        <v>0.0300057</v>
      </c>
      <c r="V25" s="12">
        <v>0.0308124</v>
      </c>
      <c r="W25" s="12">
        <v>0.0332379</v>
      </c>
      <c r="X25" s="12">
        <v>0.0310419</v>
      </c>
      <c r="Y25" s="12">
        <v>0.0253993</v>
      </c>
      <c r="Z25" s="12">
        <v>0.0157137</v>
      </c>
      <c r="AA25" s="12">
        <v>0.0046361</v>
      </c>
      <c r="AB25" s="12">
        <v>2.894E-4</v>
      </c>
      <c r="AC25" s="12">
        <v>7.5E-6</v>
      </c>
      <c r="AD25" s="12">
        <v>1.01E-5</v>
      </c>
      <c r="AE25" s="12">
        <v>1.5E-5</v>
      </c>
      <c r="AF25" s="12">
        <v>4.8E-6</v>
      </c>
      <c r="AG25" s="12">
        <v>0.0</v>
      </c>
      <c r="AH25" s="12">
        <v>3.69E-5</v>
      </c>
      <c r="AI25" s="12">
        <v>8.21E-5</v>
      </c>
      <c r="AJ25" s="12">
        <v>0.0013355</v>
      </c>
      <c r="AK25" s="12">
        <v>0.0050331</v>
      </c>
      <c r="AL25" s="17">
        <v>0.0076566</v>
      </c>
      <c r="AM25" s="12">
        <v>0.0</v>
      </c>
      <c r="AN25" s="12">
        <v>0.0</v>
      </c>
      <c r="AO25" s="12">
        <v>0.0</v>
      </c>
      <c r="AP25" s="13">
        <v>0.0</v>
      </c>
      <c r="AQ25" s="13">
        <v>0.0</v>
      </c>
      <c r="AR25" s="13">
        <v>0.0</v>
      </c>
      <c r="AS25" s="13">
        <v>0.0</v>
      </c>
      <c r="AT25" s="12">
        <f>AVERAGE(L25:AL25)</f>
        <v>0.01643795926</v>
      </c>
      <c r="AU25" s="12">
        <f t="shared" si="1"/>
        <v>0.01707018846</v>
      </c>
      <c r="AV25" s="14"/>
      <c r="AW25" s="15"/>
      <c r="AX25" s="15"/>
    </row>
    <row r="26" ht="15.75" customHeight="1">
      <c r="A26" s="7">
        <v>231109.0</v>
      </c>
      <c r="B26" s="7">
        <v>63.0</v>
      </c>
      <c r="C26" s="7">
        <v>1.0</v>
      </c>
      <c r="D26" s="8" t="s">
        <v>87</v>
      </c>
      <c r="E26" s="7">
        <v>6.0</v>
      </c>
      <c r="F26" s="8" t="s">
        <v>48</v>
      </c>
      <c r="G26" s="8" t="s">
        <v>85</v>
      </c>
      <c r="H26" s="8" t="s">
        <v>65</v>
      </c>
      <c r="I26" s="8" t="s">
        <v>51</v>
      </c>
      <c r="J26" s="8" t="s">
        <v>52</v>
      </c>
      <c r="K26" s="11" t="s">
        <v>57</v>
      </c>
      <c r="L26" s="2">
        <v>0.0165657</v>
      </c>
      <c r="M26" s="12">
        <v>0.0205601</v>
      </c>
      <c r="N26" s="12">
        <v>0.0256831</v>
      </c>
      <c r="O26" s="12">
        <v>0.0283261</v>
      </c>
      <c r="P26" s="12">
        <v>0.0281462</v>
      </c>
      <c r="Q26" s="12">
        <v>0.0255202</v>
      </c>
      <c r="R26" s="12">
        <v>0.0242402</v>
      </c>
      <c r="S26" s="12">
        <v>0.0250593</v>
      </c>
      <c r="T26" s="12">
        <v>0.0243166</v>
      </c>
      <c r="U26" s="12">
        <v>0.0259024</v>
      </c>
      <c r="V26" s="12">
        <v>0.0292382</v>
      </c>
      <c r="W26" s="12">
        <v>0.0292229</v>
      </c>
      <c r="X26" s="12">
        <v>0.0270878</v>
      </c>
      <c r="Y26" s="12">
        <v>0.0275191</v>
      </c>
      <c r="Z26" s="12">
        <v>0.0279123</v>
      </c>
      <c r="AA26" s="12">
        <v>0.0318851</v>
      </c>
      <c r="AB26" s="12">
        <v>0.0333317</v>
      </c>
      <c r="AC26" s="12">
        <v>0.0256566</v>
      </c>
      <c r="AD26" s="12">
        <v>0.0119217</v>
      </c>
      <c r="AE26" s="12">
        <v>0.0018466</v>
      </c>
      <c r="AF26" s="12">
        <v>9.244E-4</v>
      </c>
      <c r="AG26" s="17">
        <v>8.799E-4</v>
      </c>
      <c r="AH26" s="12">
        <v>0.0</v>
      </c>
      <c r="AI26" s="12">
        <v>0.0</v>
      </c>
      <c r="AJ26" s="12">
        <v>0.0</v>
      </c>
      <c r="AK26" s="12">
        <v>0.0</v>
      </c>
      <c r="AL26" s="12">
        <v>0.0</v>
      </c>
      <c r="AM26" s="12">
        <v>0.0</v>
      </c>
      <c r="AN26" s="12">
        <v>0.0</v>
      </c>
      <c r="AO26" s="12">
        <v>0.0</v>
      </c>
      <c r="AP26" s="13">
        <v>0.0</v>
      </c>
      <c r="AQ26" s="13">
        <v>0.0</v>
      </c>
      <c r="AR26" s="13">
        <v>0.0</v>
      </c>
      <c r="AS26" s="13">
        <v>0.0</v>
      </c>
      <c r="AT26" s="12">
        <f>AVERAGE(L26:AG26)</f>
        <v>0.0223521</v>
      </c>
      <c r="AU26" s="12">
        <f t="shared" si="1"/>
        <v>0.0223521</v>
      </c>
      <c r="AV26" s="14"/>
      <c r="AW26" s="15"/>
      <c r="AX26" s="15"/>
    </row>
    <row r="27" ht="15.75" customHeight="1">
      <c r="A27" s="7">
        <v>231109.0</v>
      </c>
      <c r="B27" s="7">
        <v>63.0</v>
      </c>
      <c r="C27" s="7">
        <v>1.0</v>
      </c>
      <c r="D27" s="8" t="s">
        <v>88</v>
      </c>
      <c r="E27" s="7">
        <v>6.0</v>
      </c>
      <c r="F27" s="8" t="s">
        <v>48</v>
      </c>
      <c r="G27" s="8" t="s">
        <v>89</v>
      </c>
      <c r="H27" s="8" t="s">
        <v>65</v>
      </c>
      <c r="I27" s="8" t="s">
        <v>51</v>
      </c>
      <c r="J27" s="8" t="s">
        <v>52</v>
      </c>
      <c r="K27" s="11" t="s">
        <v>57</v>
      </c>
      <c r="L27" s="2">
        <v>0.0216714</v>
      </c>
      <c r="M27" s="12">
        <v>0.0314092</v>
      </c>
      <c r="N27" s="12">
        <v>0.0319232</v>
      </c>
      <c r="O27" s="12">
        <v>0.0247411</v>
      </c>
      <c r="P27" s="12">
        <v>0.020399</v>
      </c>
      <c r="Q27" s="12">
        <v>0.020087</v>
      </c>
      <c r="R27" s="12">
        <v>0.0227809</v>
      </c>
      <c r="S27" s="12">
        <v>0.026634</v>
      </c>
      <c r="T27" s="12">
        <v>0.0287887</v>
      </c>
      <c r="U27" s="12">
        <v>0.029386</v>
      </c>
      <c r="V27" s="12">
        <v>0.0304732</v>
      </c>
      <c r="W27" s="12">
        <v>0.0313712</v>
      </c>
      <c r="X27" s="12">
        <v>0.0323046</v>
      </c>
      <c r="Y27" s="12">
        <v>0.0337683</v>
      </c>
      <c r="Z27" s="12">
        <v>0.0345898</v>
      </c>
      <c r="AA27" s="12">
        <v>0.0338579</v>
      </c>
      <c r="AB27" s="12">
        <v>0.0334413</v>
      </c>
      <c r="AC27" s="12">
        <v>0.0301123</v>
      </c>
      <c r="AD27" s="12">
        <v>0.023853</v>
      </c>
      <c r="AE27" s="12">
        <v>0.0130689</v>
      </c>
      <c r="AF27" s="12">
        <v>0.0025535</v>
      </c>
      <c r="AG27" s="12">
        <v>2.109E-4</v>
      </c>
      <c r="AH27" s="12">
        <v>0.0</v>
      </c>
      <c r="AI27" s="12">
        <v>0.0</v>
      </c>
      <c r="AJ27" s="12">
        <v>0.0</v>
      </c>
      <c r="AK27" s="12">
        <v>4.2E-6</v>
      </c>
      <c r="AL27" s="17">
        <v>5.5E-6</v>
      </c>
      <c r="AM27" s="12">
        <v>0.0</v>
      </c>
      <c r="AN27" s="12">
        <v>0.0</v>
      </c>
      <c r="AO27" s="12">
        <v>0.0</v>
      </c>
      <c r="AP27" s="13">
        <v>0.0</v>
      </c>
      <c r="AQ27" s="13">
        <v>0.0</v>
      </c>
      <c r="AR27" s="13">
        <v>0.0</v>
      </c>
      <c r="AS27" s="13">
        <v>0.0</v>
      </c>
      <c r="AT27" s="12">
        <f>AVERAGE(L27:AL27)</f>
        <v>0.02064574444</v>
      </c>
      <c r="AU27" s="12">
        <f t="shared" si="1"/>
        <v>0.0232264625</v>
      </c>
      <c r="AV27" s="14"/>
      <c r="AW27" s="15"/>
      <c r="AX27" s="15"/>
    </row>
    <row r="28" ht="15.75" customHeight="1">
      <c r="A28" s="7">
        <v>231109.0</v>
      </c>
      <c r="B28" s="7">
        <v>63.0</v>
      </c>
      <c r="C28" s="7">
        <v>1.0</v>
      </c>
      <c r="D28" s="8" t="s">
        <v>90</v>
      </c>
      <c r="E28" s="7">
        <v>6.0</v>
      </c>
      <c r="F28" s="8" t="s">
        <v>48</v>
      </c>
      <c r="G28" s="8" t="s">
        <v>89</v>
      </c>
      <c r="H28" s="8" t="s">
        <v>50</v>
      </c>
      <c r="I28" s="8" t="s">
        <v>51</v>
      </c>
      <c r="J28" s="8" t="s">
        <v>52</v>
      </c>
      <c r="K28" s="11" t="s">
        <v>57</v>
      </c>
      <c r="L28" s="2">
        <v>0.0324669</v>
      </c>
      <c r="M28" s="12">
        <v>0.0288639</v>
      </c>
      <c r="N28" s="12">
        <v>0.0280614</v>
      </c>
      <c r="O28" s="12">
        <v>0.0278254</v>
      </c>
      <c r="P28" s="12">
        <v>0.025664</v>
      </c>
      <c r="Q28" s="12">
        <v>0.0255933</v>
      </c>
      <c r="R28" s="12">
        <v>0.026412</v>
      </c>
      <c r="S28" s="12">
        <v>0.0266022</v>
      </c>
      <c r="T28" s="12">
        <v>0.0273773</v>
      </c>
      <c r="U28" s="12">
        <v>0.0272906</v>
      </c>
      <c r="V28" s="12">
        <v>0.0271657</v>
      </c>
      <c r="W28" s="12">
        <v>0.0284132</v>
      </c>
      <c r="X28" s="12">
        <v>0.0285733</v>
      </c>
      <c r="Y28" s="12">
        <v>0.0277425</v>
      </c>
      <c r="Z28" s="12">
        <v>0.031301</v>
      </c>
      <c r="AA28" s="12">
        <v>0.0359489</v>
      </c>
      <c r="AB28" s="12">
        <v>0.0338371</v>
      </c>
      <c r="AC28" s="12">
        <v>0.0303702</v>
      </c>
      <c r="AD28" s="12">
        <v>0.0272922</v>
      </c>
      <c r="AE28" s="12">
        <v>0.0237102</v>
      </c>
      <c r="AF28" s="12">
        <v>0.0199493</v>
      </c>
      <c r="AG28" s="12">
        <v>0.0114314</v>
      </c>
      <c r="AH28" s="12">
        <v>0.003229</v>
      </c>
      <c r="AI28" s="12">
        <v>5.4E-4</v>
      </c>
      <c r="AJ28" s="12">
        <v>5.454E-4</v>
      </c>
      <c r="AK28" s="12">
        <v>5.551E-4</v>
      </c>
      <c r="AL28" s="12">
        <v>3.965E-4</v>
      </c>
      <c r="AM28" s="17">
        <v>5.645E-4</v>
      </c>
      <c r="AN28" s="12">
        <v>0.0</v>
      </c>
      <c r="AO28" s="12">
        <v>0.0</v>
      </c>
      <c r="AP28" s="13">
        <v>0.0</v>
      </c>
      <c r="AQ28" s="13">
        <v>0.0</v>
      </c>
      <c r="AR28" s="13">
        <v>0.0</v>
      </c>
      <c r="AS28" s="13">
        <v>0.0</v>
      </c>
      <c r="AT28" s="12">
        <f>AVERAGE(L28:AM28)</f>
        <v>0.021704375</v>
      </c>
      <c r="AU28" s="12">
        <f t="shared" si="1"/>
        <v>0.021704375</v>
      </c>
      <c r="AV28" s="14"/>
      <c r="AW28" s="15"/>
      <c r="AX28" s="15"/>
    </row>
    <row r="29" ht="15.75" customHeight="1">
      <c r="A29" s="7"/>
      <c r="B29" s="7"/>
      <c r="C29" s="7"/>
      <c r="D29" s="8"/>
      <c r="E29" s="7"/>
      <c r="F29" s="8"/>
      <c r="G29" s="8"/>
      <c r="H29" s="8"/>
      <c r="I29" s="8"/>
      <c r="J29" s="8"/>
      <c r="K29" s="11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3"/>
      <c r="AQ29" s="13"/>
      <c r="AR29" s="13"/>
      <c r="AS29" s="13"/>
      <c r="AT29" s="12"/>
      <c r="AU29" s="12"/>
      <c r="AV29" s="14"/>
      <c r="AW29" s="15"/>
      <c r="AX29" s="15"/>
    </row>
    <row r="30" ht="15.75" customHeight="1"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3"/>
      <c r="AQ30" s="13"/>
      <c r="AR30" s="13"/>
      <c r="AS30" s="13"/>
      <c r="AT30" s="12"/>
      <c r="AU30" s="12"/>
      <c r="AV30" s="14"/>
      <c r="AW30" s="15"/>
      <c r="AX30" s="15"/>
    </row>
    <row r="31" ht="15.75" customHeight="1">
      <c r="A31" s="7">
        <v>230907.0</v>
      </c>
      <c r="B31" s="7">
        <v>58.0</v>
      </c>
      <c r="C31" s="7">
        <v>1.0</v>
      </c>
      <c r="D31" s="8" t="s">
        <v>91</v>
      </c>
      <c r="E31" s="7">
        <v>7.0</v>
      </c>
      <c r="F31" s="8" t="s">
        <v>56</v>
      </c>
      <c r="G31" s="8" t="s">
        <v>49</v>
      </c>
      <c r="H31" s="8" t="s">
        <v>65</v>
      </c>
      <c r="I31" s="8" t="s">
        <v>51</v>
      </c>
      <c r="J31" s="8" t="s">
        <v>52</v>
      </c>
      <c r="K31" s="11" t="s">
        <v>53</v>
      </c>
      <c r="L31" s="18">
        <v>0.023214</v>
      </c>
      <c r="M31" s="18">
        <v>0.024633</v>
      </c>
      <c r="N31" s="18">
        <v>0.025139</v>
      </c>
      <c r="O31" s="18">
        <v>0.02342</v>
      </c>
      <c r="P31" s="18">
        <v>0.021954</v>
      </c>
      <c r="Q31" s="18">
        <v>0.020564</v>
      </c>
      <c r="R31" s="18">
        <v>0.021898</v>
      </c>
      <c r="S31" s="18">
        <v>0.027582</v>
      </c>
      <c r="T31" s="18">
        <v>0.031428</v>
      </c>
      <c r="U31" s="18">
        <v>0.031816</v>
      </c>
      <c r="V31" s="18">
        <v>0.029627</v>
      </c>
      <c r="W31" s="18">
        <v>0.028541</v>
      </c>
      <c r="X31" s="18">
        <v>0.030886</v>
      </c>
      <c r="Y31" s="18">
        <v>0.031923</v>
      </c>
      <c r="Z31" s="18">
        <v>0.032288</v>
      </c>
      <c r="AA31" s="18">
        <v>0.032522</v>
      </c>
      <c r="AB31" s="18">
        <v>0.031784</v>
      </c>
      <c r="AC31" s="18">
        <v>0.030674</v>
      </c>
      <c r="AD31" s="18">
        <v>0.02385</v>
      </c>
      <c r="AE31" s="18">
        <v>0.012844</v>
      </c>
      <c r="AF31" s="18">
        <v>0.004437</v>
      </c>
      <c r="AG31" s="18">
        <v>5.18E-4</v>
      </c>
      <c r="AH31" s="18">
        <v>0.0</v>
      </c>
      <c r="AI31" s="18">
        <v>2.28E-5</v>
      </c>
      <c r="AJ31" s="19">
        <v>5.45E-5</v>
      </c>
      <c r="AK31" s="18">
        <v>0.0</v>
      </c>
      <c r="AL31" s="18">
        <v>0.0</v>
      </c>
      <c r="AM31" s="18">
        <v>0.0</v>
      </c>
      <c r="AN31" s="18">
        <v>0.0</v>
      </c>
      <c r="AO31" s="18">
        <v>0.0</v>
      </c>
      <c r="AP31" s="20">
        <v>0.0</v>
      </c>
      <c r="AQ31" s="20">
        <v>0.0</v>
      </c>
      <c r="AR31" s="20">
        <v>0.0</v>
      </c>
      <c r="AS31" s="20">
        <v>0.0</v>
      </c>
      <c r="AT31" s="2">
        <f>AVERAGE(L31:AJ31)</f>
        <v>0.021664772</v>
      </c>
      <c r="AU31" s="12">
        <f t="shared" ref="AU31:AU130" si="3">AVERAGEIF(L31:AS31, "&gt;0")
</f>
        <v>0.02256747083</v>
      </c>
      <c r="AV31" s="14"/>
      <c r="AW31" s="15"/>
      <c r="AX31" s="15"/>
    </row>
    <row r="32" ht="15.75" customHeight="1">
      <c r="A32" s="7">
        <v>230907.0</v>
      </c>
      <c r="B32" s="7">
        <v>58.0</v>
      </c>
      <c r="C32" s="7">
        <v>1.0</v>
      </c>
      <c r="D32" s="8" t="s">
        <v>92</v>
      </c>
      <c r="E32" s="7">
        <v>7.0</v>
      </c>
      <c r="F32" s="8" t="s">
        <v>56</v>
      </c>
      <c r="G32" s="8" t="s">
        <v>49</v>
      </c>
      <c r="H32" s="8" t="s">
        <v>63</v>
      </c>
      <c r="I32" s="8" t="s">
        <v>51</v>
      </c>
      <c r="J32" s="8" t="s">
        <v>52</v>
      </c>
      <c r="K32" s="11" t="s">
        <v>53</v>
      </c>
      <c r="L32" s="18">
        <v>0.02969</v>
      </c>
      <c r="M32" s="18">
        <v>0.028171</v>
      </c>
      <c r="N32" s="18">
        <v>0.028347</v>
      </c>
      <c r="O32" s="18">
        <v>0.027757</v>
      </c>
      <c r="P32" s="18">
        <v>0.02248</v>
      </c>
      <c r="Q32" s="18">
        <v>0.021991</v>
      </c>
      <c r="R32" s="18">
        <v>0.026776</v>
      </c>
      <c r="S32" s="18">
        <v>0.028423</v>
      </c>
      <c r="T32" s="18">
        <v>0.029511</v>
      </c>
      <c r="U32" s="18">
        <v>0.029503</v>
      </c>
      <c r="V32" s="18">
        <v>0.030611</v>
      </c>
      <c r="W32" s="18">
        <v>0.033808</v>
      </c>
      <c r="X32" s="18">
        <v>0.035679</v>
      </c>
      <c r="Y32" s="18">
        <v>0.036972</v>
      </c>
      <c r="Z32" s="18">
        <v>0.036262</v>
      </c>
      <c r="AA32" s="18">
        <v>0.036953</v>
      </c>
      <c r="AB32" s="18">
        <v>0.036928</v>
      </c>
      <c r="AC32" s="18">
        <v>0.026069</v>
      </c>
      <c r="AD32" s="18">
        <v>0.010461</v>
      </c>
      <c r="AE32" s="18">
        <v>0.00203</v>
      </c>
      <c r="AF32" s="18">
        <v>5.25E-5</v>
      </c>
      <c r="AG32" s="18">
        <v>2.1E-4</v>
      </c>
      <c r="AH32" s="19">
        <v>2.03E-4</v>
      </c>
      <c r="AI32" s="18">
        <v>0.0</v>
      </c>
      <c r="AJ32" s="18">
        <v>0.0</v>
      </c>
      <c r="AK32" s="18">
        <v>0.0</v>
      </c>
      <c r="AL32" s="18">
        <v>0.0</v>
      </c>
      <c r="AM32" s="18">
        <v>0.0</v>
      </c>
      <c r="AN32" s="18">
        <v>0.0</v>
      </c>
      <c r="AO32" s="18">
        <v>0.0</v>
      </c>
      <c r="AP32" s="20">
        <v>0.0</v>
      </c>
      <c r="AQ32" s="20">
        <v>0.0</v>
      </c>
      <c r="AR32" s="20">
        <v>0.0</v>
      </c>
      <c r="AS32" s="20">
        <v>0.0</v>
      </c>
      <c r="AT32" s="2">
        <f t="shared" ref="AT32:AT34" si="4">AVERAGE(L32:AH32)</f>
        <v>0.02429945652</v>
      </c>
      <c r="AU32" s="12">
        <f t="shared" si="3"/>
        <v>0.02429945652</v>
      </c>
      <c r="AV32" s="14"/>
      <c r="AW32" s="15"/>
      <c r="AX32" s="15"/>
    </row>
    <row r="33" ht="15.75" customHeight="1">
      <c r="A33" s="7">
        <v>230907.0</v>
      </c>
      <c r="B33" s="7">
        <v>58.0</v>
      </c>
      <c r="C33" s="7">
        <v>1.0</v>
      </c>
      <c r="D33" s="8" t="s">
        <v>93</v>
      </c>
      <c r="E33" s="7">
        <v>7.0</v>
      </c>
      <c r="F33" s="8" t="s">
        <v>56</v>
      </c>
      <c r="G33" s="8" t="s">
        <v>49</v>
      </c>
      <c r="H33" s="8" t="s">
        <v>50</v>
      </c>
      <c r="I33" s="8" t="s">
        <v>51</v>
      </c>
      <c r="J33" s="8" t="s">
        <v>52</v>
      </c>
      <c r="K33" s="11" t="s">
        <v>53</v>
      </c>
      <c r="L33" s="18">
        <v>0.028049</v>
      </c>
      <c r="M33" s="18">
        <v>0.03008</v>
      </c>
      <c r="N33" s="18">
        <v>0.028743</v>
      </c>
      <c r="O33" s="18">
        <v>0.027412</v>
      </c>
      <c r="P33" s="18">
        <v>0.027996</v>
      </c>
      <c r="Q33" s="18">
        <v>0.027808</v>
      </c>
      <c r="R33" s="18">
        <v>0.028792</v>
      </c>
      <c r="S33" s="18">
        <v>0.027606</v>
      </c>
      <c r="T33" s="18">
        <v>0.028319</v>
      </c>
      <c r="U33" s="18">
        <v>0.033583</v>
      </c>
      <c r="V33" s="18">
        <v>0.034831</v>
      </c>
      <c r="W33" s="18">
        <v>0.03408</v>
      </c>
      <c r="X33" s="18">
        <v>0.036357</v>
      </c>
      <c r="Y33" s="18">
        <v>0.038024</v>
      </c>
      <c r="Z33" s="18">
        <v>0.038591</v>
      </c>
      <c r="AA33" s="18">
        <v>0.039094</v>
      </c>
      <c r="AB33" s="18">
        <v>0.038483</v>
      </c>
      <c r="AC33" s="18">
        <v>0.038098</v>
      </c>
      <c r="AD33" s="18">
        <v>0.037917</v>
      </c>
      <c r="AE33" s="18">
        <v>0.038749</v>
      </c>
      <c r="AF33" s="18">
        <v>0.037758</v>
      </c>
      <c r="AG33" s="18">
        <v>0.023112</v>
      </c>
      <c r="AH33" s="19">
        <v>0.005369</v>
      </c>
      <c r="AI33" s="18">
        <v>0.0</v>
      </c>
      <c r="AJ33" s="18">
        <v>0.0</v>
      </c>
      <c r="AK33" s="18">
        <v>0.0</v>
      </c>
      <c r="AL33" s="18">
        <v>0.0</v>
      </c>
      <c r="AM33" s="18">
        <v>0.0</v>
      </c>
      <c r="AN33" s="18">
        <v>0.0</v>
      </c>
      <c r="AO33" s="18">
        <v>0.0</v>
      </c>
      <c r="AP33" s="20">
        <v>0.0</v>
      </c>
      <c r="AQ33" s="20">
        <v>0.0</v>
      </c>
      <c r="AR33" s="20">
        <v>0.0</v>
      </c>
      <c r="AS33" s="20">
        <v>0.0</v>
      </c>
      <c r="AT33" s="2">
        <f t="shared" si="4"/>
        <v>0.03168917391</v>
      </c>
      <c r="AU33" s="12">
        <f t="shared" si="3"/>
        <v>0.03168917391</v>
      </c>
      <c r="AV33" s="14"/>
      <c r="AW33" s="15"/>
      <c r="AX33" s="15"/>
    </row>
    <row r="34" ht="15.75" customHeight="1">
      <c r="A34" s="7">
        <v>230907.0</v>
      </c>
      <c r="B34" s="7">
        <v>58.0</v>
      </c>
      <c r="C34" s="7">
        <v>1.0</v>
      </c>
      <c r="D34" s="8" t="s">
        <v>94</v>
      </c>
      <c r="E34" s="7">
        <v>7.0</v>
      </c>
      <c r="F34" s="8" t="s">
        <v>56</v>
      </c>
      <c r="G34" s="8" t="s">
        <v>49</v>
      </c>
      <c r="H34" s="8" t="s">
        <v>61</v>
      </c>
      <c r="I34" s="8" t="s">
        <v>51</v>
      </c>
      <c r="J34" s="8" t="s">
        <v>52</v>
      </c>
      <c r="K34" s="11" t="s">
        <v>53</v>
      </c>
      <c r="L34" s="18">
        <v>0.027907</v>
      </c>
      <c r="M34" s="18">
        <v>0.026248</v>
      </c>
      <c r="N34" s="18">
        <v>0.025282</v>
      </c>
      <c r="O34" s="18">
        <v>0.026554</v>
      </c>
      <c r="P34" s="18">
        <v>0.027264</v>
      </c>
      <c r="Q34" s="18">
        <v>0.026031</v>
      </c>
      <c r="R34" s="18">
        <v>0.027367</v>
      </c>
      <c r="S34" s="18">
        <v>0.031099</v>
      </c>
      <c r="T34" s="18">
        <v>0.0332</v>
      </c>
      <c r="U34" s="18">
        <v>0.034183</v>
      </c>
      <c r="V34" s="18">
        <v>0.034674</v>
      </c>
      <c r="W34" s="18">
        <v>0.034385</v>
      </c>
      <c r="X34" s="18">
        <v>0.035284</v>
      </c>
      <c r="Y34" s="18">
        <v>0.035967</v>
      </c>
      <c r="Z34" s="18">
        <v>0.03599</v>
      </c>
      <c r="AA34" s="18">
        <v>0.037301</v>
      </c>
      <c r="AB34" s="18">
        <v>0.037829</v>
      </c>
      <c r="AC34" s="18">
        <v>0.036367</v>
      </c>
      <c r="AD34" s="18">
        <v>0.032142</v>
      </c>
      <c r="AE34" s="18">
        <v>0.024353</v>
      </c>
      <c r="AF34" s="18">
        <v>0.012405</v>
      </c>
      <c r="AG34" s="18">
        <v>0.002454</v>
      </c>
      <c r="AH34" s="19">
        <v>2.48E-4</v>
      </c>
      <c r="AI34" s="18">
        <v>0.0</v>
      </c>
      <c r="AJ34" s="18">
        <v>0.0</v>
      </c>
      <c r="AK34" s="18">
        <v>0.0</v>
      </c>
      <c r="AL34" s="18">
        <v>0.0</v>
      </c>
      <c r="AM34" s="18">
        <v>0.0</v>
      </c>
      <c r="AN34" s="18">
        <v>0.0</v>
      </c>
      <c r="AO34" s="18">
        <v>0.0</v>
      </c>
      <c r="AP34" s="20">
        <v>0.0</v>
      </c>
      <c r="AQ34" s="20">
        <v>0.0</v>
      </c>
      <c r="AR34" s="20">
        <v>0.0</v>
      </c>
      <c r="AS34" s="20">
        <v>0.0</v>
      </c>
      <c r="AT34" s="2">
        <f t="shared" si="4"/>
        <v>0.02802321739</v>
      </c>
      <c r="AU34" s="12">
        <f t="shared" si="3"/>
        <v>0.02802321739</v>
      </c>
      <c r="AV34" s="14"/>
      <c r="AW34" s="15"/>
      <c r="AX34" s="15"/>
    </row>
    <row r="35" ht="15.75" customHeight="1">
      <c r="A35" s="7">
        <v>230908.0</v>
      </c>
      <c r="B35" s="7">
        <v>58.0</v>
      </c>
      <c r="C35" s="7">
        <v>1.0</v>
      </c>
      <c r="D35" s="8" t="s">
        <v>95</v>
      </c>
      <c r="E35" s="7">
        <v>7.0</v>
      </c>
      <c r="F35" s="8" t="s">
        <v>56</v>
      </c>
      <c r="G35" s="8" t="s">
        <v>67</v>
      </c>
      <c r="H35" s="8" t="s">
        <v>61</v>
      </c>
      <c r="I35" s="8" t="s">
        <v>51</v>
      </c>
      <c r="J35" s="8" t="s">
        <v>52</v>
      </c>
      <c r="K35" s="11" t="s">
        <v>53</v>
      </c>
      <c r="L35" s="18">
        <v>0.028211</v>
      </c>
      <c r="M35" s="18">
        <v>0.028556</v>
      </c>
      <c r="N35" s="18">
        <v>0.02803</v>
      </c>
      <c r="O35" s="18">
        <v>0.025182</v>
      </c>
      <c r="P35" s="18">
        <v>0.024077</v>
      </c>
      <c r="Q35" s="18">
        <v>0.028752</v>
      </c>
      <c r="R35" s="18">
        <v>0.032853</v>
      </c>
      <c r="S35" s="18">
        <v>0.031472</v>
      </c>
      <c r="T35" s="18">
        <v>0.031925</v>
      </c>
      <c r="U35" s="18">
        <v>0.034305</v>
      </c>
      <c r="V35" s="18">
        <v>0.034778</v>
      </c>
      <c r="W35" s="18">
        <v>0.035795</v>
      </c>
      <c r="X35" s="18">
        <v>0.037304</v>
      </c>
      <c r="Y35" s="18">
        <v>0.038504</v>
      </c>
      <c r="Z35" s="18">
        <v>0.037801</v>
      </c>
      <c r="AA35" s="18">
        <v>0.035061</v>
      </c>
      <c r="AB35" s="18">
        <v>0.034471</v>
      </c>
      <c r="AC35" s="18">
        <v>0.035715</v>
      </c>
      <c r="AD35" s="18">
        <v>0.03569</v>
      </c>
      <c r="AE35" s="18">
        <v>0.033483</v>
      </c>
      <c r="AF35" s="18">
        <v>0.026456</v>
      </c>
      <c r="AG35" s="18">
        <v>0.014587</v>
      </c>
      <c r="AH35" s="18">
        <v>0.004243</v>
      </c>
      <c r="AI35" s="18">
        <v>0.001326</v>
      </c>
      <c r="AJ35" s="19">
        <v>0.003281</v>
      </c>
      <c r="AK35" s="18">
        <v>0.0</v>
      </c>
      <c r="AL35" s="18">
        <v>0.0</v>
      </c>
      <c r="AM35" s="18">
        <v>0.0</v>
      </c>
      <c r="AN35" s="18">
        <v>0.0</v>
      </c>
      <c r="AO35" s="18">
        <v>0.0</v>
      </c>
      <c r="AP35" s="20">
        <v>0.0</v>
      </c>
      <c r="AQ35" s="20">
        <v>0.0</v>
      </c>
      <c r="AR35" s="20">
        <v>0.0</v>
      </c>
      <c r="AS35" s="20">
        <v>0.0</v>
      </c>
      <c r="AT35" s="2">
        <f>AVERAGE(L35:AJ35)</f>
        <v>0.02807432</v>
      </c>
      <c r="AU35" s="12">
        <f t="shared" si="3"/>
        <v>0.02807432</v>
      </c>
      <c r="AV35" s="14"/>
      <c r="AW35" s="15"/>
      <c r="AX35" s="15"/>
    </row>
    <row r="36" ht="15.75" customHeight="1">
      <c r="A36" s="7">
        <v>230908.0</v>
      </c>
      <c r="B36" s="7">
        <v>58.0</v>
      </c>
      <c r="C36" s="7">
        <v>1.0</v>
      </c>
      <c r="D36" s="8" t="s">
        <v>96</v>
      </c>
      <c r="E36" s="7">
        <v>7.0</v>
      </c>
      <c r="F36" s="8" t="s">
        <v>56</v>
      </c>
      <c r="G36" s="8" t="s">
        <v>67</v>
      </c>
      <c r="H36" s="8" t="s">
        <v>50</v>
      </c>
      <c r="I36" s="8" t="s">
        <v>51</v>
      </c>
      <c r="J36" s="8" t="s">
        <v>52</v>
      </c>
      <c r="K36" s="11" t="s">
        <v>53</v>
      </c>
      <c r="L36" s="18">
        <v>0.025316</v>
      </c>
      <c r="M36" s="18">
        <v>0.02387</v>
      </c>
      <c r="N36" s="18">
        <v>0.02305</v>
      </c>
      <c r="O36" s="18">
        <v>0.025162</v>
      </c>
      <c r="P36" s="18">
        <v>0.028241</v>
      </c>
      <c r="Q36" s="18">
        <v>0.029959</v>
      </c>
      <c r="R36" s="18">
        <v>0.029588</v>
      </c>
      <c r="S36" s="18">
        <v>0.030266</v>
      </c>
      <c r="T36" s="18">
        <v>0.032256</v>
      </c>
      <c r="U36" s="18">
        <v>0.033888</v>
      </c>
      <c r="V36" s="18">
        <v>0.033374</v>
      </c>
      <c r="W36" s="18">
        <v>0.032943</v>
      </c>
      <c r="X36" s="18">
        <v>0.032702</v>
      </c>
      <c r="Y36" s="18">
        <v>0.032024</v>
      </c>
      <c r="Z36" s="18">
        <v>0.03458</v>
      </c>
      <c r="AA36" s="18">
        <v>0.03768</v>
      </c>
      <c r="AB36" s="18">
        <v>0.038637</v>
      </c>
      <c r="AC36" s="18">
        <v>0.038646</v>
      </c>
      <c r="AD36" s="18">
        <v>0.037563</v>
      </c>
      <c r="AE36" s="18">
        <v>0.030926</v>
      </c>
      <c r="AF36" s="18">
        <v>0.020723</v>
      </c>
      <c r="AG36" s="18">
        <v>0.009761</v>
      </c>
      <c r="AH36" s="18">
        <v>0.002669</v>
      </c>
      <c r="AI36" s="19">
        <v>8.11E-4</v>
      </c>
      <c r="AJ36" s="18">
        <v>0.0</v>
      </c>
      <c r="AK36" s="18">
        <v>0.0</v>
      </c>
      <c r="AL36" s="18">
        <v>0.0</v>
      </c>
      <c r="AM36" s="18">
        <v>0.0</v>
      </c>
      <c r="AN36" s="18">
        <v>0.0</v>
      </c>
      <c r="AO36" s="18">
        <v>0.0</v>
      </c>
      <c r="AP36" s="20">
        <v>0.0</v>
      </c>
      <c r="AQ36" s="20">
        <v>0.0</v>
      </c>
      <c r="AR36" s="20">
        <v>0.0</v>
      </c>
      <c r="AS36" s="20">
        <v>0.0</v>
      </c>
      <c r="AT36" s="2">
        <f>AVERAGE(L36:AI36)</f>
        <v>0.027693125</v>
      </c>
      <c r="AU36" s="12">
        <f t="shared" si="3"/>
        <v>0.027693125</v>
      </c>
      <c r="AV36" s="14"/>
      <c r="AW36" s="15"/>
      <c r="AX36" s="15"/>
    </row>
    <row r="37" ht="15.75" customHeight="1">
      <c r="A37" s="7">
        <v>230908.0</v>
      </c>
      <c r="B37" s="7">
        <v>58.0</v>
      </c>
      <c r="C37" s="7">
        <v>1.0</v>
      </c>
      <c r="D37" s="8" t="s">
        <v>97</v>
      </c>
      <c r="E37" s="7">
        <v>7.0</v>
      </c>
      <c r="F37" s="8" t="s">
        <v>56</v>
      </c>
      <c r="G37" s="8" t="s">
        <v>67</v>
      </c>
      <c r="H37" s="8" t="s">
        <v>63</v>
      </c>
      <c r="I37" s="8" t="s">
        <v>51</v>
      </c>
      <c r="J37" s="8" t="s">
        <v>52</v>
      </c>
      <c r="K37" s="11" t="s">
        <v>53</v>
      </c>
      <c r="L37" s="18">
        <v>0.013586</v>
      </c>
      <c r="M37" s="18">
        <v>0.017998</v>
      </c>
      <c r="N37" s="18">
        <v>0.018266</v>
      </c>
      <c r="O37" s="18">
        <v>0.023053</v>
      </c>
      <c r="P37" s="18">
        <v>0.029968</v>
      </c>
      <c r="Q37" s="18">
        <v>0.031085</v>
      </c>
      <c r="R37" s="18">
        <v>0.033313</v>
      </c>
      <c r="S37" s="18">
        <v>0.036997</v>
      </c>
      <c r="T37" s="18">
        <v>0.037085</v>
      </c>
      <c r="U37" s="18">
        <v>0.037162</v>
      </c>
      <c r="V37" s="18">
        <v>0.039327</v>
      </c>
      <c r="W37" s="18">
        <v>0.043292</v>
      </c>
      <c r="X37" s="18">
        <v>0.044571</v>
      </c>
      <c r="Y37" s="18">
        <v>0.042465</v>
      </c>
      <c r="Z37" s="18">
        <v>0.040154</v>
      </c>
      <c r="AA37" s="18">
        <v>0.037894</v>
      </c>
      <c r="AB37" s="18">
        <v>0.033257</v>
      </c>
      <c r="AC37" s="18">
        <v>0.019928</v>
      </c>
      <c r="AD37" s="18">
        <v>0.007168</v>
      </c>
      <c r="AE37" s="18">
        <v>0.002017</v>
      </c>
      <c r="AF37" s="18">
        <v>3.1E-4</v>
      </c>
      <c r="AG37" s="18">
        <v>0.0</v>
      </c>
      <c r="AH37" s="18">
        <v>0.0</v>
      </c>
      <c r="AI37" s="18">
        <v>6.9E-4</v>
      </c>
      <c r="AJ37" s="18">
        <v>0.006038</v>
      </c>
      <c r="AK37" s="19">
        <v>0.016328</v>
      </c>
      <c r="AL37" s="2">
        <v>0.0</v>
      </c>
      <c r="AM37" s="2">
        <v>0.0</v>
      </c>
      <c r="AN37" s="2">
        <v>0.0</v>
      </c>
      <c r="AO37" s="2">
        <v>0.0</v>
      </c>
      <c r="AP37" s="20">
        <v>0.0</v>
      </c>
      <c r="AQ37" s="20">
        <v>0.0</v>
      </c>
      <c r="AR37" s="20">
        <v>0.0</v>
      </c>
      <c r="AS37" s="20">
        <v>0.0</v>
      </c>
      <c r="AT37" s="2">
        <f>AVERAGE(L37:AK37)</f>
        <v>0.02353661538</v>
      </c>
      <c r="AU37" s="12">
        <f t="shared" si="3"/>
        <v>0.025498</v>
      </c>
      <c r="AV37" s="14"/>
      <c r="AW37" s="15"/>
      <c r="AX37" s="15"/>
    </row>
    <row r="38" ht="15.75" customHeight="1">
      <c r="A38" s="7">
        <v>231101.0</v>
      </c>
      <c r="B38" s="7">
        <v>64.0</v>
      </c>
      <c r="C38" s="7">
        <v>2.0</v>
      </c>
      <c r="D38" s="8" t="s">
        <v>98</v>
      </c>
      <c r="E38" s="7">
        <v>7.0</v>
      </c>
      <c r="F38" s="8" t="s">
        <v>56</v>
      </c>
      <c r="G38" s="8" t="s">
        <v>49</v>
      </c>
      <c r="H38" s="8" t="s">
        <v>65</v>
      </c>
      <c r="I38" s="8" t="s">
        <v>51</v>
      </c>
      <c r="J38" s="8" t="s">
        <v>52</v>
      </c>
      <c r="K38" s="11" t="s">
        <v>57</v>
      </c>
      <c r="L38" s="18">
        <v>0.017985</v>
      </c>
      <c r="M38" s="18">
        <v>0.022433</v>
      </c>
      <c r="N38" s="18">
        <v>0.025536</v>
      </c>
      <c r="O38" s="18">
        <v>0.028709</v>
      </c>
      <c r="P38" s="18">
        <v>0.026934</v>
      </c>
      <c r="Q38" s="18">
        <v>0.024203</v>
      </c>
      <c r="R38" s="18">
        <v>0.026383</v>
      </c>
      <c r="S38" s="18">
        <v>0.025839</v>
      </c>
      <c r="T38" s="18">
        <v>0.024094</v>
      </c>
      <c r="U38" s="18">
        <v>0.02346</v>
      </c>
      <c r="V38" s="18">
        <v>0.023548</v>
      </c>
      <c r="W38" s="18">
        <v>0.026043</v>
      </c>
      <c r="X38" s="18">
        <v>0.028925</v>
      </c>
      <c r="Y38" s="18">
        <v>0.031914</v>
      </c>
      <c r="Z38" s="18">
        <v>0.034168</v>
      </c>
      <c r="AA38" s="18">
        <v>0.032906</v>
      </c>
      <c r="AB38" s="18">
        <v>0.0323</v>
      </c>
      <c r="AC38" s="18">
        <v>0.033803</v>
      </c>
      <c r="AD38" s="18">
        <v>0.033646</v>
      </c>
      <c r="AE38" s="18">
        <v>0.033831</v>
      </c>
      <c r="AF38" s="18">
        <v>0.034702</v>
      </c>
      <c r="AG38" s="18">
        <v>0.033534</v>
      </c>
      <c r="AH38" s="18">
        <v>0.026478</v>
      </c>
      <c r="AI38" s="18">
        <v>0.014961</v>
      </c>
      <c r="AJ38" s="18">
        <v>0.005182</v>
      </c>
      <c r="AK38" s="18">
        <v>6.55E-4</v>
      </c>
      <c r="AL38" s="18">
        <v>1.66E-4</v>
      </c>
      <c r="AM38" s="18">
        <v>1.93E-4</v>
      </c>
      <c r="AN38" s="19">
        <v>1.56E-4</v>
      </c>
      <c r="AO38" s="18">
        <v>0.0</v>
      </c>
      <c r="AP38" s="20">
        <v>0.0</v>
      </c>
      <c r="AQ38" s="20">
        <v>0.0</v>
      </c>
      <c r="AR38" s="20">
        <v>0.0</v>
      </c>
      <c r="AS38" s="20">
        <v>0.0</v>
      </c>
      <c r="AT38" s="2">
        <f>AVERAGE(L38:AN38)</f>
        <v>0.02319610345</v>
      </c>
      <c r="AU38" s="12">
        <f t="shared" si="3"/>
        <v>0.02319610345</v>
      </c>
      <c r="AV38" s="14"/>
      <c r="AW38" s="15"/>
      <c r="AX38" s="15"/>
    </row>
    <row r="39" ht="15.75" customHeight="1">
      <c r="A39" s="7">
        <v>231101.0</v>
      </c>
      <c r="B39" s="7">
        <v>64.0</v>
      </c>
      <c r="C39" s="7">
        <v>2.0</v>
      </c>
      <c r="D39" s="8" t="s">
        <v>99</v>
      </c>
      <c r="E39" s="7">
        <v>7.0</v>
      </c>
      <c r="F39" s="8" t="s">
        <v>56</v>
      </c>
      <c r="G39" s="8" t="s">
        <v>49</v>
      </c>
      <c r="H39" s="8" t="s">
        <v>61</v>
      </c>
      <c r="I39" s="8" t="s">
        <v>51</v>
      </c>
      <c r="J39" s="8" t="s">
        <v>52</v>
      </c>
      <c r="K39" s="11" t="s">
        <v>57</v>
      </c>
      <c r="L39" s="18">
        <v>0.010155</v>
      </c>
      <c r="M39" s="18">
        <v>0.019366</v>
      </c>
      <c r="N39" s="18">
        <v>0.024711</v>
      </c>
      <c r="O39" s="18">
        <v>0.027354</v>
      </c>
      <c r="P39" s="18">
        <v>0.028887</v>
      </c>
      <c r="Q39" s="18">
        <v>0.028001</v>
      </c>
      <c r="R39" s="18">
        <v>0.027549</v>
      </c>
      <c r="S39" s="18">
        <v>0.029035</v>
      </c>
      <c r="T39" s="18">
        <v>0.029159</v>
      </c>
      <c r="U39" s="18">
        <v>0.028715</v>
      </c>
      <c r="V39" s="18">
        <v>0.030784</v>
      </c>
      <c r="W39" s="18">
        <v>0.031369</v>
      </c>
      <c r="X39" s="18">
        <v>0.029891</v>
      </c>
      <c r="Y39" s="18">
        <v>0.029906</v>
      </c>
      <c r="Z39" s="18">
        <v>0.028701</v>
      </c>
      <c r="AA39" s="18">
        <v>0.030284</v>
      </c>
      <c r="AB39" s="18">
        <v>0.033301</v>
      </c>
      <c r="AC39" s="18">
        <v>0.035234</v>
      </c>
      <c r="AD39" s="18">
        <v>0.038324</v>
      </c>
      <c r="AE39" s="18">
        <v>0.039312</v>
      </c>
      <c r="AF39" s="18">
        <v>0.036799</v>
      </c>
      <c r="AG39" s="18">
        <v>0.03441</v>
      </c>
      <c r="AH39" s="18">
        <v>0.028906</v>
      </c>
      <c r="AI39" s="18">
        <v>0.016034</v>
      </c>
      <c r="AJ39" s="18">
        <v>0.003881</v>
      </c>
      <c r="AK39" s="18">
        <v>3.53E-4</v>
      </c>
      <c r="AL39" s="19">
        <v>1.37E-4</v>
      </c>
      <c r="AM39" s="18">
        <v>0.0</v>
      </c>
      <c r="AN39" s="2">
        <v>0.0</v>
      </c>
      <c r="AO39" s="2">
        <v>0.0</v>
      </c>
      <c r="AP39" s="20">
        <v>0.0</v>
      </c>
      <c r="AQ39" s="20">
        <v>0.0</v>
      </c>
      <c r="AR39" s="20">
        <v>0.0</v>
      </c>
      <c r="AS39" s="20">
        <v>0.0</v>
      </c>
      <c r="AT39" s="2">
        <f>AVERAGE(L39:AL39)</f>
        <v>0.02594659259</v>
      </c>
      <c r="AU39" s="12">
        <f t="shared" si="3"/>
        <v>0.02594659259</v>
      </c>
      <c r="AV39" s="14"/>
      <c r="AW39" s="15"/>
      <c r="AX39" s="15"/>
    </row>
    <row r="40" ht="15.75" customHeight="1">
      <c r="A40" s="7">
        <v>231101.0</v>
      </c>
      <c r="B40" s="7">
        <v>64.0</v>
      </c>
      <c r="C40" s="7">
        <v>2.0</v>
      </c>
      <c r="D40" s="8" t="s">
        <v>100</v>
      </c>
      <c r="E40" s="7">
        <v>7.0</v>
      </c>
      <c r="F40" s="8" t="s">
        <v>56</v>
      </c>
      <c r="G40" s="8" t="s">
        <v>67</v>
      </c>
      <c r="H40" s="8" t="s">
        <v>63</v>
      </c>
      <c r="I40" s="8" t="s">
        <v>51</v>
      </c>
      <c r="J40" s="8" t="s">
        <v>52</v>
      </c>
      <c r="K40" s="11" t="s">
        <v>57</v>
      </c>
      <c r="L40" s="18">
        <v>0.029494</v>
      </c>
      <c r="M40" s="18">
        <v>0.028925</v>
      </c>
      <c r="N40" s="18">
        <v>0.029237</v>
      </c>
      <c r="O40" s="18">
        <v>0.028618</v>
      </c>
      <c r="P40" s="18">
        <v>0.026083</v>
      </c>
      <c r="Q40" s="18">
        <v>0.024697</v>
      </c>
      <c r="R40" s="18">
        <v>0.024481</v>
      </c>
      <c r="S40" s="18">
        <v>0.02496</v>
      </c>
      <c r="T40" s="18">
        <v>0.027864</v>
      </c>
      <c r="U40" s="18">
        <v>0.029677</v>
      </c>
      <c r="V40" s="18">
        <v>0.028771</v>
      </c>
      <c r="W40" s="18">
        <v>0.028997</v>
      </c>
      <c r="X40" s="18">
        <v>0.032095</v>
      </c>
      <c r="Y40" s="18">
        <v>0.036051</v>
      </c>
      <c r="Z40" s="18">
        <v>0.038103</v>
      </c>
      <c r="AA40" s="18">
        <v>0.037551</v>
      </c>
      <c r="AB40" s="18">
        <v>0.035118</v>
      </c>
      <c r="AC40" s="18">
        <v>0.031859</v>
      </c>
      <c r="AD40" s="18">
        <v>0.028152</v>
      </c>
      <c r="AE40" s="18">
        <v>0.02477</v>
      </c>
      <c r="AF40" s="18">
        <v>0.019875</v>
      </c>
      <c r="AG40" s="18">
        <v>0.014392</v>
      </c>
      <c r="AH40" s="18">
        <v>0.01254</v>
      </c>
      <c r="AI40" s="18">
        <v>0.011991</v>
      </c>
      <c r="AJ40" s="18">
        <v>0.007371</v>
      </c>
      <c r="AK40" s="19">
        <v>0.002058</v>
      </c>
      <c r="AL40" s="18">
        <v>0.0</v>
      </c>
      <c r="AM40" s="18">
        <v>0.0</v>
      </c>
      <c r="AN40" s="18">
        <v>0.0</v>
      </c>
      <c r="AO40" s="2">
        <v>0.0</v>
      </c>
      <c r="AP40" s="20">
        <v>0.0</v>
      </c>
      <c r="AQ40" s="20">
        <v>0.0</v>
      </c>
      <c r="AR40" s="20">
        <v>0.0</v>
      </c>
      <c r="AS40" s="20">
        <v>0.0</v>
      </c>
      <c r="AT40" s="2">
        <f>AVERAGE(L40:AK40)</f>
        <v>0.02552807692</v>
      </c>
      <c r="AU40" s="12">
        <f t="shared" si="3"/>
        <v>0.02552807692</v>
      </c>
      <c r="AV40" s="14"/>
      <c r="AW40" s="15"/>
      <c r="AX40" s="15"/>
    </row>
    <row r="41" ht="15.75" customHeight="1">
      <c r="A41" s="7">
        <v>231101.0</v>
      </c>
      <c r="B41" s="7">
        <v>64.0</v>
      </c>
      <c r="C41" s="7">
        <v>2.0</v>
      </c>
      <c r="D41" s="8" t="s">
        <v>101</v>
      </c>
      <c r="E41" s="7">
        <v>7.0</v>
      </c>
      <c r="F41" s="8" t="s">
        <v>56</v>
      </c>
      <c r="G41" s="8" t="s">
        <v>67</v>
      </c>
      <c r="H41" s="8" t="s">
        <v>61</v>
      </c>
      <c r="I41" s="8" t="s">
        <v>51</v>
      </c>
      <c r="J41" s="8" t="s">
        <v>52</v>
      </c>
      <c r="K41" s="11" t="s">
        <v>57</v>
      </c>
      <c r="L41" s="18">
        <v>0.032628</v>
      </c>
      <c r="M41" s="18">
        <v>0.033523</v>
      </c>
      <c r="N41" s="18">
        <v>0.028952</v>
      </c>
      <c r="O41" s="18">
        <v>0.021316</v>
      </c>
      <c r="P41" s="18">
        <v>0.022062</v>
      </c>
      <c r="Q41" s="18">
        <v>0.025063</v>
      </c>
      <c r="R41" s="18">
        <v>0.024779</v>
      </c>
      <c r="S41" s="18">
        <v>0.026059</v>
      </c>
      <c r="T41" s="18">
        <v>0.027106</v>
      </c>
      <c r="U41" s="18">
        <v>0.028123</v>
      </c>
      <c r="V41" s="18">
        <v>0.02893</v>
      </c>
      <c r="W41" s="18">
        <v>0.027287</v>
      </c>
      <c r="X41" s="18">
        <v>0.025931</v>
      </c>
      <c r="Y41" s="18">
        <v>0.025965</v>
      </c>
      <c r="Z41" s="18">
        <v>0.027736</v>
      </c>
      <c r="AA41" s="18">
        <v>0.029632</v>
      </c>
      <c r="AB41" s="18">
        <v>0.031157</v>
      </c>
      <c r="AC41" s="18">
        <v>0.034904</v>
      </c>
      <c r="AD41" s="18">
        <v>0.038776</v>
      </c>
      <c r="AE41" s="18">
        <v>0.039445</v>
      </c>
      <c r="AF41" s="18">
        <v>0.040443</v>
      </c>
      <c r="AG41" s="18">
        <v>0.041679</v>
      </c>
      <c r="AH41" s="18">
        <v>0.037104</v>
      </c>
      <c r="AI41" s="18">
        <v>0.033566</v>
      </c>
      <c r="AJ41" s="18">
        <v>0.029066</v>
      </c>
      <c r="AK41" s="18">
        <v>0.016605</v>
      </c>
      <c r="AL41" s="18">
        <v>0.006908</v>
      </c>
      <c r="AM41" s="19">
        <v>0.003387</v>
      </c>
      <c r="AN41" s="18">
        <v>0.0</v>
      </c>
      <c r="AO41" s="2">
        <v>0.0</v>
      </c>
      <c r="AP41" s="20">
        <v>0.0</v>
      </c>
      <c r="AQ41" s="20">
        <v>0.0</v>
      </c>
      <c r="AR41" s="20">
        <v>0.0</v>
      </c>
      <c r="AS41" s="20">
        <v>0.0</v>
      </c>
      <c r="AT41" s="2">
        <f>AVERAGE(L41:AM41)</f>
        <v>0.02814757143</v>
      </c>
      <c r="AU41" s="12">
        <f t="shared" si="3"/>
        <v>0.02814757143</v>
      </c>
      <c r="AV41" s="14"/>
      <c r="AW41" s="15"/>
      <c r="AX41" s="15"/>
    </row>
    <row r="42" ht="15.75" customHeight="1">
      <c r="A42" s="7">
        <v>231116.0</v>
      </c>
      <c r="B42" s="7">
        <v>64.0</v>
      </c>
      <c r="C42" s="7">
        <v>2.0</v>
      </c>
      <c r="D42" s="8" t="s">
        <v>102</v>
      </c>
      <c r="E42" s="7">
        <v>7.0</v>
      </c>
      <c r="F42" s="8" t="s">
        <v>48</v>
      </c>
      <c r="G42" s="8" t="s">
        <v>89</v>
      </c>
      <c r="H42" s="8" t="s">
        <v>65</v>
      </c>
      <c r="I42" s="8" t="s">
        <v>51</v>
      </c>
      <c r="J42" s="8" t="s">
        <v>52</v>
      </c>
      <c r="K42" s="11" t="s">
        <v>59</v>
      </c>
      <c r="L42" s="18">
        <v>0.035831</v>
      </c>
      <c r="M42" s="18">
        <v>0.036663</v>
      </c>
      <c r="N42" s="18">
        <v>0.033981</v>
      </c>
      <c r="O42" s="18">
        <v>0.030277</v>
      </c>
      <c r="P42" s="18">
        <v>0.028445</v>
      </c>
      <c r="Q42" s="18">
        <v>0.027737</v>
      </c>
      <c r="R42" s="18">
        <v>0.025499</v>
      </c>
      <c r="S42" s="18">
        <v>0.023078</v>
      </c>
      <c r="T42" s="18">
        <v>0.025493</v>
      </c>
      <c r="U42" s="18">
        <v>0.029516</v>
      </c>
      <c r="V42" s="18">
        <v>0.031779</v>
      </c>
      <c r="W42" s="18">
        <v>0.033471</v>
      </c>
      <c r="X42" s="18">
        <v>0.032319</v>
      </c>
      <c r="Y42" s="18">
        <v>0.02986</v>
      </c>
      <c r="Z42" s="18">
        <v>0.031467</v>
      </c>
      <c r="AA42" s="18">
        <v>0.034506</v>
      </c>
      <c r="AB42" s="18">
        <v>0.035557</v>
      </c>
      <c r="AC42" s="18">
        <v>0.036874</v>
      </c>
      <c r="AD42" s="18">
        <v>0.036404</v>
      </c>
      <c r="AE42" s="18">
        <v>0.033292</v>
      </c>
      <c r="AF42" s="18">
        <v>0.029969</v>
      </c>
      <c r="AG42" s="18">
        <v>0.021768</v>
      </c>
      <c r="AH42" s="18">
        <v>0.015961</v>
      </c>
      <c r="AI42" s="18">
        <v>0.0179</v>
      </c>
      <c r="AJ42" s="18">
        <v>0.017644</v>
      </c>
      <c r="AK42" s="18">
        <v>0.018172</v>
      </c>
      <c r="AL42" s="18">
        <v>0.021393</v>
      </c>
      <c r="AM42" s="18">
        <v>0.020803</v>
      </c>
      <c r="AN42" s="18">
        <v>0.015251</v>
      </c>
      <c r="AO42" s="19">
        <v>0.006455</v>
      </c>
      <c r="AP42" s="20">
        <v>0.0</v>
      </c>
      <c r="AQ42" s="20">
        <v>0.0</v>
      </c>
      <c r="AR42" s="20">
        <v>0.0</v>
      </c>
      <c r="AS42" s="20">
        <v>0.0</v>
      </c>
      <c r="AT42" s="2">
        <f>AVERAGE(L42:AO42)</f>
        <v>0.0272455</v>
      </c>
      <c r="AU42" s="12">
        <f t="shared" si="3"/>
        <v>0.0272455</v>
      </c>
      <c r="AV42" s="14"/>
      <c r="AW42" s="15"/>
      <c r="AX42" s="15"/>
    </row>
    <row r="43" ht="15.75" customHeight="1">
      <c r="A43" s="7">
        <v>231116.0</v>
      </c>
      <c r="B43" s="7">
        <v>64.0</v>
      </c>
      <c r="C43" s="7">
        <v>2.0</v>
      </c>
      <c r="D43" s="8" t="s">
        <v>103</v>
      </c>
      <c r="E43" s="7">
        <v>7.0</v>
      </c>
      <c r="F43" s="8" t="s">
        <v>48</v>
      </c>
      <c r="G43" s="8" t="s">
        <v>89</v>
      </c>
      <c r="H43" s="8" t="s">
        <v>63</v>
      </c>
      <c r="I43" s="8" t="s">
        <v>51</v>
      </c>
      <c r="J43" s="8" t="s">
        <v>52</v>
      </c>
      <c r="K43" s="11" t="s">
        <v>59</v>
      </c>
      <c r="L43" s="18">
        <v>0.025865</v>
      </c>
      <c r="M43" s="18">
        <v>0.022369</v>
      </c>
      <c r="N43" s="18">
        <v>0.021103</v>
      </c>
      <c r="O43" s="18">
        <v>0.021402</v>
      </c>
      <c r="P43" s="18">
        <v>0.026195</v>
      </c>
      <c r="Q43" s="18">
        <v>0.031287</v>
      </c>
      <c r="R43" s="18">
        <v>0.030319</v>
      </c>
      <c r="S43" s="18">
        <v>0.030064</v>
      </c>
      <c r="T43" s="18">
        <v>0.03132</v>
      </c>
      <c r="U43" s="18">
        <v>0.031697</v>
      </c>
      <c r="V43" s="18">
        <v>0.032905</v>
      </c>
      <c r="W43" s="18">
        <v>0.031208</v>
      </c>
      <c r="X43" s="18">
        <v>0.026855</v>
      </c>
      <c r="Y43" s="18">
        <v>0.027314</v>
      </c>
      <c r="Z43" s="18">
        <v>0.027978</v>
      </c>
      <c r="AA43" s="18">
        <v>0.028973</v>
      </c>
      <c r="AB43" s="18">
        <v>0.03115</v>
      </c>
      <c r="AC43" s="18">
        <v>0.032252</v>
      </c>
      <c r="AD43" s="18">
        <v>0.034168</v>
      </c>
      <c r="AE43" s="18">
        <v>0.036505</v>
      </c>
      <c r="AF43" s="18">
        <v>0.038715</v>
      </c>
      <c r="AG43" s="18">
        <v>0.038892</v>
      </c>
      <c r="AH43" s="18">
        <v>0.031861</v>
      </c>
      <c r="AI43" s="18">
        <v>0.021626</v>
      </c>
      <c r="AJ43" s="18">
        <v>0.015175</v>
      </c>
      <c r="AK43" s="18">
        <v>0.009758</v>
      </c>
      <c r="AL43" s="18">
        <v>0.003817</v>
      </c>
      <c r="AM43" s="18">
        <v>2.35E-4</v>
      </c>
      <c r="AN43" s="19">
        <v>9.12E-5</v>
      </c>
      <c r="AO43" s="2">
        <v>0.0</v>
      </c>
      <c r="AP43" s="20">
        <v>0.0</v>
      </c>
      <c r="AQ43" s="20">
        <v>0.0</v>
      </c>
      <c r="AR43" s="20">
        <v>0.0</v>
      </c>
      <c r="AS43" s="20">
        <v>0.0</v>
      </c>
      <c r="AT43" s="2">
        <f>AVERAGE(L43:AN43)</f>
        <v>0.02555514483</v>
      </c>
      <c r="AU43" s="12">
        <f t="shared" si="3"/>
        <v>0.02555514483</v>
      </c>
      <c r="AV43" s="14"/>
      <c r="AW43" s="15"/>
      <c r="AX43" s="15"/>
    </row>
    <row r="44" ht="15.75" customHeight="1">
      <c r="A44" s="7">
        <v>231116.0</v>
      </c>
      <c r="B44" s="7">
        <v>64.0</v>
      </c>
      <c r="C44" s="7">
        <v>2.0</v>
      </c>
      <c r="D44" s="8" t="s">
        <v>104</v>
      </c>
      <c r="E44" s="7">
        <v>7.0</v>
      </c>
      <c r="F44" s="8" t="s">
        <v>48</v>
      </c>
      <c r="G44" s="8" t="s">
        <v>89</v>
      </c>
      <c r="H44" s="8" t="s">
        <v>61</v>
      </c>
      <c r="I44" s="8" t="s">
        <v>51</v>
      </c>
      <c r="J44" s="8" t="s">
        <v>52</v>
      </c>
      <c r="K44" s="11" t="s">
        <v>59</v>
      </c>
      <c r="L44" s="18">
        <v>0.020979</v>
      </c>
      <c r="M44" s="18">
        <v>0.023682</v>
      </c>
      <c r="N44" s="18">
        <v>0.025616</v>
      </c>
      <c r="O44" s="18">
        <v>0.025955</v>
      </c>
      <c r="P44" s="18">
        <v>0.026364</v>
      </c>
      <c r="Q44" s="18">
        <v>0.026569</v>
      </c>
      <c r="R44" s="18">
        <v>0.027827</v>
      </c>
      <c r="S44" s="18">
        <v>0.029949</v>
      </c>
      <c r="T44" s="18">
        <v>0.028527</v>
      </c>
      <c r="U44" s="18">
        <v>0.027997</v>
      </c>
      <c r="V44" s="18">
        <v>0.03065</v>
      </c>
      <c r="W44" s="18">
        <v>0.031501</v>
      </c>
      <c r="X44" s="18">
        <v>0.032817</v>
      </c>
      <c r="Y44" s="18">
        <v>0.034208</v>
      </c>
      <c r="Z44" s="18">
        <v>0.033063</v>
      </c>
      <c r="AA44" s="18">
        <v>0.033398</v>
      </c>
      <c r="AB44" s="18">
        <v>0.032952</v>
      </c>
      <c r="AC44" s="18">
        <v>0.031697</v>
      </c>
      <c r="AD44" s="18">
        <v>0.032142</v>
      </c>
      <c r="AE44" s="18">
        <v>0.031877</v>
      </c>
      <c r="AF44" s="18">
        <v>0.026937</v>
      </c>
      <c r="AG44" s="18">
        <v>0.015804</v>
      </c>
      <c r="AH44" s="18">
        <v>0.006338</v>
      </c>
      <c r="AI44" s="18">
        <v>0.003926</v>
      </c>
      <c r="AJ44" s="18">
        <v>0.00547</v>
      </c>
      <c r="AK44" s="18">
        <v>0.00861</v>
      </c>
      <c r="AL44" s="18">
        <v>0.016044</v>
      </c>
      <c r="AM44" s="19">
        <v>0.038056</v>
      </c>
      <c r="AN44" s="2">
        <v>0.0</v>
      </c>
      <c r="AO44" s="2">
        <v>0.0</v>
      </c>
      <c r="AP44" s="20">
        <v>0.0</v>
      </c>
      <c r="AQ44" s="20">
        <v>0.0</v>
      </c>
      <c r="AR44" s="20">
        <v>0.0</v>
      </c>
      <c r="AS44" s="20">
        <v>0.0</v>
      </c>
      <c r="AT44" s="2">
        <f>AVERAGE(L44:AM44)</f>
        <v>0.02531982143</v>
      </c>
      <c r="AU44" s="12">
        <f t="shared" si="3"/>
        <v>0.02531982143</v>
      </c>
      <c r="AV44" s="14"/>
      <c r="AW44" s="15"/>
      <c r="AX44" s="15"/>
    </row>
    <row r="45" ht="15.75" customHeight="1">
      <c r="A45" s="7">
        <v>231116.0</v>
      </c>
      <c r="B45" s="7">
        <v>64.0</v>
      </c>
      <c r="C45" s="7">
        <v>2.0</v>
      </c>
      <c r="D45" s="8" t="s">
        <v>105</v>
      </c>
      <c r="E45" s="7">
        <v>7.0</v>
      </c>
      <c r="F45" s="8" t="s">
        <v>48</v>
      </c>
      <c r="G45" s="8" t="s">
        <v>85</v>
      </c>
      <c r="H45" s="8" t="s">
        <v>65</v>
      </c>
      <c r="I45" s="8" t="s">
        <v>51</v>
      </c>
      <c r="J45" s="8" t="s">
        <v>52</v>
      </c>
      <c r="K45" s="11" t="s">
        <v>59</v>
      </c>
      <c r="L45" s="18">
        <v>0.032547</v>
      </c>
      <c r="M45" s="18">
        <v>0.02982</v>
      </c>
      <c r="N45" s="18">
        <v>0.02314</v>
      </c>
      <c r="O45" s="18">
        <v>0.020571</v>
      </c>
      <c r="P45" s="18">
        <v>0.026142</v>
      </c>
      <c r="Q45" s="18">
        <v>0.030087</v>
      </c>
      <c r="R45" s="18">
        <v>0.031558</v>
      </c>
      <c r="S45" s="18">
        <v>0.032076</v>
      </c>
      <c r="T45" s="18">
        <v>0.031821</v>
      </c>
      <c r="U45" s="18">
        <v>0.029887</v>
      </c>
      <c r="V45" s="18">
        <v>0.026259</v>
      </c>
      <c r="W45" s="18">
        <v>0.02491</v>
      </c>
      <c r="X45" s="18">
        <v>0.027023</v>
      </c>
      <c r="Y45" s="18">
        <v>0.029183</v>
      </c>
      <c r="Z45" s="18">
        <v>0.031936</v>
      </c>
      <c r="AA45" s="18">
        <v>0.034251</v>
      </c>
      <c r="AB45" s="18">
        <v>0.034251</v>
      </c>
      <c r="AC45" s="18">
        <v>0.034158</v>
      </c>
      <c r="AD45" s="18">
        <v>0.034829</v>
      </c>
      <c r="AE45" s="18">
        <v>0.033309</v>
      </c>
      <c r="AF45" s="18">
        <v>0.032729</v>
      </c>
      <c r="AG45" s="18">
        <v>0.034154</v>
      </c>
      <c r="AH45" s="18">
        <v>0.034744</v>
      </c>
      <c r="AI45" s="18">
        <v>0.033255</v>
      </c>
      <c r="AJ45" s="18">
        <v>0.028272</v>
      </c>
      <c r="AK45" s="18">
        <v>0.023709</v>
      </c>
      <c r="AL45" s="18">
        <v>0.020457</v>
      </c>
      <c r="AM45" s="18">
        <v>0.016215</v>
      </c>
      <c r="AN45" s="18">
        <v>0.012304</v>
      </c>
      <c r="AO45" s="19">
        <v>0.008938</v>
      </c>
      <c r="AP45" s="20">
        <v>0.0</v>
      </c>
      <c r="AQ45" s="20">
        <v>0.0</v>
      </c>
      <c r="AR45" s="20">
        <v>0.0</v>
      </c>
      <c r="AS45" s="20">
        <v>0.0</v>
      </c>
      <c r="AT45" s="2">
        <f>AVERAGE(L45:AO45)</f>
        <v>0.0280845</v>
      </c>
      <c r="AU45" s="12">
        <f t="shared" si="3"/>
        <v>0.0280845</v>
      </c>
      <c r="AV45" s="14"/>
      <c r="AW45" s="15"/>
      <c r="AX45" s="15"/>
    </row>
    <row r="46" ht="15.75" customHeight="1">
      <c r="A46" s="7">
        <v>231116.0</v>
      </c>
      <c r="B46" s="7">
        <v>64.0</v>
      </c>
      <c r="C46" s="7">
        <v>2.0</v>
      </c>
      <c r="D46" s="8" t="s">
        <v>106</v>
      </c>
      <c r="E46" s="7">
        <v>7.0</v>
      </c>
      <c r="F46" s="8" t="s">
        <v>48</v>
      </c>
      <c r="G46" s="8" t="s">
        <v>85</v>
      </c>
      <c r="H46" s="8" t="s">
        <v>50</v>
      </c>
      <c r="I46" s="8" t="s">
        <v>51</v>
      </c>
      <c r="J46" s="8" t="s">
        <v>52</v>
      </c>
      <c r="K46" s="11" t="s">
        <v>59</v>
      </c>
      <c r="L46" s="18">
        <v>0.028973</v>
      </c>
      <c r="M46" s="18">
        <v>0.029006</v>
      </c>
      <c r="N46" s="18">
        <v>0.029195</v>
      </c>
      <c r="O46" s="18">
        <v>0.026742</v>
      </c>
      <c r="P46" s="18">
        <v>0.026447</v>
      </c>
      <c r="Q46" s="18">
        <v>0.028086</v>
      </c>
      <c r="R46" s="18">
        <v>0.028867</v>
      </c>
      <c r="S46" s="18">
        <v>0.029065</v>
      </c>
      <c r="T46" s="18">
        <v>0.025392</v>
      </c>
      <c r="U46" s="18">
        <v>0.024678</v>
      </c>
      <c r="V46" s="18">
        <v>0.027345</v>
      </c>
      <c r="W46" s="18">
        <v>0.028477</v>
      </c>
      <c r="X46" s="18">
        <v>0.027535</v>
      </c>
      <c r="Y46" s="18">
        <v>0.026269</v>
      </c>
      <c r="Z46" s="18">
        <v>0.02681</v>
      </c>
      <c r="AA46" s="18">
        <v>0.029377</v>
      </c>
      <c r="AB46" s="18">
        <v>0.031264</v>
      </c>
      <c r="AC46" s="18">
        <v>0.031989</v>
      </c>
      <c r="AD46" s="18">
        <v>0.033462</v>
      </c>
      <c r="AE46" s="18">
        <v>0.034089</v>
      </c>
      <c r="AF46" s="18">
        <v>0.033102</v>
      </c>
      <c r="AG46" s="18">
        <v>0.032211</v>
      </c>
      <c r="AH46" s="18">
        <v>0.031628</v>
      </c>
      <c r="AI46" s="18">
        <v>0.029187</v>
      </c>
      <c r="AJ46" s="18">
        <v>0.017841</v>
      </c>
      <c r="AK46" s="18">
        <v>0.004737</v>
      </c>
      <c r="AL46" s="18">
        <v>5.93E-4</v>
      </c>
      <c r="AM46" s="18">
        <v>0.001055</v>
      </c>
      <c r="AN46" s="19">
        <v>0.001582</v>
      </c>
      <c r="AO46" s="18">
        <v>0.0</v>
      </c>
      <c r="AP46" s="20">
        <v>0.0</v>
      </c>
      <c r="AQ46" s="20">
        <v>0.0</v>
      </c>
      <c r="AR46" s="20">
        <v>0.0</v>
      </c>
      <c r="AS46" s="20">
        <v>0.0</v>
      </c>
      <c r="AT46" s="2">
        <f>AVERAGE(L46:AN46)</f>
        <v>0.02500013793</v>
      </c>
      <c r="AU46" s="12">
        <f t="shared" si="3"/>
        <v>0.02500013793</v>
      </c>
      <c r="AV46" s="14"/>
      <c r="AW46" s="15"/>
      <c r="AX46" s="15"/>
    </row>
    <row r="47" ht="15.75" customHeight="1">
      <c r="A47" s="7">
        <v>231116.0</v>
      </c>
      <c r="B47" s="7">
        <v>64.0</v>
      </c>
      <c r="C47" s="7">
        <v>2.0</v>
      </c>
      <c r="D47" s="8" t="s">
        <v>107</v>
      </c>
      <c r="E47" s="7">
        <v>7.0</v>
      </c>
      <c r="F47" s="8" t="s">
        <v>48</v>
      </c>
      <c r="G47" s="8" t="s">
        <v>85</v>
      </c>
      <c r="H47" s="8" t="s">
        <v>63</v>
      </c>
      <c r="I47" s="8" t="s">
        <v>51</v>
      </c>
      <c r="J47" s="8" t="s">
        <v>52</v>
      </c>
      <c r="K47" s="11" t="s">
        <v>59</v>
      </c>
      <c r="L47" s="18">
        <v>0.025064</v>
      </c>
      <c r="M47" s="18">
        <v>0.02483</v>
      </c>
      <c r="N47" s="18">
        <v>0.023779</v>
      </c>
      <c r="O47" s="18">
        <v>0.024855</v>
      </c>
      <c r="P47" s="18">
        <v>0.026459</v>
      </c>
      <c r="Q47" s="18">
        <v>0.026451</v>
      </c>
      <c r="R47" s="18">
        <v>0.027574</v>
      </c>
      <c r="S47" s="18">
        <v>0.02799</v>
      </c>
      <c r="T47" s="18">
        <v>0.027095</v>
      </c>
      <c r="U47" s="18">
        <v>0.026722</v>
      </c>
      <c r="V47" s="18">
        <v>0.027214</v>
      </c>
      <c r="W47" s="18">
        <v>0.02956</v>
      </c>
      <c r="X47" s="18">
        <v>0.031651</v>
      </c>
      <c r="Y47" s="18">
        <v>0.033151</v>
      </c>
      <c r="Z47" s="18">
        <v>0.034197</v>
      </c>
      <c r="AA47" s="18">
        <v>0.036397</v>
      </c>
      <c r="AB47" s="18">
        <v>0.038938</v>
      </c>
      <c r="AC47" s="18">
        <v>0.041122</v>
      </c>
      <c r="AD47" s="18">
        <v>0.042742</v>
      </c>
      <c r="AE47" s="18">
        <v>0.040586</v>
      </c>
      <c r="AF47" s="18">
        <v>0.031308</v>
      </c>
      <c r="AG47" s="18">
        <v>0.022438</v>
      </c>
      <c r="AH47" s="18">
        <v>0.018712</v>
      </c>
      <c r="AI47" s="18">
        <v>0.012433</v>
      </c>
      <c r="AJ47" s="18">
        <v>0.00596</v>
      </c>
      <c r="AK47" s="18">
        <v>0.002755</v>
      </c>
      <c r="AL47" s="19">
        <v>0.001171</v>
      </c>
      <c r="AM47" s="18">
        <v>0.0</v>
      </c>
      <c r="AN47" s="2">
        <v>0.0</v>
      </c>
      <c r="AO47" s="2">
        <v>0.0</v>
      </c>
      <c r="AP47" s="20">
        <v>0.0</v>
      </c>
      <c r="AQ47" s="20">
        <v>0.0</v>
      </c>
      <c r="AR47" s="20">
        <v>0.0</v>
      </c>
      <c r="AS47" s="20">
        <v>0.0</v>
      </c>
      <c r="AT47" s="2">
        <f>AVERAGE(L47:AL47)</f>
        <v>0.02633903704</v>
      </c>
      <c r="AU47" s="12">
        <f t="shared" si="3"/>
        <v>0.02633903704</v>
      </c>
      <c r="AV47" s="14"/>
      <c r="AW47" s="15"/>
      <c r="AX47" s="15"/>
    </row>
    <row r="48" ht="15.75" customHeight="1">
      <c r="A48" s="7">
        <v>231124.0</v>
      </c>
      <c r="B48" s="7">
        <v>58.0</v>
      </c>
      <c r="C48" s="7">
        <v>1.0</v>
      </c>
      <c r="D48" s="8" t="s">
        <v>108</v>
      </c>
      <c r="E48" s="7">
        <v>7.0</v>
      </c>
      <c r="F48" s="8" t="s">
        <v>48</v>
      </c>
      <c r="G48" s="8" t="s">
        <v>89</v>
      </c>
      <c r="H48" s="8" t="s">
        <v>50</v>
      </c>
      <c r="I48" s="8" t="s">
        <v>51</v>
      </c>
      <c r="J48" s="8" t="s">
        <v>52</v>
      </c>
      <c r="K48" s="11" t="s">
        <v>70</v>
      </c>
      <c r="L48" s="18">
        <v>0.020099</v>
      </c>
      <c r="M48" s="18">
        <v>0.021377</v>
      </c>
      <c r="N48" s="18">
        <v>0.022847</v>
      </c>
      <c r="O48" s="18">
        <v>0.023589</v>
      </c>
      <c r="P48" s="18">
        <v>0.023915</v>
      </c>
      <c r="Q48" s="18">
        <v>0.02603</v>
      </c>
      <c r="R48" s="18">
        <v>0.028714</v>
      </c>
      <c r="S48" s="18">
        <v>0.029089</v>
      </c>
      <c r="T48" s="18">
        <v>0.028105</v>
      </c>
      <c r="U48" s="18">
        <v>0.026564</v>
      </c>
      <c r="V48" s="18">
        <v>0.021851</v>
      </c>
      <c r="W48" s="18">
        <v>0.019681</v>
      </c>
      <c r="X48" s="18">
        <v>0.02002</v>
      </c>
      <c r="Y48" s="18">
        <v>0.01976</v>
      </c>
      <c r="Z48" s="18">
        <v>0.017597</v>
      </c>
      <c r="AA48" s="18">
        <v>0.011696</v>
      </c>
      <c r="AB48" s="18">
        <v>0.006836</v>
      </c>
      <c r="AC48" s="18">
        <v>0.002663</v>
      </c>
      <c r="AD48" s="18">
        <v>6.59E-4</v>
      </c>
      <c r="AE48" s="18">
        <v>3.4E-4</v>
      </c>
      <c r="AF48" s="18">
        <v>5.99E-4</v>
      </c>
      <c r="AG48" s="18">
        <v>5.68E-4</v>
      </c>
      <c r="AH48" s="18">
        <v>0.0</v>
      </c>
      <c r="AI48" s="18">
        <v>1.01E-4</v>
      </c>
      <c r="AJ48" s="18">
        <v>3.34E-4</v>
      </c>
      <c r="AK48" s="19">
        <v>2.64E-4</v>
      </c>
      <c r="AL48" s="18">
        <v>0.0</v>
      </c>
      <c r="AM48" s="18">
        <v>0.0</v>
      </c>
      <c r="AN48" s="2">
        <v>0.0</v>
      </c>
      <c r="AO48" s="2">
        <v>0.0</v>
      </c>
      <c r="AP48" s="20">
        <v>0.0</v>
      </c>
      <c r="AQ48" s="20">
        <v>0.0</v>
      </c>
      <c r="AR48" s="20">
        <v>0.0</v>
      </c>
      <c r="AS48" s="20">
        <v>0.0</v>
      </c>
      <c r="AT48" s="2">
        <f t="shared" ref="AT48:AT49" si="5">AVERAGE(L48:AK48)</f>
        <v>0.01435761538</v>
      </c>
      <c r="AU48" s="12">
        <f t="shared" si="3"/>
        <v>0.01493192</v>
      </c>
      <c r="AV48" s="14"/>
      <c r="AW48" s="15"/>
      <c r="AX48" s="15"/>
    </row>
    <row r="49" ht="15.75" customHeight="1">
      <c r="A49" s="7">
        <v>231124.0</v>
      </c>
      <c r="B49" s="7">
        <v>58.0</v>
      </c>
      <c r="C49" s="7">
        <v>1.0</v>
      </c>
      <c r="D49" s="8" t="s">
        <v>109</v>
      </c>
      <c r="E49" s="7">
        <v>7.0</v>
      </c>
      <c r="F49" s="8" t="s">
        <v>48</v>
      </c>
      <c r="G49" s="8" t="s">
        <v>49</v>
      </c>
      <c r="H49" s="8" t="s">
        <v>61</v>
      </c>
      <c r="I49" s="8" t="s">
        <v>51</v>
      </c>
      <c r="J49" s="8" t="s">
        <v>52</v>
      </c>
      <c r="K49" s="11" t="s">
        <v>70</v>
      </c>
      <c r="L49" s="18">
        <v>0.021822</v>
      </c>
      <c r="M49" s="18">
        <v>0.017871</v>
      </c>
      <c r="N49" s="18">
        <v>0.018226</v>
      </c>
      <c r="O49" s="18">
        <v>0.01859</v>
      </c>
      <c r="P49" s="18">
        <v>0.020528</v>
      </c>
      <c r="Q49" s="18">
        <v>0.025889</v>
      </c>
      <c r="R49" s="18">
        <v>0.029529</v>
      </c>
      <c r="S49" s="18">
        <v>0.032549</v>
      </c>
      <c r="T49" s="18">
        <v>0.033871</v>
      </c>
      <c r="U49" s="18">
        <v>0.035507</v>
      </c>
      <c r="V49" s="18">
        <v>0.036319</v>
      </c>
      <c r="W49" s="18">
        <v>0.029498</v>
      </c>
      <c r="X49" s="18">
        <v>0.027263</v>
      </c>
      <c r="Y49" s="18">
        <v>0.033848</v>
      </c>
      <c r="Z49" s="18">
        <v>0.034913</v>
      </c>
      <c r="AA49" s="18">
        <v>0.034299</v>
      </c>
      <c r="AB49" s="18">
        <v>0.030955</v>
      </c>
      <c r="AC49" s="18">
        <v>0.027354</v>
      </c>
      <c r="AD49" s="18">
        <v>0.025681</v>
      </c>
      <c r="AE49" s="18">
        <v>0.023767</v>
      </c>
      <c r="AF49" s="18">
        <v>0.022472</v>
      </c>
      <c r="AG49" s="18">
        <v>0.020417</v>
      </c>
      <c r="AH49" s="18">
        <v>0.012151</v>
      </c>
      <c r="AI49" s="18">
        <v>0.003497</v>
      </c>
      <c r="AJ49" s="18">
        <v>5.78E-4</v>
      </c>
      <c r="AK49" s="19">
        <v>1.2E-4</v>
      </c>
      <c r="AL49" s="18">
        <v>0.0</v>
      </c>
      <c r="AM49" s="18">
        <v>0.0</v>
      </c>
      <c r="AN49" s="18">
        <v>0.0</v>
      </c>
      <c r="AO49" s="18">
        <v>0.0</v>
      </c>
      <c r="AP49" s="20">
        <v>0.0</v>
      </c>
      <c r="AQ49" s="20">
        <v>0.0</v>
      </c>
      <c r="AR49" s="20">
        <v>0.0</v>
      </c>
      <c r="AS49" s="20">
        <v>0.0</v>
      </c>
      <c r="AT49" s="2">
        <f t="shared" si="5"/>
        <v>0.02375053846</v>
      </c>
      <c r="AU49" s="12">
        <f t="shared" si="3"/>
        <v>0.02375053846</v>
      </c>
      <c r="AV49" s="14"/>
      <c r="AW49" s="15"/>
      <c r="AX49" s="15"/>
    </row>
    <row r="50" ht="15.75" customHeight="1">
      <c r="A50" s="7">
        <v>231124.0</v>
      </c>
      <c r="B50" s="7">
        <v>58.0</v>
      </c>
      <c r="C50" s="7">
        <v>1.0</v>
      </c>
      <c r="D50" s="8" t="s">
        <v>110</v>
      </c>
      <c r="E50" s="7">
        <v>7.0</v>
      </c>
      <c r="F50" s="8" t="s">
        <v>48</v>
      </c>
      <c r="G50" s="8" t="s">
        <v>85</v>
      </c>
      <c r="H50" s="8" t="s">
        <v>50</v>
      </c>
      <c r="I50" s="8" t="s">
        <v>51</v>
      </c>
      <c r="J50" s="8" t="s">
        <v>52</v>
      </c>
      <c r="K50" s="11" t="s">
        <v>70</v>
      </c>
      <c r="L50" s="18">
        <v>0.029254</v>
      </c>
      <c r="M50" s="18">
        <v>0.024689</v>
      </c>
      <c r="N50" s="18">
        <v>0.021081</v>
      </c>
      <c r="O50" s="18">
        <v>0.023319</v>
      </c>
      <c r="P50" s="18">
        <v>0.027422</v>
      </c>
      <c r="Q50" s="18">
        <v>0.030616</v>
      </c>
      <c r="R50" s="18">
        <v>0.032035</v>
      </c>
      <c r="S50" s="18">
        <v>0.030879</v>
      </c>
      <c r="T50" s="18">
        <v>0.030023</v>
      </c>
      <c r="U50" s="18">
        <v>0.027652</v>
      </c>
      <c r="V50" s="18">
        <v>0.025446</v>
      </c>
      <c r="W50" s="18">
        <v>0.025321</v>
      </c>
      <c r="X50" s="18">
        <v>0.027177</v>
      </c>
      <c r="Y50" s="18">
        <v>0.031637</v>
      </c>
      <c r="Z50" s="18">
        <v>0.0339</v>
      </c>
      <c r="AA50" s="18">
        <v>0.035457</v>
      </c>
      <c r="AB50" s="18">
        <v>0.036751</v>
      </c>
      <c r="AC50" s="18">
        <v>0.036061</v>
      </c>
      <c r="AD50" s="18">
        <v>0.03215</v>
      </c>
      <c r="AE50" s="18">
        <v>0.023579</v>
      </c>
      <c r="AF50" s="18">
        <v>0.011852</v>
      </c>
      <c r="AG50" s="19">
        <v>0.002769</v>
      </c>
      <c r="AH50" s="18">
        <v>0.0</v>
      </c>
      <c r="AI50" s="18">
        <v>0.0</v>
      </c>
      <c r="AJ50" s="18">
        <v>0.0</v>
      </c>
      <c r="AK50" s="18">
        <v>0.0</v>
      </c>
      <c r="AL50" s="18">
        <v>0.0</v>
      </c>
      <c r="AM50" s="18">
        <v>0.0</v>
      </c>
      <c r="AN50" s="18">
        <v>0.0</v>
      </c>
      <c r="AO50" s="2">
        <v>0.0</v>
      </c>
      <c r="AP50" s="20">
        <v>0.0</v>
      </c>
      <c r="AQ50" s="20">
        <v>0.0</v>
      </c>
      <c r="AR50" s="20">
        <v>0.0</v>
      </c>
      <c r="AS50" s="20">
        <v>0.0</v>
      </c>
      <c r="AT50" s="2">
        <f>AVERAGE(L50:AG50)</f>
        <v>0.02723045455</v>
      </c>
      <c r="AU50" s="12">
        <f t="shared" si="3"/>
        <v>0.02723045455</v>
      </c>
      <c r="AV50" s="14"/>
      <c r="AW50" s="15"/>
      <c r="AX50" s="15"/>
    </row>
    <row r="51" ht="15.75" customHeight="1">
      <c r="A51" s="7">
        <v>231124.0</v>
      </c>
      <c r="B51" s="7">
        <v>58.0</v>
      </c>
      <c r="C51" s="7">
        <v>1.0</v>
      </c>
      <c r="D51" s="8" t="s">
        <v>111</v>
      </c>
      <c r="E51" s="7">
        <v>7.0</v>
      </c>
      <c r="F51" s="8" t="s">
        <v>48</v>
      </c>
      <c r="G51" s="8" t="s">
        <v>85</v>
      </c>
      <c r="H51" s="8" t="s">
        <v>63</v>
      </c>
      <c r="I51" s="8" t="s">
        <v>51</v>
      </c>
      <c r="J51" s="8" t="s">
        <v>52</v>
      </c>
      <c r="K51" s="11" t="s">
        <v>70</v>
      </c>
      <c r="L51" s="18">
        <v>0.009947</v>
      </c>
      <c r="M51" s="18">
        <v>0.012619</v>
      </c>
      <c r="N51" s="18">
        <v>0.017368</v>
      </c>
      <c r="O51" s="18">
        <v>0.021644</v>
      </c>
      <c r="P51" s="18">
        <v>0.022398</v>
      </c>
      <c r="Q51" s="18">
        <v>0.0236</v>
      </c>
      <c r="R51" s="18">
        <v>0.024921</v>
      </c>
      <c r="S51" s="18">
        <v>0.024972</v>
      </c>
      <c r="T51" s="18">
        <v>0.023917</v>
      </c>
      <c r="U51" s="18">
        <v>0.022</v>
      </c>
      <c r="V51" s="18">
        <v>0.022408</v>
      </c>
      <c r="W51" s="18">
        <v>0.02349</v>
      </c>
      <c r="X51" s="18">
        <v>0.023531</v>
      </c>
      <c r="Y51" s="18">
        <v>0.023454</v>
      </c>
      <c r="Z51" s="18">
        <v>0.021355</v>
      </c>
      <c r="AA51" s="18">
        <v>0.018085</v>
      </c>
      <c r="AB51" s="18">
        <v>0.014452</v>
      </c>
      <c r="AC51" s="18">
        <v>0.009784</v>
      </c>
      <c r="AD51" s="18">
        <v>0.004616</v>
      </c>
      <c r="AE51" s="18">
        <v>9.36E-4</v>
      </c>
      <c r="AF51" s="18">
        <v>8.98E-5</v>
      </c>
      <c r="AG51" s="18">
        <v>1.82E-4</v>
      </c>
      <c r="AH51" s="18">
        <v>1.28E-4</v>
      </c>
      <c r="AI51" s="18">
        <v>8.0E-6</v>
      </c>
      <c r="AJ51" s="18">
        <v>3.62E-4</v>
      </c>
      <c r="AK51" s="18">
        <v>7.1E-4</v>
      </c>
      <c r="AL51" s="19">
        <v>3.34E-4</v>
      </c>
      <c r="AM51" s="18">
        <v>0.0</v>
      </c>
      <c r="AN51" s="18">
        <v>0.0</v>
      </c>
      <c r="AO51" s="18">
        <v>0.0</v>
      </c>
      <c r="AP51" s="20">
        <v>0.0</v>
      </c>
      <c r="AQ51" s="20">
        <v>0.0</v>
      </c>
      <c r="AR51" s="20">
        <v>0.0</v>
      </c>
      <c r="AS51" s="20">
        <v>0.0</v>
      </c>
      <c r="AT51" s="2">
        <f>AVERAGE(L51:AL51)</f>
        <v>0.0136041037</v>
      </c>
      <c r="AU51" s="12">
        <f t="shared" si="3"/>
        <v>0.0136041037</v>
      </c>
      <c r="AV51" s="14"/>
      <c r="AW51" s="15"/>
      <c r="AX51" s="15"/>
    </row>
    <row r="52" ht="15.75" customHeight="1">
      <c r="A52" s="7">
        <v>231124.0</v>
      </c>
      <c r="B52" s="7">
        <v>58.0</v>
      </c>
      <c r="C52" s="7">
        <v>1.0</v>
      </c>
      <c r="D52" s="8" t="s">
        <v>112</v>
      </c>
      <c r="E52" s="7">
        <v>7.0</v>
      </c>
      <c r="F52" s="8" t="s">
        <v>48</v>
      </c>
      <c r="G52" s="8" t="s">
        <v>85</v>
      </c>
      <c r="H52" s="8" t="s">
        <v>65</v>
      </c>
      <c r="I52" s="8" t="s">
        <v>51</v>
      </c>
      <c r="J52" s="8" t="s">
        <v>52</v>
      </c>
      <c r="K52" s="11" t="s">
        <v>70</v>
      </c>
      <c r="L52" s="18">
        <v>0.016593</v>
      </c>
      <c r="M52" s="18">
        <v>0.015952</v>
      </c>
      <c r="N52" s="18">
        <v>0.018065</v>
      </c>
      <c r="O52" s="18">
        <v>0.019518</v>
      </c>
      <c r="P52" s="18">
        <v>0.018509</v>
      </c>
      <c r="Q52" s="18">
        <v>0.017423</v>
      </c>
      <c r="R52" s="18">
        <v>0.019006</v>
      </c>
      <c r="S52" s="18">
        <v>0.024301</v>
      </c>
      <c r="T52" s="18">
        <v>0.026329</v>
      </c>
      <c r="U52" s="18">
        <v>0.025261</v>
      </c>
      <c r="V52" s="18">
        <v>0.02713</v>
      </c>
      <c r="W52" s="18">
        <v>0.030455</v>
      </c>
      <c r="X52" s="18">
        <v>0.032216</v>
      </c>
      <c r="Y52" s="18">
        <v>0.033935</v>
      </c>
      <c r="Z52" s="18">
        <v>0.034721</v>
      </c>
      <c r="AA52" s="18">
        <v>0.032808</v>
      </c>
      <c r="AB52" s="18">
        <v>0.030234</v>
      </c>
      <c r="AC52" s="18">
        <v>0.025455</v>
      </c>
      <c r="AD52" s="18">
        <v>0.016051</v>
      </c>
      <c r="AE52" s="18">
        <v>0.00569</v>
      </c>
      <c r="AF52" s="18">
        <v>0.001849</v>
      </c>
      <c r="AG52" s="18">
        <v>0.004026</v>
      </c>
      <c r="AH52" s="18">
        <v>0.00529</v>
      </c>
      <c r="AI52" s="18">
        <v>0.005885</v>
      </c>
      <c r="AJ52" s="18">
        <v>0.007767</v>
      </c>
      <c r="AK52" s="18">
        <v>0.00892</v>
      </c>
      <c r="AL52" s="18">
        <v>0.005906</v>
      </c>
      <c r="AM52" s="19">
        <v>0.00116</v>
      </c>
      <c r="AN52" s="18">
        <v>0.0</v>
      </c>
      <c r="AO52" s="18">
        <v>0.0</v>
      </c>
      <c r="AP52" s="20">
        <v>0.0</v>
      </c>
      <c r="AQ52" s="20">
        <v>0.0</v>
      </c>
      <c r="AR52" s="20">
        <v>0.0</v>
      </c>
      <c r="AS52" s="20">
        <v>0.0</v>
      </c>
      <c r="AT52" s="2">
        <f t="shared" ref="AT52:AT54" si="6">AVERAGE(L52:AM52)</f>
        <v>0.01823053571</v>
      </c>
      <c r="AU52" s="12">
        <f t="shared" si="3"/>
        <v>0.01823053571</v>
      </c>
      <c r="AV52" s="14"/>
      <c r="AW52" s="15"/>
      <c r="AX52" s="15"/>
    </row>
    <row r="53" ht="15.75" customHeight="1">
      <c r="A53" s="7">
        <v>231219.0</v>
      </c>
      <c r="B53" s="7">
        <v>72.0</v>
      </c>
      <c r="C53" s="7">
        <v>3.0</v>
      </c>
      <c r="D53" s="8" t="s">
        <v>113</v>
      </c>
      <c r="E53" s="7">
        <v>7.0</v>
      </c>
      <c r="F53" s="8" t="s">
        <v>48</v>
      </c>
      <c r="G53" s="8" t="s">
        <v>67</v>
      </c>
      <c r="H53" s="8" t="s">
        <v>83</v>
      </c>
      <c r="I53" s="8" t="s">
        <v>51</v>
      </c>
      <c r="J53" s="8" t="s">
        <v>52</v>
      </c>
      <c r="K53" s="11" t="s">
        <v>76</v>
      </c>
      <c r="L53" s="18">
        <v>0.023745</v>
      </c>
      <c r="M53" s="18">
        <v>0.025349</v>
      </c>
      <c r="N53" s="18">
        <v>0.026483</v>
      </c>
      <c r="O53" s="18">
        <v>0.027206</v>
      </c>
      <c r="P53" s="18">
        <v>0.029666</v>
      </c>
      <c r="Q53" s="18">
        <v>0.032054</v>
      </c>
      <c r="R53" s="18">
        <v>0.030882</v>
      </c>
      <c r="S53" s="18">
        <v>0.030366</v>
      </c>
      <c r="T53" s="18">
        <v>0.029995</v>
      </c>
      <c r="U53" s="18">
        <v>0.031156</v>
      </c>
      <c r="V53" s="18">
        <v>0.033927</v>
      </c>
      <c r="W53" s="18">
        <v>0.034747</v>
      </c>
      <c r="X53" s="18">
        <v>0.034757</v>
      </c>
      <c r="Y53" s="18">
        <v>0.033367</v>
      </c>
      <c r="Z53" s="18">
        <v>0.033873</v>
      </c>
      <c r="AA53" s="18">
        <v>0.036767</v>
      </c>
      <c r="AB53" s="18">
        <v>0.036864</v>
      </c>
      <c r="AC53" s="18">
        <v>0.036958</v>
      </c>
      <c r="AD53" s="18">
        <v>0.038891</v>
      </c>
      <c r="AE53" s="18">
        <v>0.037902</v>
      </c>
      <c r="AF53" s="18">
        <v>0.038313</v>
      </c>
      <c r="AG53" s="18">
        <v>0.039735</v>
      </c>
      <c r="AH53" s="18">
        <v>0.037889</v>
      </c>
      <c r="AI53" s="18">
        <v>0.03399</v>
      </c>
      <c r="AJ53" s="18">
        <v>0.03019</v>
      </c>
      <c r="AK53" s="18">
        <v>0.018595</v>
      </c>
      <c r="AL53" s="18">
        <v>0.00685</v>
      </c>
      <c r="AM53" s="19">
        <v>0.006677</v>
      </c>
      <c r="AN53" s="18">
        <v>0.0</v>
      </c>
      <c r="AO53" s="2">
        <v>0.0</v>
      </c>
      <c r="AP53" s="20">
        <v>0.0</v>
      </c>
      <c r="AQ53" s="20">
        <v>0.0</v>
      </c>
      <c r="AR53" s="20">
        <v>0.0</v>
      </c>
      <c r="AS53" s="20">
        <v>0.0</v>
      </c>
      <c r="AT53" s="2">
        <f t="shared" si="6"/>
        <v>0.03061407143</v>
      </c>
      <c r="AU53" s="12">
        <f t="shared" si="3"/>
        <v>0.03061407143</v>
      </c>
      <c r="AV53" s="14"/>
      <c r="AW53" s="15"/>
      <c r="AX53" s="15"/>
    </row>
    <row r="54" ht="15.75" customHeight="1">
      <c r="A54" s="7">
        <v>231219.0</v>
      </c>
      <c r="B54" s="7">
        <v>72.0</v>
      </c>
      <c r="C54" s="7">
        <v>3.0</v>
      </c>
      <c r="D54" s="8" t="s">
        <v>114</v>
      </c>
      <c r="E54" s="7">
        <v>7.0</v>
      </c>
      <c r="F54" s="8" t="s">
        <v>48</v>
      </c>
      <c r="G54" s="8" t="s">
        <v>67</v>
      </c>
      <c r="H54" s="8" t="s">
        <v>83</v>
      </c>
      <c r="I54" s="8" t="s">
        <v>51</v>
      </c>
      <c r="J54" s="8" t="s">
        <v>52</v>
      </c>
      <c r="K54" s="11" t="s">
        <v>76</v>
      </c>
      <c r="L54" s="18">
        <v>0.032302</v>
      </c>
      <c r="M54" s="18">
        <v>0.028155</v>
      </c>
      <c r="N54" s="18">
        <v>0.027329</v>
      </c>
      <c r="O54" s="18">
        <v>0.030642</v>
      </c>
      <c r="P54" s="18">
        <v>0.033136</v>
      </c>
      <c r="Q54" s="18">
        <v>0.032652</v>
      </c>
      <c r="R54" s="18">
        <v>0.031317</v>
      </c>
      <c r="S54" s="18">
        <v>0.028983</v>
      </c>
      <c r="T54" s="18">
        <v>0.027028</v>
      </c>
      <c r="U54" s="18">
        <v>0.027991</v>
      </c>
      <c r="V54" s="18">
        <v>0.030849</v>
      </c>
      <c r="W54" s="18">
        <v>0.032422</v>
      </c>
      <c r="X54" s="18">
        <v>0.031291</v>
      </c>
      <c r="Y54" s="18">
        <v>0.030955</v>
      </c>
      <c r="Z54" s="18">
        <v>0.032151</v>
      </c>
      <c r="AA54" s="18">
        <v>0.033606</v>
      </c>
      <c r="AB54" s="18">
        <v>0.037288</v>
      </c>
      <c r="AC54" s="18">
        <v>0.038374</v>
      </c>
      <c r="AD54" s="18">
        <v>0.038637</v>
      </c>
      <c r="AE54" s="18">
        <v>0.037891</v>
      </c>
      <c r="AF54" s="18">
        <v>0.035171</v>
      </c>
      <c r="AG54" s="18">
        <v>0.035503</v>
      </c>
      <c r="AH54" s="18">
        <v>0.03384</v>
      </c>
      <c r="AI54" s="18">
        <v>0.029125</v>
      </c>
      <c r="AJ54" s="18">
        <v>0.021179</v>
      </c>
      <c r="AK54" s="18">
        <v>0.008468</v>
      </c>
      <c r="AL54" s="18">
        <v>0.001098</v>
      </c>
      <c r="AM54" s="19">
        <v>2.81E-4</v>
      </c>
      <c r="AN54" s="18">
        <v>0.0</v>
      </c>
      <c r="AO54" s="18">
        <v>0.0</v>
      </c>
      <c r="AP54" s="20">
        <v>0.0</v>
      </c>
      <c r="AQ54" s="20">
        <v>0.0</v>
      </c>
      <c r="AR54" s="20">
        <v>0.0</v>
      </c>
      <c r="AS54" s="20">
        <v>0.0</v>
      </c>
      <c r="AT54" s="2">
        <f t="shared" si="6"/>
        <v>0.02884514286</v>
      </c>
      <c r="AU54" s="12">
        <f t="shared" si="3"/>
        <v>0.02884514286</v>
      </c>
      <c r="AV54" s="14"/>
      <c r="AW54" s="15"/>
      <c r="AX54" s="15"/>
    </row>
    <row r="55" ht="15.75" customHeight="1">
      <c r="A55" s="7">
        <v>231219.0</v>
      </c>
      <c r="B55" s="7">
        <v>72.0</v>
      </c>
      <c r="C55" s="7">
        <v>3.0</v>
      </c>
      <c r="D55" s="8" t="s">
        <v>115</v>
      </c>
      <c r="E55" s="7">
        <v>7.0</v>
      </c>
      <c r="F55" s="8" t="s">
        <v>48</v>
      </c>
      <c r="G55" s="8" t="s">
        <v>67</v>
      </c>
      <c r="H55" s="8" t="s">
        <v>83</v>
      </c>
      <c r="I55" s="8" t="s">
        <v>51</v>
      </c>
      <c r="J55" s="8" t="s">
        <v>52</v>
      </c>
      <c r="K55" s="11" t="s">
        <v>76</v>
      </c>
      <c r="L55" s="18">
        <v>0.035897</v>
      </c>
      <c r="M55" s="18">
        <v>0.030648</v>
      </c>
      <c r="N55" s="18">
        <v>0.028847</v>
      </c>
      <c r="O55" s="18">
        <v>0.031722</v>
      </c>
      <c r="P55" s="18">
        <v>0.033936</v>
      </c>
      <c r="Q55" s="18">
        <v>0.033433</v>
      </c>
      <c r="R55" s="18">
        <v>0.032549</v>
      </c>
      <c r="S55" s="18">
        <v>0.030999</v>
      </c>
      <c r="T55" s="18">
        <v>0.028795</v>
      </c>
      <c r="U55" s="18">
        <v>0.028533</v>
      </c>
      <c r="V55" s="18">
        <v>0.029542</v>
      </c>
      <c r="W55" s="18">
        <v>0.030295</v>
      </c>
      <c r="X55" s="18">
        <v>0.031047</v>
      </c>
      <c r="Y55" s="18">
        <v>0.032705</v>
      </c>
      <c r="Z55" s="18">
        <v>0.035307</v>
      </c>
      <c r="AA55" s="18">
        <v>0.034861</v>
      </c>
      <c r="AB55" s="18">
        <v>0.030827</v>
      </c>
      <c r="AC55" s="18">
        <v>0.02852</v>
      </c>
      <c r="AD55" s="18">
        <v>0.032048</v>
      </c>
      <c r="AE55" s="18">
        <v>0.035837</v>
      </c>
      <c r="AF55" s="18">
        <v>0.037169</v>
      </c>
      <c r="AG55" s="18">
        <v>0.027059</v>
      </c>
      <c r="AH55" s="18">
        <v>0.009906</v>
      </c>
      <c r="AI55" s="18">
        <v>0.001939</v>
      </c>
      <c r="AJ55" s="18">
        <v>3.0E-4</v>
      </c>
      <c r="AK55" s="18">
        <v>4.43E-4</v>
      </c>
      <c r="AL55" s="18">
        <v>4.21E-4</v>
      </c>
      <c r="AM55" s="18">
        <v>2.46E-4</v>
      </c>
      <c r="AN55" s="19">
        <v>6.64E-4</v>
      </c>
      <c r="AO55" s="2">
        <v>0.0</v>
      </c>
      <c r="AP55" s="20">
        <v>0.0</v>
      </c>
      <c r="AQ55" s="20">
        <v>0.0</v>
      </c>
      <c r="AR55" s="20">
        <v>0.0</v>
      </c>
      <c r="AS55" s="20">
        <v>0.0</v>
      </c>
      <c r="AT55" s="2">
        <f>AVERAGE(L55:AN55)</f>
        <v>0.02463775862</v>
      </c>
      <c r="AU55" s="12">
        <f t="shared" si="3"/>
        <v>0.02463775862</v>
      </c>
      <c r="AV55" s="14"/>
      <c r="AW55" s="15"/>
      <c r="AX55" s="15"/>
    </row>
    <row r="56" ht="15.75" customHeight="1">
      <c r="A56" s="7">
        <v>231219.0</v>
      </c>
      <c r="B56" s="7">
        <v>72.0</v>
      </c>
      <c r="C56" s="7">
        <v>3.0</v>
      </c>
      <c r="D56" s="8" t="s">
        <v>116</v>
      </c>
      <c r="E56" s="7">
        <v>7.0</v>
      </c>
      <c r="F56" s="8" t="s">
        <v>48</v>
      </c>
      <c r="G56" s="8" t="s">
        <v>67</v>
      </c>
      <c r="H56" s="8" t="s">
        <v>83</v>
      </c>
      <c r="I56" s="8" t="s">
        <v>51</v>
      </c>
      <c r="J56" s="8" t="s">
        <v>52</v>
      </c>
      <c r="K56" s="11" t="s">
        <v>76</v>
      </c>
      <c r="L56" s="18">
        <v>0.026578</v>
      </c>
      <c r="M56" s="18">
        <v>0.028182</v>
      </c>
      <c r="N56" s="18">
        <v>0.03157</v>
      </c>
      <c r="O56" s="18">
        <v>0.033999</v>
      </c>
      <c r="P56" s="18">
        <v>0.034045</v>
      </c>
      <c r="Q56" s="18">
        <v>0.032963</v>
      </c>
      <c r="R56" s="18">
        <v>0.030003</v>
      </c>
      <c r="S56" s="18">
        <v>0.027147</v>
      </c>
      <c r="T56" s="18">
        <v>0.0268</v>
      </c>
      <c r="U56" s="18">
        <v>0.02745</v>
      </c>
      <c r="V56" s="18">
        <v>0.02831</v>
      </c>
      <c r="W56" s="18">
        <v>0.028751</v>
      </c>
      <c r="X56" s="18">
        <v>0.027149</v>
      </c>
      <c r="Y56" s="18">
        <v>0.03072</v>
      </c>
      <c r="Z56" s="18">
        <v>0.03561</v>
      </c>
      <c r="AA56" s="18">
        <v>0.036173</v>
      </c>
      <c r="AB56" s="18">
        <v>0.037659</v>
      </c>
      <c r="AC56" s="18">
        <v>0.040341</v>
      </c>
      <c r="AD56" s="18">
        <v>0.04333</v>
      </c>
      <c r="AE56" s="18">
        <v>0.045721</v>
      </c>
      <c r="AF56" s="18">
        <v>0.046181</v>
      </c>
      <c r="AG56" s="18">
        <v>0.045565</v>
      </c>
      <c r="AH56" s="18">
        <v>0.036041</v>
      </c>
      <c r="AI56" s="18">
        <v>0.019865</v>
      </c>
      <c r="AJ56" s="18">
        <v>0.0075</v>
      </c>
      <c r="AK56" s="18">
        <v>0.001143</v>
      </c>
      <c r="AL56" s="18">
        <v>0.0</v>
      </c>
      <c r="AM56" s="18">
        <v>2.18E-5</v>
      </c>
      <c r="AN56" s="18">
        <v>5.31E-4</v>
      </c>
      <c r="AO56" s="19">
        <v>0.002682</v>
      </c>
      <c r="AP56" s="20">
        <v>0.0</v>
      </c>
      <c r="AQ56" s="20">
        <v>0.0</v>
      </c>
      <c r="AR56" s="20">
        <v>0.0</v>
      </c>
      <c r="AS56" s="20">
        <v>0.0</v>
      </c>
      <c r="AT56" s="2">
        <f t="shared" ref="AT56:AT57" si="7">AVERAGE(L56:AO56)</f>
        <v>0.02706769333</v>
      </c>
      <c r="AU56" s="12">
        <f t="shared" si="3"/>
        <v>0.02800106207</v>
      </c>
      <c r="AV56" s="14"/>
      <c r="AW56" s="15"/>
      <c r="AX56" s="15"/>
    </row>
    <row r="57" ht="15.75" customHeight="1">
      <c r="A57" s="7">
        <v>231219.0</v>
      </c>
      <c r="B57" s="7">
        <v>72.0</v>
      </c>
      <c r="C57" s="7">
        <v>3.0</v>
      </c>
      <c r="D57" s="8" t="s">
        <v>117</v>
      </c>
      <c r="E57" s="7">
        <v>7.0</v>
      </c>
      <c r="F57" s="8" t="s">
        <v>56</v>
      </c>
      <c r="G57" s="8" t="s">
        <v>49</v>
      </c>
      <c r="H57" s="8" t="s">
        <v>50</v>
      </c>
      <c r="I57" s="8" t="s">
        <v>51</v>
      </c>
      <c r="J57" s="8" t="s">
        <v>52</v>
      </c>
      <c r="K57" s="11" t="s">
        <v>118</v>
      </c>
      <c r="L57" s="18">
        <v>0.032408</v>
      </c>
      <c r="M57" s="18">
        <v>0.028623</v>
      </c>
      <c r="N57" s="18">
        <v>0.028749</v>
      </c>
      <c r="O57" s="18">
        <v>0.028985</v>
      </c>
      <c r="P57" s="18">
        <v>0.027327</v>
      </c>
      <c r="Q57" s="18">
        <v>0.027854</v>
      </c>
      <c r="R57" s="18">
        <v>0.030234</v>
      </c>
      <c r="S57" s="18">
        <v>0.032243</v>
      </c>
      <c r="T57" s="18">
        <v>0.032284</v>
      </c>
      <c r="U57" s="18">
        <v>0.032765</v>
      </c>
      <c r="V57" s="18">
        <v>0.033499</v>
      </c>
      <c r="W57" s="18">
        <v>0.033673</v>
      </c>
      <c r="X57" s="18">
        <v>0.034557</v>
      </c>
      <c r="Y57" s="18">
        <v>0.035084</v>
      </c>
      <c r="Z57" s="18">
        <v>0.034527</v>
      </c>
      <c r="AA57" s="18">
        <v>0.032151</v>
      </c>
      <c r="AB57" s="18">
        <v>0.03072</v>
      </c>
      <c r="AC57" s="18">
        <v>0.030041</v>
      </c>
      <c r="AD57" s="18">
        <v>0.029742</v>
      </c>
      <c r="AE57" s="18">
        <v>0.031524</v>
      </c>
      <c r="AF57" s="18">
        <v>0.034676</v>
      </c>
      <c r="AG57" s="18">
        <v>0.037848</v>
      </c>
      <c r="AH57" s="18">
        <v>0.040975</v>
      </c>
      <c r="AI57" s="18">
        <v>0.042411</v>
      </c>
      <c r="AJ57" s="18">
        <v>0.042617</v>
      </c>
      <c r="AK57" s="18">
        <v>0.041371</v>
      </c>
      <c r="AL57" s="18">
        <v>0.036476</v>
      </c>
      <c r="AM57" s="18">
        <v>0.029639</v>
      </c>
      <c r="AN57" s="18">
        <v>0.02703</v>
      </c>
      <c r="AO57" s="19">
        <v>0.022429</v>
      </c>
      <c r="AP57" s="20">
        <v>0.0</v>
      </c>
      <c r="AQ57" s="20">
        <v>0.0</v>
      </c>
      <c r="AR57" s="20">
        <v>0.0</v>
      </c>
      <c r="AS57" s="20">
        <v>0.0</v>
      </c>
      <c r="AT57" s="2">
        <f t="shared" si="7"/>
        <v>0.03274873333</v>
      </c>
      <c r="AU57" s="12">
        <f t="shared" si="3"/>
        <v>0.03274873333</v>
      </c>
      <c r="AV57" s="14"/>
      <c r="AW57" s="15"/>
      <c r="AX57" s="15"/>
    </row>
    <row r="58" ht="15.75" customHeight="1">
      <c r="A58" s="7">
        <v>231219.0</v>
      </c>
      <c r="B58" s="7">
        <v>72.0</v>
      </c>
      <c r="C58" s="7">
        <v>3.0</v>
      </c>
      <c r="D58" s="8" t="s">
        <v>119</v>
      </c>
      <c r="E58" s="7">
        <v>7.0</v>
      </c>
      <c r="F58" s="8" t="s">
        <v>56</v>
      </c>
      <c r="G58" s="8" t="s">
        <v>49</v>
      </c>
      <c r="H58" s="8" t="s">
        <v>65</v>
      </c>
      <c r="I58" s="8" t="s">
        <v>51</v>
      </c>
      <c r="J58" s="8" t="s">
        <v>52</v>
      </c>
      <c r="K58" s="11" t="s">
        <v>118</v>
      </c>
      <c r="L58" s="18">
        <v>0.020935</v>
      </c>
      <c r="M58" s="18">
        <v>0.0196</v>
      </c>
      <c r="N58" s="18">
        <v>0.02685</v>
      </c>
      <c r="O58" s="18">
        <v>0.033039</v>
      </c>
      <c r="P58" s="18">
        <v>0.032212</v>
      </c>
      <c r="Q58" s="18">
        <v>0.029288</v>
      </c>
      <c r="R58" s="18">
        <v>0.026783</v>
      </c>
      <c r="S58" s="18">
        <v>0.026172</v>
      </c>
      <c r="T58" s="18">
        <v>0.02582</v>
      </c>
      <c r="U58" s="18">
        <v>0.027281</v>
      </c>
      <c r="V58" s="18">
        <v>0.029846</v>
      </c>
      <c r="W58" s="18">
        <v>0.029844</v>
      </c>
      <c r="X58" s="18">
        <v>0.029674</v>
      </c>
      <c r="Y58" s="18">
        <v>0.03339</v>
      </c>
      <c r="Z58" s="18">
        <v>0.037428</v>
      </c>
      <c r="AA58" s="18">
        <v>0.03993</v>
      </c>
      <c r="AB58" s="18">
        <v>0.04145</v>
      </c>
      <c r="AC58" s="18">
        <v>0.042066</v>
      </c>
      <c r="AD58" s="18">
        <v>0.042461</v>
      </c>
      <c r="AE58" s="18">
        <v>0.043458</v>
      </c>
      <c r="AF58" s="18">
        <v>0.04397</v>
      </c>
      <c r="AG58" s="18">
        <v>0.036033</v>
      </c>
      <c r="AH58" s="18">
        <v>0.017777</v>
      </c>
      <c r="AI58" s="18">
        <v>0.00397</v>
      </c>
      <c r="AJ58" s="18">
        <v>7.14E-4</v>
      </c>
      <c r="AK58" s="18">
        <v>8.92E-4</v>
      </c>
      <c r="AL58" s="18">
        <v>6.9E-4</v>
      </c>
      <c r="AM58" s="18">
        <v>7.39E-4</v>
      </c>
      <c r="AN58" s="19">
        <v>0.005737</v>
      </c>
      <c r="AO58" s="2">
        <v>0.0</v>
      </c>
      <c r="AP58" s="20">
        <v>0.0</v>
      </c>
      <c r="AQ58" s="20">
        <v>0.0</v>
      </c>
      <c r="AR58" s="20">
        <v>0.0</v>
      </c>
      <c r="AS58" s="20">
        <v>0.0</v>
      </c>
      <c r="AT58" s="2">
        <f>AVERAGE(L58:AN58)</f>
        <v>0.0257947931</v>
      </c>
      <c r="AU58" s="12">
        <f t="shared" si="3"/>
        <v>0.0257947931</v>
      </c>
      <c r="AV58" s="14"/>
      <c r="AW58" s="15"/>
      <c r="AX58" s="15"/>
    </row>
    <row r="59" ht="15.75" customHeight="1">
      <c r="A59" s="7">
        <v>231219.0</v>
      </c>
      <c r="B59" s="7">
        <v>72.0</v>
      </c>
      <c r="C59" s="7">
        <v>3.0</v>
      </c>
      <c r="D59" s="8" t="s">
        <v>120</v>
      </c>
      <c r="E59" s="7">
        <v>7.0</v>
      </c>
      <c r="F59" s="8" t="s">
        <v>56</v>
      </c>
      <c r="G59" s="8" t="s">
        <v>49</v>
      </c>
      <c r="H59" s="8" t="s">
        <v>63</v>
      </c>
      <c r="I59" s="8" t="s">
        <v>51</v>
      </c>
      <c r="J59" s="8" t="s">
        <v>52</v>
      </c>
      <c r="K59" s="11" t="s">
        <v>118</v>
      </c>
      <c r="L59" s="18">
        <v>0.027208</v>
      </c>
      <c r="M59" s="18">
        <v>0.029927</v>
      </c>
      <c r="N59" s="18">
        <v>0.032774</v>
      </c>
      <c r="O59" s="18">
        <v>0.032731</v>
      </c>
      <c r="P59" s="18">
        <v>0.031281</v>
      </c>
      <c r="Q59" s="18">
        <v>0.030687</v>
      </c>
      <c r="R59" s="18">
        <v>0.032147</v>
      </c>
      <c r="S59" s="18">
        <v>0.03168</v>
      </c>
      <c r="T59" s="18">
        <v>0.028669</v>
      </c>
      <c r="U59" s="18">
        <v>0.029207</v>
      </c>
      <c r="V59" s="18">
        <v>0.031357</v>
      </c>
      <c r="W59" s="18">
        <v>0.033585</v>
      </c>
      <c r="X59" s="18">
        <v>0.034102</v>
      </c>
      <c r="Y59" s="18">
        <v>0.030776</v>
      </c>
      <c r="Z59" s="18">
        <v>0.031372</v>
      </c>
      <c r="AA59" s="18">
        <v>0.03566</v>
      </c>
      <c r="AB59" s="18">
        <v>0.037184</v>
      </c>
      <c r="AC59" s="18">
        <v>0.036589</v>
      </c>
      <c r="AD59" s="18">
        <v>0.036951</v>
      </c>
      <c r="AE59" s="18">
        <v>0.0369</v>
      </c>
      <c r="AF59" s="18">
        <v>0.03692</v>
      </c>
      <c r="AG59" s="18">
        <v>0.036307</v>
      </c>
      <c r="AH59" s="18">
        <v>0.029345</v>
      </c>
      <c r="AI59" s="18">
        <v>0.014002</v>
      </c>
      <c r="AJ59" s="18">
        <v>0.003025</v>
      </c>
      <c r="AK59" s="18">
        <v>0.001327</v>
      </c>
      <c r="AL59" s="18">
        <v>0.0</v>
      </c>
      <c r="AM59" s="2">
        <v>0.0</v>
      </c>
      <c r="AN59" s="2">
        <v>0.0</v>
      </c>
      <c r="AO59" s="2">
        <v>0.0</v>
      </c>
      <c r="AP59" s="20">
        <v>0.0</v>
      </c>
      <c r="AQ59" s="20">
        <v>0.0</v>
      </c>
      <c r="AR59" s="20">
        <v>0.0</v>
      </c>
      <c r="AS59" s="20">
        <v>0.0</v>
      </c>
      <c r="AT59" s="2">
        <f>AVERAGE(L59:AK59)</f>
        <v>0.02968126923</v>
      </c>
      <c r="AU59" s="12">
        <f t="shared" si="3"/>
        <v>0.02968126923</v>
      </c>
      <c r="AV59" s="14"/>
      <c r="AW59" s="15"/>
      <c r="AX59" s="15"/>
    </row>
    <row r="60" ht="15.75" customHeight="1">
      <c r="A60" s="7">
        <v>231220.0</v>
      </c>
      <c r="B60" s="7">
        <v>72.0</v>
      </c>
      <c r="C60" s="7">
        <v>3.0</v>
      </c>
      <c r="D60" s="8" t="s">
        <v>121</v>
      </c>
      <c r="E60" s="7">
        <v>7.0</v>
      </c>
      <c r="F60" s="8" t="s">
        <v>56</v>
      </c>
      <c r="G60" s="8" t="s">
        <v>67</v>
      </c>
      <c r="H60" s="8" t="s">
        <v>50</v>
      </c>
      <c r="I60" s="8" t="s">
        <v>51</v>
      </c>
      <c r="J60" s="8" t="s">
        <v>52</v>
      </c>
      <c r="K60" s="11" t="s">
        <v>118</v>
      </c>
      <c r="L60" s="18">
        <v>0.028879</v>
      </c>
      <c r="M60" s="18">
        <v>0.030397</v>
      </c>
      <c r="N60" s="18">
        <v>0.030309</v>
      </c>
      <c r="O60" s="18">
        <v>0.027858</v>
      </c>
      <c r="P60" s="18">
        <v>0.024333</v>
      </c>
      <c r="Q60" s="18">
        <v>0.022484</v>
      </c>
      <c r="R60" s="18">
        <v>0.023852</v>
      </c>
      <c r="S60" s="18">
        <v>0.025892</v>
      </c>
      <c r="T60" s="18">
        <v>0.027393</v>
      </c>
      <c r="U60" s="18">
        <v>0.028845</v>
      </c>
      <c r="V60" s="18">
        <v>0.031161</v>
      </c>
      <c r="W60" s="18">
        <v>0.032432</v>
      </c>
      <c r="X60" s="18">
        <v>0.03247</v>
      </c>
      <c r="Y60" s="18">
        <v>0.033737</v>
      </c>
      <c r="Z60" s="18">
        <v>0.035195</v>
      </c>
      <c r="AA60" s="18">
        <v>0.03583</v>
      </c>
      <c r="AB60" s="18">
        <v>0.035064</v>
      </c>
      <c r="AC60" s="18">
        <v>0.03449</v>
      </c>
      <c r="AD60" s="18">
        <v>0.035326</v>
      </c>
      <c r="AE60" s="18">
        <v>0.036572</v>
      </c>
      <c r="AF60" s="18">
        <v>0.037188</v>
      </c>
      <c r="AG60" s="18">
        <v>0.034352</v>
      </c>
      <c r="AH60" s="18">
        <v>0.019502</v>
      </c>
      <c r="AI60" s="18">
        <v>0.003424</v>
      </c>
      <c r="AJ60" s="18">
        <v>3.26E-4</v>
      </c>
      <c r="AK60" s="18">
        <v>6.44E-4</v>
      </c>
      <c r="AL60" s="18">
        <v>0.005368</v>
      </c>
      <c r="AM60" s="18">
        <v>0.020729</v>
      </c>
      <c r="AN60" s="19">
        <v>0.069767</v>
      </c>
      <c r="AO60" s="2">
        <v>0.0</v>
      </c>
      <c r="AP60" s="20">
        <v>0.0</v>
      </c>
      <c r="AQ60" s="20">
        <v>0.0</v>
      </c>
      <c r="AR60" s="20">
        <v>0.0</v>
      </c>
      <c r="AS60" s="20">
        <v>0.0</v>
      </c>
      <c r="AT60" s="2">
        <f>AVERAGE(L60:AN60)</f>
        <v>0.02771789655</v>
      </c>
      <c r="AU60" s="12">
        <f t="shared" si="3"/>
        <v>0.02771789655</v>
      </c>
      <c r="AV60" s="14"/>
      <c r="AW60" s="15"/>
      <c r="AX60" s="15"/>
    </row>
    <row r="61" ht="15.75" customHeight="1">
      <c r="A61" s="7">
        <v>231220.0</v>
      </c>
      <c r="B61" s="7">
        <v>72.0</v>
      </c>
      <c r="C61" s="7">
        <v>3.0</v>
      </c>
      <c r="D61" s="8" t="s">
        <v>122</v>
      </c>
      <c r="E61" s="7">
        <v>7.0</v>
      </c>
      <c r="F61" s="8" t="s">
        <v>56</v>
      </c>
      <c r="G61" s="8" t="s">
        <v>67</v>
      </c>
      <c r="H61" s="8" t="s">
        <v>65</v>
      </c>
      <c r="I61" s="8" t="s">
        <v>51</v>
      </c>
      <c r="J61" s="8" t="s">
        <v>52</v>
      </c>
      <c r="K61" s="11" t="s">
        <v>118</v>
      </c>
      <c r="L61" s="18">
        <v>0.012165</v>
      </c>
      <c r="M61" s="18">
        <v>0.012965</v>
      </c>
      <c r="N61" s="18">
        <v>0.020527</v>
      </c>
      <c r="O61" s="18">
        <v>0.029152</v>
      </c>
      <c r="P61" s="18">
        <v>0.028311</v>
      </c>
      <c r="Q61" s="18">
        <v>0.02668</v>
      </c>
      <c r="R61" s="18">
        <v>0.030934</v>
      </c>
      <c r="S61" s="18">
        <v>0.031179</v>
      </c>
      <c r="T61" s="18">
        <v>0.028255</v>
      </c>
      <c r="U61" s="18">
        <v>0.027306</v>
      </c>
      <c r="V61" s="18">
        <v>0.026568</v>
      </c>
      <c r="W61" s="18">
        <v>0.027599</v>
      </c>
      <c r="X61" s="18">
        <v>0.029475</v>
      </c>
      <c r="Y61" s="18">
        <v>0.03218</v>
      </c>
      <c r="Z61" s="18">
        <v>0.033875</v>
      </c>
      <c r="AA61" s="18">
        <v>0.034787</v>
      </c>
      <c r="AB61" s="18">
        <v>0.036367</v>
      </c>
      <c r="AC61" s="18">
        <v>0.038105</v>
      </c>
      <c r="AD61" s="18">
        <v>0.039102</v>
      </c>
      <c r="AE61" s="18">
        <v>0.038835</v>
      </c>
      <c r="AF61" s="18">
        <v>0.037117</v>
      </c>
      <c r="AG61" s="18">
        <v>0.034243</v>
      </c>
      <c r="AH61" s="18">
        <v>0.026741</v>
      </c>
      <c r="AI61" s="18">
        <v>0.01388</v>
      </c>
      <c r="AJ61" s="18">
        <v>0.00532</v>
      </c>
      <c r="AK61" s="19">
        <v>0.002791</v>
      </c>
      <c r="AL61" s="18">
        <v>0.0</v>
      </c>
      <c r="AM61" s="18">
        <v>0.0</v>
      </c>
      <c r="AN61" s="2">
        <v>0.0</v>
      </c>
      <c r="AO61" s="2">
        <v>0.0</v>
      </c>
      <c r="AP61" s="20">
        <v>0.0</v>
      </c>
      <c r="AQ61" s="20">
        <v>0.0</v>
      </c>
      <c r="AR61" s="20">
        <v>0.0</v>
      </c>
      <c r="AS61" s="20">
        <v>0.0</v>
      </c>
      <c r="AT61" s="2">
        <f>AVERAGE(L61:AK61)</f>
        <v>0.02709457692</v>
      </c>
      <c r="AU61" s="12">
        <f t="shared" si="3"/>
        <v>0.02709457692</v>
      </c>
      <c r="AV61" s="14"/>
      <c r="AW61" s="15"/>
      <c r="AX61" s="15"/>
    </row>
    <row r="62" ht="15.75" customHeight="1">
      <c r="A62" s="7">
        <v>231220.0</v>
      </c>
      <c r="B62" s="7">
        <v>72.0</v>
      </c>
      <c r="C62" s="7">
        <v>3.0</v>
      </c>
      <c r="D62" s="8" t="s">
        <v>123</v>
      </c>
      <c r="E62" s="7">
        <v>7.0</v>
      </c>
      <c r="F62" s="8" t="s">
        <v>56</v>
      </c>
      <c r="G62" s="8" t="s">
        <v>67</v>
      </c>
      <c r="H62" s="8" t="s">
        <v>63</v>
      </c>
      <c r="I62" s="8" t="s">
        <v>51</v>
      </c>
      <c r="J62" s="8" t="s">
        <v>52</v>
      </c>
      <c r="K62" s="11" t="s">
        <v>118</v>
      </c>
      <c r="L62" s="18">
        <v>0.029881</v>
      </c>
      <c r="M62" s="18">
        <v>0.030878</v>
      </c>
      <c r="N62" s="18">
        <v>0.028605</v>
      </c>
      <c r="O62" s="18">
        <v>0.025545</v>
      </c>
      <c r="P62" s="18">
        <v>0.026209</v>
      </c>
      <c r="Q62" s="18">
        <v>0.026682</v>
      </c>
      <c r="R62" s="18">
        <v>0.021818</v>
      </c>
      <c r="S62" s="18">
        <v>0.019893</v>
      </c>
      <c r="T62" s="18">
        <v>0.023608</v>
      </c>
      <c r="U62" s="18">
        <v>0.025821</v>
      </c>
      <c r="V62" s="18">
        <v>0.027338</v>
      </c>
      <c r="W62" s="18">
        <v>0.028073</v>
      </c>
      <c r="X62" s="18">
        <v>0.029812</v>
      </c>
      <c r="Y62" s="18">
        <v>0.031871</v>
      </c>
      <c r="Z62" s="18">
        <v>0.034397</v>
      </c>
      <c r="AA62" s="18">
        <v>0.036278</v>
      </c>
      <c r="AB62" s="18">
        <v>0.039006</v>
      </c>
      <c r="AC62" s="18">
        <v>0.041259</v>
      </c>
      <c r="AD62" s="18">
        <v>0.042182</v>
      </c>
      <c r="AE62" s="18">
        <v>0.042385</v>
      </c>
      <c r="AF62" s="18">
        <v>0.042137</v>
      </c>
      <c r="AG62" s="18">
        <v>0.042294</v>
      </c>
      <c r="AH62" s="18">
        <v>0.035826</v>
      </c>
      <c r="AI62" s="18">
        <v>0.022823</v>
      </c>
      <c r="AJ62" s="18">
        <v>0.009178</v>
      </c>
      <c r="AK62" s="19">
        <v>0.00132</v>
      </c>
      <c r="AL62" s="18">
        <v>0.0</v>
      </c>
      <c r="AM62" s="18">
        <v>0.0</v>
      </c>
      <c r="AN62" s="18">
        <v>0.0</v>
      </c>
      <c r="AO62" s="2">
        <v>0.0</v>
      </c>
      <c r="AP62" s="20">
        <v>0.0</v>
      </c>
      <c r="AQ62" s="20">
        <v>0.0</v>
      </c>
      <c r="AR62" s="20">
        <v>0.0</v>
      </c>
      <c r="AS62" s="20">
        <v>0.0</v>
      </c>
      <c r="AT62" s="2">
        <f>AVERAGE(L25:AK62)</f>
        <v>0.0255442641</v>
      </c>
      <c r="AU62" s="12">
        <f t="shared" si="3"/>
        <v>0.02942765385</v>
      </c>
      <c r="AV62" s="14"/>
      <c r="AW62" s="15"/>
      <c r="AX62" s="15"/>
    </row>
    <row r="63" ht="15.75" customHeight="1">
      <c r="A63" s="7">
        <v>231220.0</v>
      </c>
      <c r="B63" s="7">
        <v>72.0</v>
      </c>
      <c r="C63" s="7">
        <v>3.0</v>
      </c>
      <c r="D63" s="8" t="s">
        <v>124</v>
      </c>
      <c r="E63" s="7">
        <v>7.0</v>
      </c>
      <c r="F63" s="8" t="s">
        <v>48</v>
      </c>
      <c r="G63" s="8" t="s">
        <v>49</v>
      </c>
      <c r="H63" s="8" t="s">
        <v>83</v>
      </c>
      <c r="I63" s="8" t="s">
        <v>51</v>
      </c>
      <c r="J63" s="8" t="s">
        <v>52</v>
      </c>
      <c r="K63" s="11" t="s">
        <v>125</v>
      </c>
      <c r="L63" s="18">
        <v>0.025115</v>
      </c>
      <c r="M63" s="18">
        <v>0.022916</v>
      </c>
      <c r="N63" s="18">
        <v>0.025387</v>
      </c>
      <c r="O63" s="18">
        <v>0.028977</v>
      </c>
      <c r="P63" s="18">
        <v>0.029866</v>
      </c>
      <c r="Q63" s="18">
        <v>0.030686</v>
      </c>
      <c r="R63" s="18">
        <v>0.030885</v>
      </c>
      <c r="S63" s="18">
        <v>0.033729</v>
      </c>
      <c r="T63" s="18">
        <v>0.037963</v>
      </c>
      <c r="U63" s="18">
        <v>0.038455</v>
      </c>
      <c r="V63" s="18">
        <v>0.036947</v>
      </c>
      <c r="W63" s="18">
        <v>0.037245</v>
      </c>
      <c r="X63" s="18">
        <v>0.037262</v>
      </c>
      <c r="Y63" s="18">
        <v>0.035787</v>
      </c>
      <c r="Z63" s="18">
        <v>0.036339</v>
      </c>
      <c r="AA63" s="18">
        <v>0.038098</v>
      </c>
      <c r="AB63" s="18">
        <v>0.039891</v>
      </c>
      <c r="AC63" s="18">
        <v>0.03843</v>
      </c>
      <c r="AD63" s="18">
        <v>0.035486</v>
      </c>
      <c r="AE63" s="18">
        <v>0.033777</v>
      </c>
      <c r="AF63" s="18">
        <v>0.027092</v>
      </c>
      <c r="AG63" s="18">
        <v>0.014476</v>
      </c>
      <c r="AH63" s="18">
        <v>0.003042</v>
      </c>
      <c r="AI63" s="19">
        <v>3.68E-4</v>
      </c>
      <c r="AJ63" s="18">
        <v>0.0</v>
      </c>
      <c r="AK63" s="2">
        <v>0.0</v>
      </c>
      <c r="AL63" s="2">
        <v>0.0</v>
      </c>
      <c r="AM63" s="2">
        <v>0.0</v>
      </c>
      <c r="AN63" s="2">
        <v>0.0</v>
      </c>
      <c r="AO63" s="2">
        <v>0.0</v>
      </c>
      <c r="AP63" s="20">
        <v>0.0</v>
      </c>
      <c r="AQ63" s="20">
        <v>0.0</v>
      </c>
      <c r="AR63" s="20">
        <v>0.0</v>
      </c>
      <c r="AS63" s="20">
        <v>0.0</v>
      </c>
      <c r="AT63" s="2">
        <f>AVERAGE(L63:AI63)</f>
        <v>0.02992579167</v>
      </c>
      <c r="AU63" s="12">
        <f t="shared" si="3"/>
        <v>0.02992579167</v>
      </c>
      <c r="AV63" s="14"/>
      <c r="AW63" s="15"/>
      <c r="AX63" s="15"/>
    </row>
    <row r="64" ht="15.75" customHeight="1">
      <c r="A64" s="7">
        <v>231220.0</v>
      </c>
      <c r="B64" s="7">
        <v>72.0</v>
      </c>
      <c r="C64" s="7">
        <v>3.0</v>
      </c>
      <c r="D64" s="8" t="s">
        <v>126</v>
      </c>
      <c r="E64" s="7">
        <v>7.0</v>
      </c>
      <c r="F64" s="8" t="s">
        <v>48</v>
      </c>
      <c r="G64" s="8" t="s">
        <v>49</v>
      </c>
      <c r="H64" s="8" t="s">
        <v>83</v>
      </c>
      <c r="I64" s="8" t="s">
        <v>51</v>
      </c>
      <c r="J64" s="8" t="s">
        <v>52</v>
      </c>
      <c r="K64" s="11" t="s">
        <v>125</v>
      </c>
      <c r="L64" s="18">
        <v>0.028529</v>
      </c>
      <c r="M64" s="18">
        <v>0.031886</v>
      </c>
      <c r="N64" s="18">
        <v>0.033408</v>
      </c>
      <c r="O64" s="18">
        <v>0.033186</v>
      </c>
      <c r="P64" s="18">
        <v>0.032851</v>
      </c>
      <c r="Q64" s="18">
        <v>0.03184</v>
      </c>
      <c r="R64" s="18">
        <v>0.030157</v>
      </c>
      <c r="S64" s="18">
        <v>0.027874</v>
      </c>
      <c r="T64" s="18">
        <v>0.027645</v>
      </c>
      <c r="U64" s="18">
        <v>0.030503</v>
      </c>
      <c r="V64" s="18">
        <v>0.030802</v>
      </c>
      <c r="W64" s="18">
        <v>0.031551</v>
      </c>
      <c r="X64" s="18">
        <v>0.035087</v>
      </c>
      <c r="Y64" s="18">
        <v>0.037323</v>
      </c>
      <c r="Z64" s="18">
        <v>0.03683</v>
      </c>
      <c r="AA64" s="18">
        <v>0.037173</v>
      </c>
      <c r="AB64" s="18">
        <v>0.038484</v>
      </c>
      <c r="AC64" s="18">
        <v>0.038364</v>
      </c>
      <c r="AD64" s="18">
        <v>0.034548</v>
      </c>
      <c r="AE64" s="18">
        <v>0.029103</v>
      </c>
      <c r="AF64" s="18">
        <v>0.025377</v>
      </c>
      <c r="AG64" s="18">
        <v>0.021466</v>
      </c>
      <c r="AH64" s="18">
        <v>0.016643</v>
      </c>
      <c r="AI64" s="18">
        <v>0.010698</v>
      </c>
      <c r="AJ64" s="18">
        <v>0.004234</v>
      </c>
      <c r="AK64" s="18">
        <v>0.002299</v>
      </c>
      <c r="AL64" s="18">
        <v>0.004731</v>
      </c>
      <c r="AM64" s="18">
        <v>0.006307</v>
      </c>
      <c r="AN64" s="18">
        <v>0.009089</v>
      </c>
      <c r="AO64" s="19">
        <v>0.072973</v>
      </c>
      <c r="AP64" s="20">
        <v>0.0</v>
      </c>
      <c r="AQ64" s="20">
        <v>0.0</v>
      </c>
      <c r="AR64" s="20">
        <v>0.0</v>
      </c>
      <c r="AS64" s="20">
        <v>0.0</v>
      </c>
      <c r="AT64" s="2">
        <f>AVERAGE(L64:AO64)</f>
        <v>0.0276987</v>
      </c>
      <c r="AU64" s="12">
        <f t="shared" si="3"/>
        <v>0.0276987</v>
      </c>
      <c r="AV64" s="14"/>
      <c r="AW64" s="15"/>
      <c r="AX64" s="15"/>
    </row>
    <row r="65" ht="15.75" customHeight="1">
      <c r="A65" s="7">
        <v>231220.0</v>
      </c>
      <c r="B65" s="7">
        <v>72.0</v>
      </c>
      <c r="C65" s="7">
        <v>3.0</v>
      </c>
      <c r="D65" s="8" t="s">
        <v>127</v>
      </c>
      <c r="E65" s="7">
        <v>7.0</v>
      </c>
      <c r="F65" s="8" t="s">
        <v>48</v>
      </c>
      <c r="G65" s="8" t="s">
        <v>49</v>
      </c>
      <c r="H65" s="8" t="s">
        <v>83</v>
      </c>
      <c r="I65" s="8" t="s">
        <v>51</v>
      </c>
      <c r="J65" s="8" t="s">
        <v>52</v>
      </c>
      <c r="K65" s="11" t="s">
        <v>125</v>
      </c>
      <c r="L65" s="18">
        <v>0.025741</v>
      </c>
      <c r="M65" s="18">
        <v>0.027001</v>
      </c>
      <c r="N65" s="18">
        <v>0.03067</v>
      </c>
      <c r="O65" s="18">
        <v>0.030009</v>
      </c>
      <c r="P65" s="18">
        <v>0.025797</v>
      </c>
      <c r="Q65" s="18">
        <v>0.026906</v>
      </c>
      <c r="R65" s="18">
        <v>0.030415</v>
      </c>
      <c r="S65" s="18">
        <v>0.029965</v>
      </c>
      <c r="T65" s="18">
        <v>0.029276</v>
      </c>
      <c r="U65" s="18">
        <v>0.027523</v>
      </c>
      <c r="V65" s="18">
        <v>0.023727</v>
      </c>
      <c r="W65" s="18">
        <v>0.023796</v>
      </c>
      <c r="X65" s="18">
        <v>0.027368</v>
      </c>
      <c r="Y65" s="18">
        <v>0.030099</v>
      </c>
      <c r="Z65" s="18">
        <v>0.032957</v>
      </c>
      <c r="AA65" s="18">
        <v>0.035246</v>
      </c>
      <c r="AB65" s="18">
        <v>0.036416</v>
      </c>
      <c r="AC65" s="18">
        <v>0.038365</v>
      </c>
      <c r="AD65" s="18">
        <v>0.039346</v>
      </c>
      <c r="AE65" s="18">
        <v>0.039347</v>
      </c>
      <c r="AF65" s="18">
        <v>0.038466</v>
      </c>
      <c r="AG65" s="18">
        <v>0.036115</v>
      </c>
      <c r="AH65" s="18">
        <v>0.024786</v>
      </c>
      <c r="AI65" s="18">
        <v>0.010394</v>
      </c>
      <c r="AJ65" s="18">
        <v>0.004863</v>
      </c>
      <c r="AK65" s="18">
        <v>0.003361</v>
      </c>
      <c r="AL65" s="18">
        <v>0.001989</v>
      </c>
      <c r="AM65" s="19">
        <v>7.35E-4</v>
      </c>
      <c r="AN65" s="18">
        <v>0.0</v>
      </c>
      <c r="AO65" s="18">
        <v>0.0</v>
      </c>
      <c r="AP65" s="20">
        <v>0.0</v>
      </c>
      <c r="AQ65" s="20">
        <v>0.0</v>
      </c>
      <c r="AR65" s="20">
        <v>0.0</v>
      </c>
      <c r="AS65" s="20">
        <v>0.0</v>
      </c>
      <c r="AT65" s="2">
        <f>AVERAGE(L65:AM65)</f>
        <v>0.02609567857</v>
      </c>
      <c r="AU65" s="12">
        <f t="shared" si="3"/>
        <v>0.02609567857</v>
      </c>
      <c r="AV65" s="14"/>
      <c r="AW65" s="15"/>
      <c r="AX65" s="15"/>
    </row>
    <row r="66" ht="15.75" customHeight="1">
      <c r="A66" s="7">
        <v>231220.0</v>
      </c>
      <c r="B66" s="7">
        <v>72.0</v>
      </c>
      <c r="C66" s="7">
        <v>3.0</v>
      </c>
      <c r="D66" s="8" t="s">
        <v>128</v>
      </c>
      <c r="E66" s="7">
        <v>7.0</v>
      </c>
      <c r="F66" s="8" t="s">
        <v>48</v>
      </c>
      <c r="G66" s="8" t="s">
        <v>49</v>
      </c>
      <c r="H66" s="8" t="s">
        <v>83</v>
      </c>
      <c r="I66" s="8" t="s">
        <v>51</v>
      </c>
      <c r="J66" s="8" t="s">
        <v>52</v>
      </c>
      <c r="K66" s="11" t="s">
        <v>125</v>
      </c>
      <c r="L66" s="18">
        <v>0.022356</v>
      </c>
      <c r="M66" s="18">
        <v>0.021619</v>
      </c>
      <c r="N66" s="18">
        <v>0.024989</v>
      </c>
      <c r="O66" s="18">
        <v>0.027417</v>
      </c>
      <c r="P66" s="18">
        <v>0.026109</v>
      </c>
      <c r="Q66" s="18">
        <v>0.02583</v>
      </c>
      <c r="R66" s="18">
        <v>0.028637</v>
      </c>
      <c r="S66" s="18">
        <v>0.032007</v>
      </c>
      <c r="T66" s="18">
        <v>0.033367</v>
      </c>
      <c r="U66" s="18">
        <v>0.031508</v>
      </c>
      <c r="V66" s="18">
        <v>0.029167</v>
      </c>
      <c r="W66" s="18">
        <v>0.029755</v>
      </c>
      <c r="X66" s="18">
        <v>0.030128</v>
      </c>
      <c r="Y66" s="18">
        <v>0.030707</v>
      </c>
      <c r="Z66" s="18">
        <v>0.033038</v>
      </c>
      <c r="AA66" s="18">
        <v>0.035475</v>
      </c>
      <c r="AB66" s="18">
        <v>0.0371</v>
      </c>
      <c r="AC66" s="18">
        <v>0.037333</v>
      </c>
      <c r="AD66" s="18">
        <v>0.037301</v>
      </c>
      <c r="AE66" s="18">
        <v>0.035053</v>
      </c>
      <c r="AF66" s="18">
        <v>0.031733</v>
      </c>
      <c r="AG66" s="18">
        <v>0.026694</v>
      </c>
      <c r="AH66" s="18">
        <v>0.02014</v>
      </c>
      <c r="AI66" s="18">
        <v>0.014983</v>
      </c>
      <c r="AJ66" s="19">
        <v>0.006276</v>
      </c>
      <c r="AK66" s="18">
        <v>0.0</v>
      </c>
      <c r="AL66" s="18">
        <v>0.0</v>
      </c>
      <c r="AM66" s="18">
        <v>0.0</v>
      </c>
      <c r="AN66" s="2">
        <v>0.0</v>
      </c>
      <c r="AO66" s="2">
        <v>0.0</v>
      </c>
      <c r="AP66" s="20">
        <v>0.0</v>
      </c>
      <c r="AQ66" s="20">
        <v>0.0</v>
      </c>
      <c r="AR66" s="20">
        <v>0.0</v>
      </c>
      <c r="AS66" s="20">
        <v>0.0</v>
      </c>
      <c r="AT66" s="2">
        <f>AVERAGE(L66:AJ66)</f>
        <v>0.02834888</v>
      </c>
      <c r="AU66" s="12">
        <f t="shared" si="3"/>
        <v>0.02834888</v>
      </c>
      <c r="AV66" s="14"/>
      <c r="AW66" s="15"/>
      <c r="AX66" s="15"/>
    </row>
    <row r="67" ht="15.75" customHeight="1">
      <c r="A67" s="7">
        <v>231220.0</v>
      </c>
      <c r="B67" s="7">
        <v>72.0</v>
      </c>
      <c r="C67" s="7">
        <v>4.0</v>
      </c>
      <c r="D67" s="8" t="s">
        <v>129</v>
      </c>
      <c r="E67" s="7">
        <v>7.0</v>
      </c>
      <c r="F67" s="8" t="s">
        <v>48</v>
      </c>
      <c r="G67" s="8" t="s">
        <v>67</v>
      </c>
      <c r="H67" s="8" t="s">
        <v>65</v>
      </c>
      <c r="I67" s="8" t="s">
        <v>51</v>
      </c>
      <c r="J67" s="8" t="s">
        <v>52</v>
      </c>
      <c r="K67" s="11" t="s">
        <v>125</v>
      </c>
      <c r="L67" s="18">
        <v>0.024094</v>
      </c>
      <c r="M67" s="18">
        <v>0.023827</v>
      </c>
      <c r="N67" s="18">
        <v>0.02391</v>
      </c>
      <c r="O67" s="18">
        <v>0.026056</v>
      </c>
      <c r="P67" s="18">
        <v>0.030856</v>
      </c>
      <c r="Q67" s="18">
        <v>0.033079</v>
      </c>
      <c r="R67" s="18">
        <v>0.033093</v>
      </c>
      <c r="S67" s="18">
        <v>0.03454</v>
      </c>
      <c r="T67" s="18">
        <v>0.032676</v>
      </c>
      <c r="U67" s="18">
        <v>0.029789</v>
      </c>
      <c r="V67" s="18">
        <v>0.02939</v>
      </c>
      <c r="W67" s="18">
        <v>0.02887</v>
      </c>
      <c r="X67" s="18">
        <v>0.029096</v>
      </c>
      <c r="Y67" s="18">
        <v>0.030632</v>
      </c>
      <c r="Z67" s="18">
        <v>0.031725</v>
      </c>
      <c r="AA67" s="18">
        <v>0.031632</v>
      </c>
      <c r="AB67" s="18">
        <v>0.032801</v>
      </c>
      <c r="AC67" s="18">
        <v>0.036335</v>
      </c>
      <c r="AD67" s="18">
        <v>0.038971</v>
      </c>
      <c r="AE67" s="18">
        <v>0.040121</v>
      </c>
      <c r="AF67" s="18">
        <v>0.039249</v>
      </c>
      <c r="AG67" s="18">
        <v>0.038108</v>
      </c>
      <c r="AH67" s="18">
        <v>0.037545</v>
      </c>
      <c r="AI67" s="18">
        <v>0.034463</v>
      </c>
      <c r="AJ67" s="18">
        <v>0.029955</v>
      </c>
      <c r="AK67" s="18">
        <v>0.023334</v>
      </c>
      <c r="AL67" s="18">
        <v>0.012175</v>
      </c>
      <c r="AM67" s="18">
        <v>0.003891</v>
      </c>
      <c r="AN67" s="19">
        <v>0.003449</v>
      </c>
      <c r="AO67" s="18">
        <v>0.0</v>
      </c>
      <c r="AP67" s="20">
        <v>0.0</v>
      </c>
      <c r="AQ67" s="20">
        <v>0.0</v>
      </c>
      <c r="AR67" s="20">
        <v>0.0</v>
      </c>
      <c r="AS67" s="20">
        <v>0.0</v>
      </c>
      <c r="AT67" s="2">
        <f>AVERAGE(L67:AN67)</f>
        <v>0.0290917931</v>
      </c>
      <c r="AU67" s="12">
        <f t="shared" si="3"/>
        <v>0.0290917931</v>
      </c>
      <c r="AV67" s="14"/>
      <c r="AW67" s="15"/>
      <c r="AX67" s="15"/>
    </row>
    <row r="68" ht="15.75" customHeight="1">
      <c r="A68" s="7">
        <v>231220.0</v>
      </c>
      <c r="B68" s="7">
        <v>72.0</v>
      </c>
      <c r="C68" s="7">
        <v>4.0</v>
      </c>
      <c r="D68" s="8" t="s">
        <v>130</v>
      </c>
      <c r="E68" s="7">
        <v>7.0</v>
      </c>
      <c r="F68" s="8" t="s">
        <v>48</v>
      </c>
      <c r="G68" s="8" t="s">
        <v>67</v>
      </c>
      <c r="H68" s="8" t="s">
        <v>63</v>
      </c>
      <c r="I68" s="8" t="s">
        <v>51</v>
      </c>
      <c r="J68" s="8" t="s">
        <v>52</v>
      </c>
      <c r="K68" s="11" t="s">
        <v>125</v>
      </c>
      <c r="L68" s="18">
        <v>0.028306</v>
      </c>
      <c r="M68" s="18">
        <v>0.025485</v>
      </c>
      <c r="N68" s="18">
        <v>0.027424</v>
      </c>
      <c r="O68" s="18">
        <v>0.029117</v>
      </c>
      <c r="P68" s="18">
        <v>0.028257</v>
      </c>
      <c r="Q68" s="18">
        <v>0.028076</v>
      </c>
      <c r="R68" s="18">
        <v>0.028805</v>
      </c>
      <c r="S68" s="18">
        <v>0.029683</v>
      </c>
      <c r="T68" s="18">
        <v>0.030802</v>
      </c>
      <c r="U68" s="18">
        <v>0.032844</v>
      </c>
      <c r="V68" s="18">
        <v>0.034344</v>
      </c>
      <c r="W68" s="18">
        <v>0.03426</v>
      </c>
      <c r="X68" s="18">
        <v>0.031143</v>
      </c>
      <c r="Y68" s="18">
        <v>0.029294</v>
      </c>
      <c r="Z68" s="18">
        <v>0.029919</v>
      </c>
      <c r="AA68" s="18">
        <v>0.03099</v>
      </c>
      <c r="AB68" s="18">
        <v>0.031817</v>
      </c>
      <c r="AC68" s="18">
        <v>0.03239</v>
      </c>
      <c r="AD68" s="18">
        <v>0.033287</v>
      </c>
      <c r="AE68" s="18">
        <v>0.033481</v>
      </c>
      <c r="AF68" s="18">
        <v>0.033232</v>
      </c>
      <c r="AG68" s="18">
        <v>0.033325</v>
      </c>
      <c r="AH68" s="18">
        <v>0.033312</v>
      </c>
      <c r="AI68" s="18">
        <v>0.030059</v>
      </c>
      <c r="AJ68" s="18">
        <v>0.025955</v>
      </c>
      <c r="AK68" s="18">
        <v>0.02556</v>
      </c>
      <c r="AL68" s="18">
        <v>0.020924</v>
      </c>
      <c r="AM68" s="19">
        <v>0.011558</v>
      </c>
      <c r="AN68" s="2">
        <v>0.0</v>
      </c>
      <c r="AO68" s="2">
        <v>0.0</v>
      </c>
      <c r="AP68" s="20">
        <v>0.0</v>
      </c>
      <c r="AQ68" s="20">
        <v>0.0</v>
      </c>
      <c r="AR68" s="20">
        <v>0.0</v>
      </c>
      <c r="AS68" s="20">
        <v>0.0</v>
      </c>
      <c r="AT68" s="2">
        <f>AVERAGE(L68:AM68)</f>
        <v>0.02941603571</v>
      </c>
      <c r="AU68" s="12">
        <f t="shared" si="3"/>
        <v>0.02941603571</v>
      </c>
      <c r="AV68" s="14"/>
      <c r="AW68" s="15"/>
      <c r="AX68" s="15"/>
    </row>
    <row r="69" ht="15.75" customHeight="1">
      <c r="A69" s="7">
        <v>231220.0</v>
      </c>
      <c r="B69" s="7">
        <v>72.0</v>
      </c>
      <c r="C69" s="7">
        <v>4.0</v>
      </c>
      <c r="D69" s="8" t="s">
        <v>131</v>
      </c>
      <c r="E69" s="7">
        <v>7.0</v>
      </c>
      <c r="F69" s="8" t="s">
        <v>48</v>
      </c>
      <c r="G69" s="8" t="s">
        <v>67</v>
      </c>
      <c r="H69" s="8" t="s">
        <v>50</v>
      </c>
      <c r="I69" s="8" t="s">
        <v>51</v>
      </c>
      <c r="J69" s="8" t="s">
        <v>52</v>
      </c>
      <c r="K69" s="11" t="s">
        <v>125</v>
      </c>
      <c r="L69" s="18">
        <v>0.027035</v>
      </c>
      <c r="M69" s="18">
        <v>0.025457</v>
      </c>
      <c r="N69" s="18">
        <v>0.027209</v>
      </c>
      <c r="O69" s="18">
        <v>0.02706</v>
      </c>
      <c r="P69" s="18">
        <v>0.024767</v>
      </c>
      <c r="Q69" s="18">
        <v>0.026161</v>
      </c>
      <c r="R69" s="18">
        <v>0.028632</v>
      </c>
      <c r="S69" s="18">
        <v>0.030501</v>
      </c>
      <c r="T69" s="18">
        <v>0.031912</v>
      </c>
      <c r="U69" s="18">
        <v>0.030887</v>
      </c>
      <c r="V69" s="18">
        <v>0.02795</v>
      </c>
      <c r="W69" s="18">
        <v>0.029469</v>
      </c>
      <c r="X69" s="18">
        <v>0.033396</v>
      </c>
      <c r="Y69" s="18">
        <v>0.034131</v>
      </c>
      <c r="Z69" s="18">
        <v>0.032641</v>
      </c>
      <c r="AA69" s="18">
        <v>0.030214</v>
      </c>
      <c r="AB69" s="18">
        <v>0.030335</v>
      </c>
      <c r="AC69" s="18">
        <v>0.032745</v>
      </c>
      <c r="AD69" s="18">
        <v>0.034416</v>
      </c>
      <c r="AE69" s="18">
        <v>0.034667</v>
      </c>
      <c r="AF69" s="18">
        <v>0.03352</v>
      </c>
      <c r="AG69" s="18">
        <v>0.033333</v>
      </c>
      <c r="AH69" s="18">
        <v>0.031001</v>
      </c>
      <c r="AI69" s="18">
        <v>0.027563</v>
      </c>
      <c r="AJ69" s="18">
        <v>0.026374</v>
      </c>
      <c r="AK69" s="18">
        <v>0.020475</v>
      </c>
      <c r="AL69" s="18">
        <v>0.011457</v>
      </c>
      <c r="AM69" s="18">
        <v>0.002009</v>
      </c>
      <c r="AN69" s="18">
        <v>0.002838</v>
      </c>
      <c r="AO69" s="19">
        <v>0.002786</v>
      </c>
      <c r="AP69" s="20">
        <v>0.0</v>
      </c>
      <c r="AQ69" s="20">
        <v>0.0</v>
      </c>
      <c r="AR69" s="20">
        <v>0.0</v>
      </c>
      <c r="AS69" s="20">
        <v>0.0</v>
      </c>
      <c r="AT69" s="2">
        <f>AVERAGE(L69:AO69)</f>
        <v>0.0263647</v>
      </c>
      <c r="AU69" s="12">
        <f t="shared" si="3"/>
        <v>0.0263647</v>
      </c>
      <c r="AV69" s="14"/>
      <c r="AW69" s="15"/>
      <c r="AX69" s="15"/>
    </row>
    <row r="70" ht="15.75" customHeight="1">
      <c r="A70" s="7">
        <v>240103.0</v>
      </c>
      <c r="B70" s="7">
        <v>72.0</v>
      </c>
      <c r="C70" s="7">
        <v>4.0</v>
      </c>
      <c r="D70" s="8" t="s">
        <v>132</v>
      </c>
      <c r="E70" s="7">
        <v>7.0</v>
      </c>
      <c r="F70" s="8" t="s">
        <v>56</v>
      </c>
      <c r="G70" s="8" t="s">
        <v>67</v>
      </c>
      <c r="H70" s="8" t="s">
        <v>63</v>
      </c>
      <c r="I70" s="8" t="s">
        <v>51</v>
      </c>
      <c r="J70" s="8" t="s">
        <v>52</v>
      </c>
      <c r="K70" s="11" t="s">
        <v>133</v>
      </c>
      <c r="L70" s="18">
        <v>0.025334</v>
      </c>
      <c r="M70" s="18">
        <v>0.02051</v>
      </c>
      <c r="N70" s="18">
        <v>0.023247</v>
      </c>
      <c r="O70" s="18">
        <v>0.027195</v>
      </c>
      <c r="P70" s="18">
        <v>0.026304</v>
      </c>
      <c r="Q70" s="18">
        <v>0.02534</v>
      </c>
      <c r="R70" s="18">
        <v>0.025881</v>
      </c>
      <c r="S70" s="18">
        <v>0.02864</v>
      </c>
      <c r="T70" s="18">
        <v>0.029635</v>
      </c>
      <c r="U70" s="18">
        <v>0.028742</v>
      </c>
      <c r="V70" s="18">
        <v>0.029076</v>
      </c>
      <c r="W70" s="18">
        <v>0.029594</v>
      </c>
      <c r="X70" s="18">
        <v>0.03093</v>
      </c>
      <c r="Y70" s="18">
        <v>0.030895</v>
      </c>
      <c r="Z70" s="18">
        <v>0.030741</v>
      </c>
      <c r="AA70" s="18">
        <v>0.033377</v>
      </c>
      <c r="AB70" s="18">
        <v>0.034482</v>
      </c>
      <c r="AC70" s="18">
        <v>0.03391</v>
      </c>
      <c r="AD70" s="18">
        <v>0.035344</v>
      </c>
      <c r="AE70" s="18">
        <v>0.035674</v>
      </c>
      <c r="AF70" s="18">
        <v>0.036616</v>
      </c>
      <c r="AG70" s="18">
        <v>0.038149</v>
      </c>
      <c r="AH70" s="18">
        <v>0.038633</v>
      </c>
      <c r="AI70" s="18">
        <v>0.037194</v>
      </c>
      <c r="AJ70" s="18">
        <v>0.024413</v>
      </c>
      <c r="AK70" s="18">
        <v>0.00758</v>
      </c>
      <c r="AL70" s="18">
        <v>7.89E-4</v>
      </c>
      <c r="AM70" s="19">
        <v>5.6E-4</v>
      </c>
      <c r="AN70" s="18">
        <v>0.0</v>
      </c>
      <c r="AO70" s="2">
        <v>0.0</v>
      </c>
      <c r="AP70" s="20">
        <v>0.0</v>
      </c>
      <c r="AQ70" s="20">
        <v>0.0</v>
      </c>
      <c r="AR70" s="20">
        <v>0.0</v>
      </c>
      <c r="AS70" s="20">
        <v>0.0</v>
      </c>
      <c r="AT70" s="2">
        <f>AVERAGE(L70:AM70)</f>
        <v>0.02745660714</v>
      </c>
      <c r="AU70" s="12">
        <f t="shared" si="3"/>
        <v>0.02745660714</v>
      </c>
      <c r="AV70" s="14"/>
      <c r="AW70" s="15"/>
      <c r="AX70" s="15"/>
    </row>
    <row r="71" ht="15.75" customHeight="1">
      <c r="A71" s="7">
        <v>240103.0</v>
      </c>
      <c r="B71" s="7">
        <v>72.0</v>
      </c>
      <c r="C71" s="7">
        <v>4.0</v>
      </c>
      <c r="D71" s="8" t="s">
        <v>134</v>
      </c>
      <c r="E71" s="7">
        <v>7.0</v>
      </c>
      <c r="F71" s="8" t="s">
        <v>56</v>
      </c>
      <c r="G71" s="8" t="s">
        <v>67</v>
      </c>
      <c r="H71" s="8" t="s">
        <v>65</v>
      </c>
      <c r="I71" s="8" t="s">
        <v>51</v>
      </c>
      <c r="J71" s="8" t="s">
        <v>52</v>
      </c>
      <c r="K71" s="11" t="s">
        <v>133</v>
      </c>
      <c r="L71" s="18">
        <v>0.021366</v>
      </c>
      <c r="M71" s="18">
        <v>0.021484</v>
      </c>
      <c r="N71" s="18">
        <v>0.021563</v>
      </c>
      <c r="O71" s="18">
        <v>0.023572</v>
      </c>
      <c r="P71" s="18">
        <v>0.026198</v>
      </c>
      <c r="Q71" s="18">
        <v>0.02671</v>
      </c>
      <c r="R71" s="18">
        <v>0.025707</v>
      </c>
      <c r="S71" s="18">
        <v>0.024816</v>
      </c>
      <c r="T71" s="18">
        <v>0.025526</v>
      </c>
      <c r="U71" s="18">
        <v>0.026604</v>
      </c>
      <c r="V71" s="18">
        <v>0.028429</v>
      </c>
      <c r="W71" s="18">
        <v>0.03093</v>
      </c>
      <c r="X71" s="18">
        <v>0.03394</v>
      </c>
      <c r="Y71" s="18">
        <v>0.036504</v>
      </c>
      <c r="Z71" s="18">
        <v>0.037694</v>
      </c>
      <c r="AA71" s="18">
        <v>0.039225</v>
      </c>
      <c r="AB71" s="18">
        <v>0.039671</v>
      </c>
      <c r="AC71" s="18">
        <v>0.039132</v>
      </c>
      <c r="AD71" s="18">
        <v>0.038096</v>
      </c>
      <c r="AE71" s="18">
        <v>0.037652</v>
      </c>
      <c r="AF71" s="18">
        <v>0.036744</v>
      </c>
      <c r="AG71" s="18">
        <v>0.024816</v>
      </c>
      <c r="AH71" s="18">
        <v>0.008547</v>
      </c>
      <c r="AI71" s="18">
        <v>0.001394</v>
      </c>
      <c r="AJ71" s="18">
        <v>3.11E-4</v>
      </c>
      <c r="AK71" s="19">
        <v>4.38E-4</v>
      </c>
      <c r="AL71" s="18">
        <v>0.0</v>
      </c>
      <c r="AM71" s="18">
        <v>0.0</v>
      </c>
      <c r="AN71" s="2">
        <v>0.0</v>
      </c>
      <c r="AO71" s="2">
        <v>0.0</v>
      </c>
      <c r="AP71" s="20">
        <v>0.0</v>
      </c>
      <c r="AQ71" s="20">
        <v>0.0</v>
      </c>
      <c r="AR71" s="20">
        <v>0.0</v>
      </c>
      <c r="AS71" s="20">
        <v>0.0</v>
      </c>
      <c r="AT71" s="2">
        <f t="shared" ref="AT71:AT72" si="8">AVERAGE(L71:AK71)</f>
        <v>0.02604111538</v>
      </c>
      <c r="AU71" s="12">
        <f t="shared" si="3"/>
        <v>0.02604111538</v>
      </c>
      <c r="AV71" s="14"/>
      <c r="AW71" s="15"/>
      <c r="AX71" s="15"/>
    </row>
    <row r="72" ht="15.75" customHeight="1">
      <c r="A72" s="7">
        <v>240103.0</v>
      </c>
      <c r="B72" s="7">
        <v>72.0</v>
      </c>
      <c r="C72" s="7">
        <v>4.0</v>
      </c>
      <c r="D72" s="8" t="s">
        <v>135</v>
      </c>
      <c r="E72" s="7">
        <v>7.0</v>
      </c>
      <c r="F72" s="8" t="s">
        <v>56</v>
      </c>
      <c r="G72" s="8" t="s">
        <v>136</v>
      </c>
      <c r="H72" s="8" t="s">
        <v>61</v>
      </c>
      <c r="I72" s="8" t="s">
        <v>51</v>
      </c>
      <c r="J72" s="8" t="s">
        <v>52</v>
      </c>
      <c r="K72" s="11" t="s">
        <v>133</v>
      </c>
      <c r="L72" s="18">
        <v>0.02212</v>
      </c>
      <c r="M72" s="18">
        <v>0.023793</v>
      </c>
      <c r="N72" s="18">
        <v>0.023096</v>
      </c>
      <c r="O72" s="18">
        <v>0.02455</v>
      </c>
      <c r="P72" s="18">
        <v>0.028848</v>
      </c>
      <c r="Q72" s="18">
        <v>0.02879</v>
      </c>
      <c r="R72" s="18">
        <v>0.027824</v>
      </c>
      <c r="S72" s="18">
        <v>0.031711</v>
      </c>
      <c r="T72" s="18">
        <v>0.034472</v>
      </c>
      <c r="U72" s="18">
        <v>0.034241</v>
      </c>
      <c r="V72" s="18">
        <v>0.033357</v>
      </c>
      <c r="W72" s="18">
        <v>0.032996</v>
      </c>
      <c r="X72" s="18">
        <v>0.033071</v>
      </c>
      <c r="Y72" s="18">
        <v>0.032742</v>
      </c>
      <c r="Z72" s="18">
        <v>0.033508</v>
      </c>
      <c r="AA72" s="18">
        <v>0.034688</v>
      </c>
      <c r="AB72" s="18">
        <v>0.035158</v>
      </c>
      <c r="AC72" s="18">
        <v>0.035435</v>
      </c>
      <c r="AD72" s="18">
        <v>0.032144</v>
      </c>
      <c r="AE72" s="18">
        <v>0.023776</v>
      </c>
      <c r="AF72" s="18">
        <v>0.01191</v>
      </c>
      <c r="AG72" s="18">
        <v>0.003842</v>
      </c>
      <c r="AH72" s="18">
        <v>0.001718</v>
      </c>
      <c r="AI72" s="18">
        <v>8.55E-4</v>
      </c>
      <c r="AJ72" s="18">
        <v>0.001166</v>
      </c>
      <c r="AK72" s="19">
        <v>7.52E-4</v>
      </c>
      <c r="AL72" s="18">
        <v>0.0</v>
      </c>
      <c r="AM72" s="2">
        <v>0.0</v>
      </c>
      <c r="AN72" s="2">
        <v>0.0</v>
      </c>
      <c r="AO72" s="2">
        <v>0.0</v>
      </c>
      <c r="AP72" s="20">
        <v>0.0</v>
      </c>
      <c r="AQ72" s="20">
        <v>0.0</v>
      </c>
      <c r="AR72" s="20">
        <v>0.0</v>
      </c>
      <c r="AS72" s="20">
        <v>0.0</v>
      </c>
      <c r="AT72" s="2">
        <f t="shared" si="8"/>
        <v>0.02409857692</v>
      </c>
      <c r="AU72" s="12">
        <f t="shared" si="3"/>
        <v>0.02409857692</v>
      </c>
      <c r="AV72" s="14"/>
      <c r="AW72" s="15"/>
      <c r="AX72" s="15"/>
    </row>
    <row r="73" ht="15.75" customHeight="1">
      <c r="A73" s="7">
        <v>240103.0</v>
      </c>
      <c r="B73" s="7">
        <v>72.0</v>
      </c>
      <c r="C73" s="7">
        <v>4.0</v>
      </c>
      <c r="D73" s="8" t="s">
        <v>137</v>
      </c>
      <c r="E73" s="7">
        <v>7.0</v>
      </c>
      <c r="F73" s="8" t="s">
        <v>56</v>
      </c>
      <c r="G73" s="8" t="s">
        <v>67</v>
      </c>
      <c r="H73" s="8" t="s">
        <v>50</v>
      </c>
      <c r="I73" s="8" t="s">
        <v>51</v>
      </c>
      <c r="J73" s="8" t="s">
        <v>52</v>
      </c>
      <c r="K73" s="11" t="s">
        <v>133</v>
      </c>
      <c r="L73" s="18">
        <v>0.023354</v>
      </c>
      <c r="M73" s="18">
        <v>0.024209</v>
      </c>
      <c r="N73" s="18">
        <v>0.024617</v>
      </c>
      <c r="O73" s="18">
        <v>0.025703</v>
      </c>
      <c r="P73" s="18">
        <v>0.026291</v>
      </c>
      <c r="Q73" s="18">
        <v>0.026829</v>
      </c>
      <c r="R73" s="18">
        <v>0.027273</v>
      </c>
      <c r="S73" s="18">
        <v>0.027119</v>
      </c>
      <c r="T73" s="18">
        <v>0.029766</v>
      </c>
      <c r="U73" s="18">
        <v>0.032007</v>
      </c>
      <c r="V73" s="18">
        <v>0.031434</v>
      </c>
      <c r="W73" s="18">
        <v>0.028945</v>
      </c>
      <c r="X73" s="18">
        <v>0.026841</v>
      </c>
      <c r="Y73" s="18">
        <v>0.027086</v>
      </c>
      <c r="Z73" s="18">
        <v>0.028015</v>
      </c>
      <c r="AA73" s="18">
        <v>0.030033</v>
      </c>
      <c r="AB73" s="18">
        <v>0.03247</v>
      </c>
      <c r="AC73" s="18">
        <v>0.033198</v>
      </c>
      <c r="AD73" s="18">
        <v>0.031927</v>
      </c>
      <c r="AE73" s="18">
        <v>0.032888</v>
      </c>
      <c r="AF73" s="18">
        <v>0.033035</v>
      </c>
      <c r="AG73" s="18">
        <v>0.03187</v>
      </c>
      <c r="AH73" s="18">
        <v>0.031512</v>
      </c>
      <c r="AI73" s="18">
        <v>0.025475</v>
      </c>
      <c r="AJ73" s="18">
        <v>0.018247</v>
      </c>
      <c r="AK73" s="18">
        <v>0.012381</v>
      </c>
      <c r="AL73" s="18">
        <v>0.005837</v>
      </c>
      <c r="AM73" s="19">
        <v>0.001806</v>
      </c>
      <c r="AN73" s="18">
        <v>0.0</v>
      </c>
      <c r="AO73" s="2">
        <v>0.0</v>
      </c>
      <c r="AP73" s="20">
        <v>0.0</v>
      </c>
      <c r="AQ73" s="20">
        <v>0.0</v>
      </c>
      <c r="AR73" s="20">
        <v>0.0</v>
      </c>
      <c r="AS73" s="20">
        <v>0.0</v>
      </c>
      <c r="AT73" s="2">
        <f>AVERAGE(L73:AM73)</f>
        <v>0.02607742857</v>
      </c>
      <c r="AU73" s="12">
        <f t="shared" si="3"/>
        <v>0.02607742857</v>
      </c>
      <c r="AV73" s="14"/>
      <c r="AW73" s="15"/>
      <c r="AX73" s="15"/>
    </row>
    <row r="74" ht="15.75" customHeight="1">
      <c r="A74" s="7">
        <v>240103.0</v>
      </c>
      <c r="B74" s="7">
        <v>72.0</v>
      </c>
      <c r="C74" s="7">
        <v>4.0</v>
      </c>
      <c r="D74" s="8" t="s">
        <v>138</v>
      </c>
      <c r="E74" s="7">
        <v>7.0</v>
      </c>
      <c r="F74" s="8" t="s">
        <v>56</v>
      </c>
      <c r="G74" s="8" t="s">
        <v>49</v>
      </c>
      <c r="H74" s="8" t="s">
        <v>63</v>
      </c>
      <c r="I74" s="8" t="s">
        <v>51</v>
      </c>
      <c r="J74" s="8" t="s">
        <v>52</v>
      </c>
      <c r="K74" s="11" t="s">
        <v>133</v>
      </c>
      <c r="L74" s="18">
        <v>0.02581</v>
      </c>
      <c r="M74" s="18">
        <v>0.026318</v>
      </c>
      <c r="N74" s="18">
        <v>0.024575</v>
      </c>
      <c r="O74" s="18">
        <v>0.023019</v>
      </c>
      <c r="P74" s="18">
        <v>0.024501</v>
      </c>
      <c r="Q74" s="18">
        <v>0.025859</v>
      </c>
      <c r="R74" s="18">
        <v>0.026485</v>
      </c>
      <c r="S74" s="18">
        <v>0.026259</v>
      </c>
      <c r="T74" s="18">
        <v>0.025839</v>
      </c>
      <c r="U74" s="18">
        <v>0.026842</v>
      </c>
      <c r="V74" s="18">
        <v>0.028247</v>
      </c>
      <c r="W74" s="18">
        <v>0.028677</v>
      </c>
      <c r="X74" s="18">
        <v>0.027587</v>
      </c>
      <c r="Y74" s="18">
        <v>0.025544</v>
      </c>
      <c r="Z74" s="18">
        <v>0.025447</v>
      </c>
      <c r="AA74" s="18">
        <v>0.027178</v>
      </c>
      <c r="AB74" s="18">
        <v>0.028492</v>
      </c>
      <c r="AC74" s="18">
        <v>0.031202</v>
      </c>
      <c r="AD74" s="18">
        <v>0.032659</v>
      </c>
      <c r="AE74" s="18">
        <v>0.033292</v>
      </c>
      <c r="AF74" s="18">
        <v>0.034055</v>
      </c>
      <c r="AG74" s="18">
        <v>0.034283</v>
      </c>
      <c r="AH74" s="18">
        <v>0.035071</v>
      </c>
      <c r="AI74" s="18">
        <v>0.033141</v>
      </c>
      <c r="AJ74" s="18">
        <v>0.025707</v>
      </c>
      <c r="AK74" s="18">
        <v>0.01505</v>
      </c>
      <c r="AL74" s="18">
        <v>0.005216</v>
      </c>
      <c r="AM74" s="18">
        <v>7.06E-4</v>
      </c>
      <c r="AN74" s="19">
        <v>0.001748</v>
      </c>
      <c r="AO74" s="18">
        <v>0.0</v>
      </c>
      <c r="AP74" s="20">
        <v>0.0</v>
      </c>
      <c r="AQ74" s="20">
        <v>0.0</v>
      </c>
      <c r="AR74" s="20">
        <v>0.0</v>
      </c>
      <c r="AS74" s="20">
        <v>0.0</v>
      </c>
      <c r="AT74" s="2">
        <f t="shared" ref="AT74:AT75" si="9">AVERAGE(L74:AN74)</f>
        <v>0.02513134483</v>
      </c>
      <c r="AU74" s="12">
        <f t="shared" si="3"/>
        <v>0.02513134483</v>
      </c>
      <c r="AV74" s="14"/>
      <c r="AW74" s="15"/>
      <c r="AX74" s="15"/>
    </row>
    <row r="75" ht="15.75" customHeight="1">
      <c r="A75" s="7">
        <v>240103.0</v>
      </c>
      <c r="B75" s="7">
        <v>72.0</v>
      </c>
      <c r="C75" s="7">
        <v>4.0</v>
      </c>
      <c r="D75" s="8" t="s">
        <v>139</v>
      </c>
      <c r="E75" s="7">
        <v>7.0</v>
      </c>
      <c r="F75" s="8" t="s">
        <v>56</v>
      </c>
      <c r="G75" s="8" t="s">
        <v>49</v>
      </c>
      <c r="H75" s="8" t="s">
        <v>50</v>
      </c>
      <c r="I75" s="8" t="s">
        <v>51</v>
      </c>
      <c r="J75" s="8" t="s">
        <v>52</v>
      </c>
      <c r="K75" s="11" t="s">
        <v>133</v>
      </c>
      <c r="L75" s="18">
        <v>0.027981</v>
      </c>
      <c r="M75" s="18">
        <v>0.026661</v>
      </c>
      <c r="N75" s="18">
        <v>0.023737</v>
      </c>
      <c r="O75" s="18">
        <v>0.022123</v>
      </c>
      <c r="P75" s="18">
        <v>0.023365</v>
      </c>
      <c r="Q75" s="18">
        <v>0.024793</v>
      </c>
      <c r="R75" s="18">
        <v>0.02683</v>
      </c>
      <c r="S75" s="18">
        <v>0.029612</v>
      </c>
      <c r="T75" s="18">
        <v>0.028979</v>
      </c>
      <c r="U75" s="18">
        <v>0.027311</v>
      </c>
      <c r="V75" s="18">
        <v>0.028343</v>
      </c>
      <c r="W75" s="18">
        <v>0.028694</v>
      </c>
      <c r="X75" s="18">
        <v>0.029105</v>
      </c>
      <c r="Y75" s="18">
        <v>0.029118</v>
      </c>
      <c r="Z75" s="18">
        <v>0.029061</v>
      </c>
      <c r="AA75" s="18">
        <v>0.02851</v>
      </c>
      <c r="AB75" s="18">
        <v>0.026852</v>
      </c>
      <c r="AC75" s="18">
        <v>0.027313</v>
      </c>
      <c r="AD75" s="18">
        <v>0.028949</v>
      </c>
      <c r="AE75" s="18">
        <v>0.030263</v>
      </c>
      <c r="AF75" s="18">
        <v>0.03218</v>
      </c>
      <c r="AG75" s="18">
        <v>0.033135</v>
      </c>
      <c r="AH75" s="18">
        <v>0.031689</v>
      </c>
      <c r="AI75" s="18">
        <v>0.030463</v>
      </c>
      <c r="AJ75" s="18">
        <v>0.032236</v>
      </c>
      <c r="AK75" s="18">
        <v>0.02341</v>
      </c>
      <c r="AL75" s="18">
        <v>0.007266</v>
      </c>
      <c r="AM75" s="18">
        <v>0.001026</v>
      </c>
      <c r="AN75" s="19">
        <v>6.9E-4</v>
      </c>
      <c r="AO75" s="2">
        <v>0.0</v>
      </c>
      <c r="AP75" s="20">
        <v>0.0</v>
      </c>
      <c r="AQ75" s="20">
        <v>0.0</v>
      </c>
      <c r="AR75" s="20">
        <v>0.0</v>
      </c>
      <c r="AS75" s="20">
        <v>0.0</v>
      </c>
      <c r="AT75" s="2">
        <f t="shared" si="9"/>
        <v>0.02550672414</v>
      </c>
      <c r="AU75" s="12">
        <f t="shared" si="3"/>
        <v>0.02550672414</v>
      </c>
      <c r="AV75" s="14"/>
      <c r="AW75" s="15"/>
      <c r="AX75" s="15"/>
    </row>
    <row r="76" ht="15.75" customHeight="1">
      <c r="A76" s="7">
        <v>240104.0</v>
      </c>
      <c r="B76" s="7">
        <v>72.0</v>
      </c>
      <c r="C76" s="7">
        <v>4.0</v>
      </c>
      <c r="D76" s="8" t="s">
        <v>140</v>
      </c>
      <c r="E76" s="7">
        <v>7.0</v>
      </c>
      <c r="F76" s="8" t="s">
        <v>48</v>
      </c>
      <c r="G76" s="8" t="s">
        <v>49</v>
      </c>
      <c r="H76" s="8" t="s">
        <v>61</v>
      </c>
      <c r="I76" s="8" t="s">
        <v>51</v>
      </c>
      <c r="J76" s="8" t="s">
        <v>52</v>
      </c>
      <c r="K76" s="11" t="s">
        <v>141</v>
      </c>
      <c r="L76" s="18">
        <v>0.030482</v>
      </c>
      <c r="M76" s="18">
        <v>0.026618</v>
      </c>
      <c r="N76" s="18">
        <v>0.024051</v>
      </c>
      <c r="O76" s="18">
        <v>0.024736</v>
      </c>
      <c r="P76" s="18">
        <v>0.026034</v>
      </c>
      <c r="Q76" s="18">
        <v>0.027935</v>
      </c>
      <c r="R76" s="18">
        <v>0.02951</v>
      </c>
      <c r="S76" s="18">
        <v>0.03101</v>
      </c>
      <c r="T76" s="18">
        <v>0.031449</v>
      </c>
      <c r="U76" s="18">
        <v>0.031071</v>
      </c>
      <c r="V76" s="18">
        <v>0.031142</v>
      </c>
      <c r="W76" s="18">
        <v>0.03082</v>
      </c>
      <c r="X76" s="18">
        <v>0.033031</v>
      </c>
      <c r="Y76" s="18">
        <v>0.033427</v>
      </c>
      <c r="Z76" s="18">
        <v>0.032706</v>
      </c>
      <c r="AA76" s="18">
        <v>0.03367</v>
      </c>
      <c r="AB76" s="18">
        <v>0.034406</v>
      </c>
      <c r="AC76" s="18">
        <v>0.034304</v>
      </c>
      <c r="AD76" s="18">
        <v>0.033974</v>
      </c>
      <c r="AE76" s="18">
        <v>0.032734</v>
      </c>
      <c r="AF76" s="18">
        <v>0.030766</v>
      </c>
      <c r="AG76" s="18">
        <v>0.028291</v>
      </c>
      <c r="AH76" s="18">
        <v>0.025701</v>
      </c>
      <c r="AI76" s="18">
        <v>0.025041</v>
      </c>
      <c r="AJ76" s="18">
        <v>0.026271</v>
      </c>
      <c r="AK76" s="18">
        <v>0.027208</v>
      </c>
      <c r="AL76" s="19">
        <v>0.02219</v>
      </c>
      <c r="AM76" s="18">
        <v>0.0</v>
      </c>
      <c r="AN76" s="2">
        <v>0.0</v>
      </c>
      <c r="AO76" s="2">
        <v>0.0</v>
      </c>
      <c r="AP76" s="20">
        <v>0.0</v>
      </c>
      <c r="AQ76" s="20">
        <v>0.0</v>
      </c>
      <c r="AR76" s="20">
        <v>0.0</v>
      </c>
      <c r="AS76" s="20">
        <v>0.0</v>
      </c>
      <c r="AT76" s="2">
        <f>AVERAGE(L76:AL76)</f>
        <v>0.02957696296</v>
      </c>
      <c r="AU76" s="12">
        <f t="shared" si="3"/>
        <v>0.02957696296</v>
      </c>
      <c r="AV76" s="14"/>
      <c r="AW76" s="15"/>
      <c r="AX76" s="15"/>
    </row>
    <row r="77" ht="15.75" customHeight="1">
      <c r="A77" s="7">
        <v>240104.0</v>
      </c>
      <c r="B77" s="7">
        <v>72.0</v>
      </c>
      <c r="C77" s="7">
        <v>4.0</v>
      </c>
      <c r="D77" s="8" t="s">
        <v>142</v>
      </c>
      <c r="E77" s="7">
        <v>7.0</v>
      </c>
      <c r="F77" s="8" t="s">
        <v>48</v>
      </c>
      <c r="G77" s="8" t="s">
        <v>49</v>
      </c>
      <c r="H77" s="8" t="s">
        <v>50</v>
      </c>
      <c r="I77" s="8" t="s">
        <v>51</v>
      </c>
      <c r="J77" s="8" t="s">
        <v>52</v>
      </c>
      <c r="K77" s="11" t="s">
        <v>141</v>
      </c>
      <c r="L77" s="18">
        <v>0.025404</v>
      </c>
      <c r="M77" s="18">
        <v>0.026289</v>
      </c>
      <c r="N77" s="18">
        <v>0.024084</v>
      </c>
      <c r="O77" s="18">
        <v>0.021914</v>
      </c>
      <c r="P77" s="18">
        <v>0.024754</v>
      </c>
      <c r="Q77" s="18">
        <v>0.02898</v>
      </c>
      <c r="R77" s="18">
        <v>0.029389</v>
      </c>
      <c r="S77" s="18">
        <v>0.02782</v>
      </c>
      <c r="T77" s="18">
        <v>0.030364</v>
      </c>
      <c r="U77" s="18">
        <v>0.03451</v>
      </c>
      <c r="V77" s="18">
        <v>0.03505</v>
      </c>
      <c r="W77" s="18">
        <v>0.032228</v>
      </c>
      <c r="X77" s="18">
        <v>0.030968</v>
      </c>
      <c r="Y77" s="18">
        <v>0.031707</v>
      </c>
      <c r="Z77" s="18">
        <v>0.032901</v>
      </c>
      <c r="AA77" s="18">
        <v>0.033181</v>
      </c>
      <c r="AB77" s="18">
        <v>0.032533</v>
      </c>
      <c r="AC77" s="18">
        <v>0.031828</v>
      </c>
      <c r="AD77" s="18">
        <v>0.031062</v>
      </c>
      <c r="AE77" s="18">
        <v>0.031252</v>
      </c>
      <c r="AF77" s="18">
        <v>0.032121</v>
      </c>
      <c r="AG77" s="18">
        <v>0.032925</v>
      </c>
      <c r="AH77" s="18">
        <v>0.031197</v>
      </c>
      <c r="AI77" s="18">
        <v>0.025221</v>
      </c>
      <c r="AJ77" s="18">
        <v>0.01387</v>
      </c>
      <c r="AK77" s="19">
        <v>4.6E-4</v>
      </c>
      <c r="AL77" s="18">
        <v>0.0</v>
      </c>
      <c r="AM77" s="2">
        <v>0.0</v>
      </c>
      <c r="AN77" s="2">
        <v>0.0</v>
      </c>
      <c r="AO77" s="2">
        <v>0.0</v>
      </c>
      <c r="AP77" s="20">
        <v>0.0</v>
      </c>
      <c r="AQ77" s="20">
        <v>0.0</v>
      </c>
      <c r="AR77" s="20">
        <v>0.0</v>
      </c>
      <c r="AS77" s="20">
        <v>0.0</v>
      </c>
      <c r="AT77" s="2">
        <f>AVERAGE(L77:AK77)</f>
        <v>0.02815430769</v>
      </c>
      <c r="AU77" s="12">
        <f t="shared" si="3"/>
        <v>0.02815430769</v>
      </c>
      <c r="AV77" s="14"/>
      <c r="AW77" s="15"/>
      <c r="AX77" s="15"/>
    </row>
    <row r="78" ht="15.75" customHeight="1">
      <c r="A78" s="7">
        <v>240104.0</v>
      </c>
      <c r="B78" s="7">
        <v>72.0</v>
      </c>
      <c r="C78" s="7">
        <v>4.0</v>
      </c>
      <c r="D78" s="8" t="s">
        <v>143</v>
      </c>
      <c r="E78" s="7">
        <v>7.0</v>
      </c>
      <c r="F78" s="8" t="s">
        <v>48</v>
      </c>
      <c r="G78" s="8" t="s">
        <v>49</v>
      </c>
      <c r="H78" s="8" t="s">
        <v>65</v>
      </c>
      <c r="I78" s="8" t="s">
        <v>51</v>
      </c>
      <c r="J78" s="8" t="s">
        <v>52</v>
      </c>
      <c r="K78" s="11" t="s">
        <v>141</v>
      </c>
      <c r="L78" s="18">
        <v>0.032204</v>
      </c>
      <c r="M78" s="18">
        <v>0.025917</v>
      </c>
      <c r="N78" s="18">
        <v>0.023342</v>
      </c>
      <c r="O78" s="18">
        <v>0.022226</v>
      </c>
      <c r="P78" s="18">
        <v>0.022325</v>
      </c>
      <c r="Q78" s="18">
        <v>0.025524</v>
      </c>
      <c r="R78" s="18">
        <v>0.027808</v>
      </c>
      <c r="S78" s="18">
        <v>0.026354</v>
      </c>
      <c r="T78" s="18">
        <v>0.024168</v>
      </c>
      <c r="U78" s="18">
        <v>0.026416</v>
      </c>
      <c r="V78" s="18">
        <v>0.030472</v>
      </c>
      <c r="W78" s="18">
        <v>0.030988</v>
      </c>
      <c r="X78" s="18">
        <v>0.031513</v>
      </c>
      <c r="Y78" s="18">
        <v>0.031879</v>
      </c>
      <c r="Z78" s="18">
        <v>0.029415</v>
      </c>
      <c r="AA78" s="18">
        <v>0.027821</v>
      </c>
      <c r="AB78" s="18">
        <v>0.030743</v>
      </c>
      <c r="AC78" s="18">
        <v>0.03402</v>
      </c>
      <c r="AD78" s="18">
        <v>0.033366</v>
      </c>
      <c r="AE78" s="18">
        <v>0.032148</v>
      </c>
      <c r="AF78" s="18">
        <v>0.030605</v>
      </c>
      <c r="AG78" s="18">
        <v>0.027529</v>
      </c>
      <c r="AH78" s="18">
        <v>0.01726</v>
      </c>
      <c r="AI78" s="18">
        <v>0.005388</v>
      </c>
      <c r="AJ78" s="18">
        <v>0.001609</v>
      </c>
      <c r="AK78" s="18">
        <v>2.86E-4</v>
      </c>
      <c r="AL78" s="19">
        <v>6.1E-6</v>
      </c>
      <c r="AM78" s="18">
        <v>0.0</v>
      </c>
      <c r="AN78" s="18">
        <v>0.0</v>
      </c>
      <c r="AO78" s="2">
        <v>0.0</v>
      </c>
      <c r="AP78" s="20">
        <v>0.0</v>
      </c>
      <c r="AQ78" s="20">
        <v>0.0</v>
      </c>
      <c r="AR78" s="20">
        <v>0.0</v>
      </c>
      <c r="AS78" s="20">
        <v>0.0</v>
      </c>
      <c r="AT78" s="2">
        <f t="shared" ref="AT78:AT79" si="10">AVERAGE(L78:AL78)</f>
        <v>0.02412341111</v>
      </c>
      <c r="AU78" s="12">
        <f t="shared" si="3"/>
        <v>0.02412341111</v>
      </c>
      <c r="AV78" s="14"/>
      <c r="AW78" s="15"/>
      <c r="AX78" s="15"/>
    </row>
    <row r="79" ht="15.75" customHeight="1">
      <c r="A79" s="7">
        <v>240117.0</v>
      </c>
      <c r="B79" s="7">
        <v>72.0</v>
      </c>
      <c r="C79" s="7">
        <v>4.0</v>
      </c>
      <c r="D79" s="8" t="s">
        <v>144</v>
      </c>
      <c r="E79" s="7">
        <v>7.0</v>
      </c>
      <c r="F79" s="8" t="s">
        <v>56</v>
      </c>
      <c r="G79" s="8" t="s">
        <v>49</v>
      </c>
      <c r="H79" s="8" t="s">
        <v>50</v>
      </c>
      <c r="I79" s="8" t="s">
        <v>51</v>
      </c>
      <c r="J79" s="8" t="s">
        <v>52</v>
      </c>
      <c r="K79" s="11" t="s">
        <v>133</v>
      </c>
      <c r="L79" s="18">
        <v>0.030445</v>
      </c>
      <c r="M79" s="18">
        <v>0.029883</v>
      </c>
      <c r="N79" s="18">
        <v>0.028381</v>
      </c>
      <c r="O79" s="18">
        <v>0.026801</v>
      </c>
      <c r="P79" s="18">
        <v>0.025754</v>
      </c>
      <c r="Q79" s="18">
        <v>0.025478</v>
      </c>
      <c r="R79" s="18">
        <v>0.027356</v>
      </c>
      <c r="S79" s="18">
        <v>0.027839</v>
      </c>
      <c r="T79" s="18">
        <v>0.026334</v>
      </c>
      <c r="U79" s="18">
        <v>0.026283</v>
      </c>
      <c r="V79" s="18">
        <v>0.029126</v>
      </c>
      <c r="W79" s="18">
        <v>0.030883</v>
      </c>
      <c r="X79" s="18">
        <v>0.030838</v>
      </c>
      <c r="Y79" s="18">
        <v>0.032691</v>
      </c>
      <c r="Z79" s="18">
        <v>0.033721</v>
      </c>
      <c r="AA79" s="18">
        <v>0.033606</v>
      </c>
      <c r="AB79" s="18">
        <v>0.03289</v>
      </c>
      <c r="AC79" s="18">
        <v>0.032964</v>
      </c>
      <c r="AD79" s="18">
        <v>0.034869</v>
      </c>
      <c r="AE79" s="18">
        <v>0.035449</v>
      </c>
      <c r="AF79" s="18">
        <v>0.036861</v>
      </c>
      <c r="AG79" s="18">
        <v>0.040209</v>
      </c>
      <c r="AH79" s="18">
        <v>0.042209</v>
      </c>
      <c r="AI79" s="18">
        <v>0.041879</v>
      </c>
      <c r="AJ79" s="18">
        <v>0.039429</v>
      </c>
      <c r="AK79" s="18">
        <v>0.037555</v>
      </c>
      <c r="AL79" s="19">
        <v>0.036979</v>
      </c>
      <c r="AM79" s="2">
        <v>0.0</v>
      </c>
      <c r="AN79" s="2">
        <v>0.0</v>
      </c>
      <c r="AO79" s="2">
        <v>0.0</v>
      </c>
      <c r="AP79" s="20">
        <v>0.0</v>
      </c>
      <c r="AQ79" s="20">
        <v>0.0</v>
      </c>
      <c r="AR79" s="20">
        <v>0.0</v>
      </c>
      <c r="AS79" s="20">
        <v>0.0</v>
      </c>
      <c r="AT79" s="2">
        <f t="shared" si="10"/>
        <v>0.03247081481</v>
      </c>
      <c r="AU79" s="12">
        <f t="shared" si="3"/>
        <v>0.03247081481</v>
      </c>
      <c r="AV79" s="14"/>
      <c r="AW79" s="15"/>
      <c r="AX79" s="15"/>
    </row>
    <row r="80" ht="15.75" customHeight="1">
      <c r="A80" s="7">
        <v>240117.0</v>
      </c>
      <c r="B80" s="7">
        <v>72.0</v>
      </c>
      <c r="C80" s="7">
        <v>4.0</v>
      </c>
      <c r="D80" s="8" t="s">
        <v>145</v>
      </c>
      <c r="E80" s="7">
        <v>7.0</v>
      </c>
      <c r="F80" s="8" t="s">
        <v>56</v>
      </c>
      <c r="G80" s="8" t="s">
        <v>49</v>
      </c>
      <c r="H80" s="8" t="s">
        <v>63</v>
      </c>
      <c r="I80" s="8" t="s">
        <v>51</v>
      </c>
      <c r="J80" s="8" t="s">
        <v>52</v>
      </c>
      <c r="K80" s="11" t="s">
        <v>133</v>
      </c>
      <c r="L80" s="18">
        <v>0.019234</v>
      </c>
      <c r="M80" s="18">
        <v>0.023639</v>
      </c>
      <c r="N80" s="18">
        <v>0.026903</v>
      </c>
      <c r="O80" s="18">
        <v>0.027555</v>
      </c>
      <c r="P80" s="18">
        <v>0.026472</v>
      </c>
      <c r="Q80" s="18">
        <v>0.024423</v>
      </c>
      <c r="R80" s="18">
        <v>0.025625</v>
      </c>
      <c r="S80" s="18">
        <v>0.029319</v>
      </c>
      <c r="T80" s="18">
        <v>0.028341</v>
      </c>
      <c r="U80" s="18">
        <v>0.025786</v>
      </c>
      <c r="V80" s="18">
        <v>0.026752</v>
      </c>
      <c r="W80" s="18">
        <v>0.028614</v>
      </c>
      <c r="X80" s="18">
        <v>0.028749</v>
      </c>
      <c r="Y80" s="18">
        <v>0.029137</v>
      </c>
      <c r="Z80" s="18">
        <v>0.030167</v>
      </c>
      <c r="AA80" s="18">
        <v>0.031877</v>
      </c>
      <c r="AB80" s="18">
        <v>0.034216</v>
      </c>
      <c r="AC80" s="18">
        <v>0.036049</v>
      </c>
      <c r="AD80" s="18">
        <v>0.03654</v>
      </c>
      <c r="AE80" s="18">
        <v>0.037015</v>
      </c>
      <c r="AF80" s="18">
        <v>0.039104</v>
      </c>
      <c r="AG80" s="18">
        <v>0.038352</v>
      </c>
      <c r="AH80" s="18">
        <v>0.036369</v>
      </c>
      <c r="AI80" s="18">
        <v>0.037049</v>
      </c>
      <c r="AJ80" s="18">
        <v>0.035422</v>
      </c>
      <c r="AK80" s="18">
        <v>0.029545</v>
      </c>
      <c r="AL80" s="18">
        <v>0.01533</v>
      </c>
      <c r="AM80" s="19">
        <v>1.85E-4</v>
      </c>
      <c r="AN80" s="18">
        <v>0.0</v>
      </c>
      <c r="AO80" s="2">
        <v>0.0</v>
      </c>
      <c r="AP80" s="20">
        <v>0.0</v>
      </c>
      <c r="AQ80" s="20">
        <v>0.0</v>
      </c>
      <c r="AR80" s="20">
        <v>0.0</v>
      </c>
      <c r="AS80" s="20">
        <v>0.0</v>
      </c>
      <c r="AT80" s="2">
        <f>AVERAGE(L80:AM80)</f>
        <v>0.02884889286</v>
      </c>
      <c r="AU80" s="12">
        <f t="shared" si="3"/>
        <v>0.02884889286</v>
      </c>
      <c r="AV80" s="14"/>
      <c r="AW80" s="15"/>
      <c r="AX80" s="15"/>
    </row>
    <row r="81" ht="15.75" customHeight="1">
      <c r="A81" s="7">
        <v>230907.0</v>
      </c>
      <c r="B81" s="7">
        <v>58.0</v>
      </c>
      <c r="C81" s="7">
        <v>1.0</v>
      </c>
      <c r="D81" s="8" t="s">
        <v>91</v>
      </c>
      <c r="E81" s="7">
        <v>7.0</v>
      </c>
      <c r="F81" s="8" t="s">
        <v>56</v>
      </c>
      <c r="G81" s="8" t="s">
        <v>49</v>
      </c>
      <c r="H81" s="8" t="s">
        <v>65</v>
      </c>
      <c r="I81" s="8" t="s">
        <v>146</v>
      </c>
      <c r="J81" s="8" t="s">
        <v>52</v>
      </c>
      <c r="K81" s="11" t="s">
        <v>53</v>
      </c>
      <c r="L81" s="18">
        <v>0.0</v>
      </c>
      <c r="M81" s="18">
        <v>0.0</v>
      </c>
      <c r="N81" s="18">
        <v>0.0</v>
      </c>
      <c r="O81" s="18">
        <v>0.0</v>
      </c>
      <c r="P81" s="18">
        <v>0.0</v>
      </c>
      <c r="Q81" s="18">
        <v>0.0</v>
      </c>
      <c r="R81" s="18">
        <v>0.0</v>
      </c>
      <c r="S81" s="18">
        <v>0.0</v>
      </c>
      <c r="T81" s="18">
        <v>0.0</v>
      </c>
      <c r="U81" s="18">
        <v>7.88E-5</v>
      </c>
      <c r="V81" s="18">
        <v>3.72E-4</v>
      </c>
      <c r="W81" s="18">
        <v>5.55E-4</v>
      </c>
      <c r="X81" s="18">
        <v>5.28E-4</v>
      </c>
      <c r="Y81" s="18">
        <v>5.13E-4</v>
      </c>
      <c r="Z81" s="18">
        <v>3.13E-4</v>
      </c>
      <c r="AA81" s="19">
        <v>6.3E-5</v>
      </c>
      <c r="AB81" s="18">
        <v>0.0</v>
      </c>
      <c r="AC81" s="18">
        <v>0.0</v>
      </c>
      <c r="AD81" s="18">
        <v>0.0</v>
      </c>
      <c r="AE81" s="18">
        <v>0.0</v>
      </c>
      <c r="AF81" s="18">
        <v>0.0</v>
      </c>
      <c r="AG81" s="18">
        <v>0.0</v>
      </c>
      <c r="AH81" s="18">
        <v>0.0</v>
      </c>
      <c r="AI81" s="18">
        <v>0.0</v>
      </c>
      <c r="AJ81" s="18">
        <v>0.0</v>
      </c>
      <c r="AK81" s="18">
        <v>0.0</v>
      </c>
      <c r="AL81" s="18">
        <v>0.0</v>
      </c>
      <c r="AM81" s="18">
        <v>0.0</v>
      </c>
      <c r="AN81" s="18">
        <v>0.0</v>
      </c>
      <c r="AO81" s="18">
        <v>0.0</v>
      </c>
      <c r="AP81" s="20">
        <v>0.0</v>
      </c>
      <c r="AQ81" s="20">
        <v>0.0</v>
      </c>
      <c r="AR81" s="20">
        <v>0.0</v>
      </c>
      <c r="AS81" s="20">
        <v>0.0</v>
      </c>
      <c r="AT81" s="2">
        <f>AVERAGE(L81:AA81)</f>
        <v>0.000151425</v>
      </c>
      <c r="AU81" s="12">
        <f t="shared" si="3"/>
        <v>0.0003461142857</v>
      </c>
      <c r="AV81" s="14"/>
      <c r="AW81" s="15"/>
      <c r="AX81" s="15"/>
    </row>
    <row r="82" ht="15.75" customHeight="1">
      <c r="A82" s="7">
        <v>230907.0</v>
      </c>
      <c r="B82" s="7">
        <v>58.0</v>
      </c>
      <c r="C82" s="7">
        <v>1.0</v>
      </c>
      <c r="D82" s="8" t="s">
        <v>92</v>
      </c>
      <c r="E82" s="7">
        <v>7.0</v>
      </c>
      <c r="F82" s="8" t="s">
        <v>56</v>
      </c>
      <c r="G82" s="8" t="s">
        <v>49</v>
      </c>
      <c r="H82" s="8" t="s">
        <v>63</v>
      </c>
      <c r="I82" s="8" t="s">
        <v>146</v>
      </c>
      <c r="J82" s="8" t="s">
        <v>52</v>
      </c>
      <c r="K82" s="11" t="s">
        <v>53</v>
      </c>
      <c r="L82" s="18">
        <v>0.001755</v>
      </c>
      <c r="M82" s="18">
        <v>8.29E-4</v>
      </c>
      <c r="N82" s="18">
        <v>3.58E-4</v>
      </c>
      <c r="O82" s="18">
        <v>6.28E-4</v>
      </c>
      <c r="P82" s="18">
        <v>7.74E-4</v>
      </c>
      <c r="Q82" s="18">
        <v>7.86E-4</v>
      </c>
      <c r="R82" s="18">
        <v>6.3E-4</v>
      </c>
      <c r="S82" s="18">
        <v>5.72E-4</v>
      </c>
      <c r="T82" s="18">
        <v>3.29E-4</v>
      </c>
      <c r="U82" s="18">
        <v>1.13E-4</v>
      </c>
      <c r="V82" s="18">
        <v>1.54E-4</v>
      </c>
      <c r="W82" s="18">
        <v>6.61E-5</v>
      </c>
      <c r="X82" s="18">
        <v>5.57E-5</v>
      </c>
      <c r="Y82" s="18">
        <v>9.01E-5</v>
      </c>
      <c r="Z82" s="18">
        <v>4.91E-5</v>
      </c>
      <c r="AA82" s="18">
        <v>1.59E-5</v>
      </c>
      <c r="AB82" s="18">
        <v>2.6E-6</v>
      </c>
      <c r="AC82" s="18">
        <v>0.0</v>
      </c>
      <c r="AD82" s="18">
        <v>1.5E-5</v>
      </c>
      <c r="AE82" s="18">
        <v>1.52E-5</v>
      </c>
      <c r="AF82" s="18">
        <v>1.05E-5</v>
      </c>
      <c r="AG82" s="18">
        <v>1.96E-4</v>
      </c>
      <c r="AH82" s="18">
        <v>3.77E-4</v>
      </c>
      <c r="AI82" s="18">
        <v>6.33E-4</v>
      </c>
      <c r="AJ82" s="19">
        <v>0.001489</v>
      </c>
      <c r="AK82" s="18">
        <v>0.0</v>
      </c>
      <c r="AL82" s="18">
        <v>0.0</v>
      </c>
      <c r="AM82" s="18">
        <v>0.0</v>
      </c>
      <c r="AN82" s="18">
        <v>0.0</v>
      </c>
      <c r="AO82" s="18">
        <v>0.0</v>
      </c>
      <c r="AP82" s="20">
        <v>0.0</v>
      </c>
      <c r="AQ82" s="20">
        <v>0.0</v>
      </c>
      <c r="AR82" s="20">
        <v>0.0</v>
      </c>
      <c r="AS82" s="20">
        <v>0.0</v>
      </c>
      <c r="AT82" s="2">
        <f>AVERAGE(L82:AJ82)</f>
        <v>0.000397728</v>
      </c>
      <c r="AU82" s="12">
        <f t="shared" si="3"/>
        <v>0.0004143</v>
      </c>
      <c r="AV82" s="14"/>
      <c r="AW82" s="15"/>
      <c r="AX82" s="15"/>
    </row>
    <row r="83" ht="15.75" customHeight="1">
      <c r="A83" s="7">
        <v>230907.0</v>
      </c>
      <c r="B83" s="7">
        <v>58.0</v>
      </c>
      <c r="C83" s="7">
        <v>1.0</v>
      </c>
      <c r="D83" s="8" t="s">
        <v>93</v>
      </c>
      <c r="E83" s="7">
        <v>7.0</v>
      </c>
      <c r="F83" s="8" t="s">
        <v>56</v>
      </c>
      <c r="G83" s="8" t="s">
        <v>49</v>
      </c>
      <c r="H83" s="8" t="s">
        <v>50</v>
      </c>
      <c r="I83" s="8" t="s">
        <v>146</v>
      </c>
      <c r="J83" s="8" t="s">
        <v>52</v>
      </c>
      <c r="K83" s="11" t="s">
        <v>53</v>
      </c>
      <c r="L83" s="18">
        <v>0.002853</v>
      </c>
      <c r="M83" s="18">
        <v>0.001826</v>
      </c>
      <c r="N83" s="18">
        <v>5.17E-4</v>
      </c>
      <c r="O83" s="18">
        <v>2.4E-4</v>
      </c>
      <c r="P83" s="18">
        <v>4.55E-4</v>
      </c>
      <c r="Q83" s="18">
        <v>4.01E-4</v>
      </c>
      <c r="R83" s="18">
        <v>4.16E-4</v>
      </c>
      <c r="S83" s="18">
        <v>3.06E-4</v>
      </c>
      <c r="T83" s="18">
        <v>6.91E-5</v>
      </c>
      <c r="U83" s="18">
        <v>0.0</v>
      </c>
      <c r="V83" s="18">
        <v>7.32E-5</v>
      </c>
      <c r="W83" s="19">
        <v>7.52E-5</v>
      </c>
      <c r="X83" s="18">
        <v>0.0</v>
      </c>
      <c r="Y83" s="18">
        <v>0.0</v>
      </c>
      <c r="Z83" s="18">
        <v>0.0</v>
      </c>
      <c r="AA83" s="18">
        <v>0.0</v>
      </c>
      <c r="AB83" s="18">
        <v>0.0</v>
      </c>
      <c r="AC83" s="18">
        <v>0.0</v>
      </c>
      <c r="AD83" s="18">
        <v>0.0</v>
      </c>
      <c r="AE83" s="18">
        <v>0.0</v>
      </c>
      <c r="AF83" s="18">
        <v>0.0</v>
      </c>
      <c r="AG83" s="18">
        <v>0.0</v>
      </c>
      <c r="AH83" s="18">
        <v>0.0</v>
      </c>
      <c r="AI83" s="18">
        <v>0.0</v>
      </c>
      <c r="AJ83" s="18">
        <v>0.0</v>
      </c>
      <c r="AK83" s="18">
        <v>0.0</v>
      </c>
      <c r="AL83" s="18">
        <v>0.0</v>
      </c>
      <c r="AM83" s="18">
        <v>0.0</v>
      </c>
      <c r="AN83" s="18">
        <v>0.0</v>
      </c>
      <c r="AO83" s="18">
        <v>0.0</v>
      </c>
      <c r="AP83" s="20">
        <v>0.0</v>
      </c>
      <c r="AQ83" s="20">
        <v>0.0</v>
      </c>
      <c r="AR83" s="20">
        <v>0.0</v>
      </c>
      <c r="AS83" s="20">
        <v>0.0</v>
      </c>
      <c r="AT83" s="2">
        <f>AVERAGE(L83:W83)</f>
        <v>0.000602625</v>
      </c>
      <c r="AU83" s="12">
        <f t="shared" si="3"/>
        <v>0.0006574090909</v>
      </c>
      <c r="AV83" s="14"/>
      <c r="AW83" s="15"/>
      <c r="AX83" s="15"/>
    </row>
    <row r="84" ht="15.75" customHeight="1">
      <c r="A84" s="7">
        <v>230907.0</v>
      </c>
      <c r="B84" s="7">
        <v>58.0</v>
      </c>
      <c r="C84" s="7">
        <v>1.0</v>
      </c>
      <c r="D84" s="8" t="s">
        <v>94</v>
      </c>
      <c r="E84" s="7">
        <v>7.0</v>
      </c>
      <c r="F84" s="8" t="s">
        <v>56</v>
      </c>
      <c r="G84" s="8" t="s">
        <v>49</v>
      </c>
      <c r="H84" s="8" t="s">
        <v>61</v>
      </c>
      <c r="I84" s="8" t="s">
        <v>146</v>
      </c>
      <c r="J84" s="8" t="s">
        <v>52</v>
      </c>
      <c r="K84" s="11" t="s">
        <v>53</v>
      </c>
      <c r="L84" s="18">
        <v>0.00162</v>
      </c>
      <c r="M84" s="18">
        <v>0.001606</v>
      </c>
      <c r="N84" s="18">
        <v>0.001516</v>
      </c>
      <c r="O84" s="18">
        <v>0.001126</v>
      </c>
      <c r="P84" s="18">
        <v>6.9E-4</v>
      </c>
      <c r="Q84" s="18">
        <v>3.55E-4</v>
      </c>
      <c r="R84" s="18">
        <v>2.63E-4</v>
      </c>
      <c r="S84" s="18">
        <v>4.33E-4</v>
      </c>
      <c r="T84" s="18">
        <v>4.88E-4</v>
      </c>
      <c r="U84" s="18">
        <v>4.92E-4</v>
      </c>
      <c r="V84" s="18">
        <v>3.5E-4</v>
      </c>
      <c r="W84" s="18">
        <v>2.57E-4</v>
      </c>
      <c r="X84" s="18">
        <v>2.45E-4</v>
      </c>
      <c r="Y84" s="18">
        <v>1.1E-4</v>
      </c>
      <c r="Z84" s="18">
        <v>0.0</v>
      </c>
      <c r="AA84" s="18">
        <v>0.0</v>
      </c>
      <c r="AB84" s="18">
        <v>0.0</v>
      </c>
      <c r="AC84" s="18">
        <v>3.09E-5</v>
      </c>
      <c r="AD84" s="18">
        <v>5.0E-5</v>
      </c>
      <c r="AE84" s="18">
        <v>2.42E-5</v>
      </c>
      <c r="AF84" s="18">
        <v>1.59E-5</v>
      </c>
      <c r="AG84" s="19">
        <v>1.29E-5</v>
      </c>
      <c r="AH84" s="18">
        <v>0.0</v>
      </c>
      <c r="AI84" s="18">
        <v>0.0</v>
      </c>
      <c r="AJ84" s="18">
        <v>0.0</v>
      </c>
      <c r="AK84" s="18">
        <v>0.0</v>
      </c>
      <c r="AL84" s="18">
        <v>0.0</v>
      </c>
      <c r="AM84" s="18">
        <v>0.0</v>
      </c>
      <c r="AN84" s="18">
        <v>0.0</v>
      </c>
      <c r="AO84" s="18">
        <v>0.0</v>
      </c>
      <c r="AP84" s="20">
        <v>0.0</v>
      </c>
      <c r="AQ84" s="20">
        <v>0.0</v>
      </c>
      <c r="AR84" s="20">
        <v>0.0</v>
      </c>
      <c r="AS84" s="20">
        <v>0.0</v>
      </c>
      <c r="AT84" s="2">
        <f>AVERAGE(L84:AG84)</f>
        <v>0.0004402227273</v>
      </c>
      <c r="AU84" s="12">
        <f t="shared" si="3"/>
        <v>0.0005097315789</v>
      </c>
      <c r="AV84" s="14"/>
      <c r="AW84" s="15"/>
      <c r="AX84" s="15"/>
    </row>
    <row r="85" ht="15.75" customHeight="1">
      <c r="A85" s="7">
        <v>230908.0</v>
      </c>
      <c r="B85" s="7">
        <v>58.0</v>
      </c>
      <c r="C85" s="7">
        <v>1.0</v>
      </c>
      <c r="D85" s="8" t="s">
        <v>95</v>
      </c>
      <c r="E85" s="7">
        <v>7.0</v>
      </c>
      <c r="F85" s="8" t="s">
        <v>56</v>
      </c>
      <c r="G85" s="8" t="s">
        <v>67</v>
      </c>
      <c r="H85" s="8" t="s">
        <v>61</v>
      </c>
      <c r="I85" s="8" t="s">
        <v>146</v>
      </c>
      <c r="J85" s="8" t="s">
        <v>52</v>
      </c>
      <c r="K85" s="11" t="s">
        <v>53</v>
      </c>
      <c r="L85" s="18">
        <v>0.0</v>
      </c>
      <c r="M85" s="18">
        <v>0.0</v>
      </c>
      <c r="N85" s="18">
        <v>0.0</v>
      </c>
      <c r="O85" s="18">
        <v>0.0</v>
      </c>
      <c r="P85" s="18">
        <v>0.0</v>
      </c>
      <c r="Q85" s="18">
        <v>0.0</v>
      </c>
      <c r="R85" s="18">
        <v>0.0</v>
      </c>
      <c r="S85" s="18">
        <v>0.0</v>
      </c>
      <c r="T85" s="18">
        <v>0.0</v>
      </c>
      <c r="U85" s="18">
        <v>0.0</v>
      </c>
      <c r="V85" s="18">
        <v>0.0</v>
      </c>
      <c r="W85" s="18">
        <v>5.8E-6</v>
      </c>
      <c r="X85" s="18">
        <v>8.4E-6</v>
      </c>
      <c r="Y85" s="18">
        <v>2.7E-6</v>
      </c>
      <c r="Z85" s="18">
        <v>0.0</v>
      </c>
      <c r="AA85" s="18">
        <v>0.0</v>
      </c>
      <c r="AB85" s="18">
        <v>0.0</v>
      </c>
      <c r="AC85" s="18">
        <v>0.0</v>
      </c>
      <c r="AD85" s="18">
        <v>0.0</v>
      </c>
      <c r="AE85" s="18">
        <v>0.0</v>
      </c>
      <c r="AF85" s="18">
        <v>0.0</v>
      </c>
      <c r="AG85" s="18">
        <v>0.0</v>
      </c>
      <c r="AH85" s="18">
        <v>0.0</v>
      </c>
      <c r="AI85" s="18">
        <v>0.0</v>
      </c>
      <c r="AJ85" s="18">
        <v>0.0</v>
      </c>
      <c r="AK85" s="18">
        <v>0.0</v>
      </c>
      <c r="AL85" s="18">
        <v>0.0</v>
      </c>
      <c r="AM85" s="18">
        <v>0.0</v>
      </c>
      <c r="AN85" s="18">
        <v>0.0</v>
      </c>
      <c r="AO85" s="18">
        <v>0.0</v>
      </c>
      <c r="AP85" s="20">
        <v>0.0</v>
      </c>
      <c r="AQ85" s="20">
        <v>0.0</v>
      </c>
      <c r="AR85" s="20">
        <v>0.0</v>
      </c>
      <c r="AS85" s="20">
        <v>0.0</v>
      </c>
      <c r="AT85" s="2">
        <f>AVERAGE(L85:Y85)</f>
        <v>0.000001207142857</v>
      </c>
      <c r="AU85" s="12">
        <f t="shared" si="3"/>
        <v>0.000005633333333</v>
      </c>
      <c r="AV85" s="14"/>
      <c r="AW85" s="15"/>
      <c r="AX85" s="15"/>
    </row>
    <row r="86" ht="15.75" customHeight="1">
      <c r="A86" s="7">
        <v>230908.0</v>
      </c>
      <c r="B86" s="7">
        <v>58.0</v>
      </c>
      <c r="C86" s="7">
        <v>1.0</v>
      </c>
      <c r="D86" s="8" t="s">
        <v>96</v>
      </c>
      <c r="E86" s="7">
        <v>7.0</v>
      </c>
      <c r="F86" s="8" t="s">
        <v>56</v>
      </c>
      <c r="G86" s="8" t="s">
        <v>67</v>
      </c>
      <c r="H86" s="8" t="s">
        <v>50</v>
      </c>
      <c r="I86" s="8" t="s">
        <v>146</v>
      </c>
      <c r="J86" s="8" t="s">
        <v>52</v>
      </c>
      <c r="K86" s="11" t="s">
        <v>53</v>
      </c>
      <c r="L86" s="18">
        <v>0.0</v>
      </c>
      <c r="M86" s="18">
        <v>0.0</v>
      </c>
      <c r="N86" s="18">
        <v>4.76E-4</v>
      </c>
      <c r="O86" s="18">
        <v>0.00158</v>
      </c>
      <c r="P86" s="18">
        <v>0.001714</v>
      </c>
      <c r="Q86" s="18">
        <v>6.65E-4</v>
      </c>
      <c r="R86" s="18">
        <v>1.29E-4</v>
      </c>
      <c r="S86" s="18">
        <v>0.0</v>
      </c>
      <c r="T86" s="18">
        <v>0.0</v>
      </c>
      <c r="U86" s="18">
        <v>9.04E-5</v>
      </c>
      <c r="V86" s="18">
        <v>1.77E-4</v>
      </c>
      <c r="W86" s="18">
        <v>2.09E-4</v>
      </c>
      <c r="X86" s="18">
        <v>1.92E-4</v>
      </c>
      <c r="Y86" s="18">
        <v>8.97E-5</v>
      </c>
      <c r="Z86" s="18">
        <v>4.33E-4</v>
      </c>
      <c r="AA86" s="18">
        <v>6.08E-4</v>
      </c>
      <c r="AB86" s="18">
        <v>2.22E-4</v>
      </c>
      <c r="AC86" s="18">
        <v>0.0</v>
      </c>
      <c r="AD86" s="18">
        <v>0.0</v>
      </c>
      <c r="AE86" s="18">
        <v>0.0</v>
      </c>
      <c r="AF86" s="18">
        <v>3.52E-5</v>
      </c>
      <c r="AG86" s="18">
        <v>1.57E-4</v>
      </c>
      <c r="AH86" s="19">
        <v>1.24E-4</v>
      </c>
      <c r="AI86" s="18">
        <v>0.0</v>
      </c>
      <c r="AJ86" s="18">
        <v>0.0</v>
      </c>
      <c r="AK86" s="18">
        <v>0.0</v>
      </c>
      <c r="AL86" s="18">
        <v>0.0</v>
      </c>
      <c r="AM86" s="18">
        <v>0.0</v>
      </c>
      <c r="AN86" s="18">
        <v>0.0</v>
      </c>
      <c r="AO86" s="18">
        <v>0.0</v>
      </c>
      <c r="AP86" s="20">
        <v>0.0</v>
      </c>
      <c r="AQ86" s="20">
        <v>0.0</v>
      </c>
      <c r="AR86" s="20">
        <v>0.0</v>
      </c>
      <c r="AS86" s="20">
        <v>0.0</v>
      </c>
      <c r="AT86" s="2">
        <f>AVERAGE(L86:AH86)</f>
        <v>0.0003000565217</v>
      </c>
      <c r="AU86" s="12">
        <f t="shared" si="3"/>
        <v>0.00043133125</v>
      </c>
      <c r="AV86" s="14"/>
      <c r="AW86" s="15"/>
      <c r="AX86" s="15"/>
    </row>
    <row r="87" ht="15.75" customHeight="1">
      <c r="A87" s="7">
        <v>230908.0</v>
      </c>
      <c r="B87" s="7">
        <v>58.0</v>
      </c>
      <c r="C87" s="7">
        <v>1.0</v>
      </c>
      <c r="D87" s="8" t="s">
        <v>97</v>
      </c>
      <c r="E87" s="7">
        <v>7.0</v>
      </c>
      <c r="F87" s="8" t="s">
        <v>56</v>
      </c>
      <c r="G87" s="8" t="s">
        <v>67</v>
      </c>
      <c r="H87" s="8" t="s">
        <v>63</v>
      </c>
      <c r="I87" s="8" t="s">
        <v>146</v>
      </c>
      <c r="J87" s="8" t="s">
        <v>52</v>
      </c>
      <c r="K87" s="11" t="s">
        <v>53</v>
      </c>
      <c r="L87" s="18">
        <v>0.0</v>
      </c>
      <c r="M87" s="18">
        <v>0.0</v>
      </c>
      <c r="N87" s="18">
        <v>0.0</v>
      </c>
      <c r="O87" s="18">
        <v>0.0</v>
      </c>
      <c r="P87" s="18">
        <v>0.0</v>
      </c>
      <c r="Q87" s="18">
        <v>0.0</v>
      </c>
      <c r="R87" s="18">
        <v>0.0</v>
      </c>
      <c r="S87" s="18">
        <v>0.0</v>
      </c>
      <c r="T87" s="18">
        <v>0.0</v>
      </c>
      <c r="U87" s="18">
        <v>0.0</v>
      </c>
      <c r="V87" s="18">
        <v>0.0</v>
      </c>
      <c r="W87" s="18">
        <v>0.0</v>
      </c>
      <c r="X87" s="18">
        <v>2.09E-4</v>
      </c>
      <c r="Y87" s="18">
        <v>5.47E-4</v>
      </c>
      <c r="Z87" s="18">
        <v>6.87E-4</v>
      </c>
      <c r="AA87" s="18">
        <v>7.12E-4</v>
      </c>
      <c r="AB87" s="18">
        <v>5.83E-4</v>
      </c>
      <c r="AC87" s="19">
        <v>2.21E-4</v>
      </c>
      <c r="AD87" s="18">
        <v>0.0</v>
      </c>
      <c r="AE87" s="18">
        <v>0.0</v>
      </c>
      <c r="AF87" s="18">
        <v>0.0</v>
      </c>
      <c r="AG87" s="18">
        <v>0.0</v>
      </c>
      <c r="AH87" s="18">
        <v>0.0</v>
      </c>
      <c r="AI87" s="18">
        <v>0.0</v>
      </c>
      <c r="AJ87" s="18">
        <v>0.0</v>
      </c>
      <c r="AK87" s="18">
        <v>0.0</v>
      </c>
      <c r="AL87" s="2">
        <v>0.0</v>
      </c>
      <c r="AM87" s="2">
        <v>0.0</v>
      </c>
      <c r="AN87" s="2">
        <v>0.0</v>
      </c>
      <c r="AO87" s="2">
        <v>0.0</v>
      </c>
      <c r="AP87" s="20">
        <v>0.0</v>
      </c>
      <c r="AQ87" s="20">
        <v>0.0</v>
      </c>
      <c r="AR87" s="20">
        <v>0.0</v>
      </c>
      <c r="AS87" s="20">
        <v>0.0</v>
      </c>
      <c r="AT87" s="2">
        <f>AVERAGE(L87:AC87)</f>
        <v>0.0001643888889</v>
      </c>
      <c r="AU87" s="12">
        <f t="shared" si="3"/>
        <v>0.0004931666667</v>
      </c>
      <c r="AV87" s="14"/>
      <c r="AW87" s="15"/>
      <c r="AX87" s="15"/>
    </row>
    <row r="88" ht="15.75" customHeight="1">
      <c r="A88" s="7">
        <v>231101.0</v>
      </c>
      <c r="B88" s="7">
        <v>64.0</v>
      </c>
      <c r="C88" s="7">
        <v>2.0</v>
      </c>
      <c r="D88" s="8" t="s">
        <v>98</v>
      </c>
      <c r="E88" s="7">
        <v>7.0</v>
      </c>
      <c r="F88" s="8" t="s">
        <v>56</v>
      </c>
      <c r="G88" s="8" t="s">
        <v>49</v>
      </c>
      <c r="H88" s="8" t="s">
        <v>65</v>
      </c>
      <c r="I88" s="8" t="s">
        <v>146</v>
      </c>
      <c r="J88" s="8" t="s">
        <v>52</v>
      </c>
      <c r="K88" s="11" t="s">
        <v>57</v>
      </c>
      <c r="L88" s="18">
        <v>0.002483</v>
      </c>
      <c r="M88" s="18">
        <v>0.001747</v>
      </c>
      <c r="N88" s="18">
        <v>7.97E-4</v>
      </c>
      <c r="O88" s="18">
        <v>1.56E-4</v>
      </c>
      <c r="P88" s="18">
        <v>1.83E-4</v>
      </c>
      <c r="Q88" s="18">
        <v>6.97E-4</v>
      </c>
      <c r="R88" s="18">
        <v>7.64E-4</v>
      </c>
      <c r="S88" s="18">
        <v>4.34E-4</v>
      </c>
      <c r="T88" s="18">
        <v>7.1E-4</v>
      </c>
      <c r="U88" s="18">
        <v>5.03E-4</v>
      </c>
      <c r="V88" s="18">
        <v>1.9E-5</v>
      </c>
      <c r="W88" s="18">
        <v>0.0</v>
      </c>
      <c r="X88" s="18">
        <v>0.0</v>
      </c>
      <c r="Y88" s="18">
        <v>0.0</v>
      </c>
      <c r="Z88" s="18">
        <v>3.88E-5</v>
      </c>
      <c r="AA88" s="18">
        <v>3.98E-5</v>
      </c>
      <c r="AB88" s="18">
        <v>2.4E-6</v>
      </c>
      <c r="AC88" s="18">
        <v>0.0</v>
      </c>
      <c r="AD88" s="18">
        <v>0.0</v>
      </c>
      <c r="AE88" s="18">
        <v>0.0</v>
      </c>
      <c r="AF88" s="18">
        <v>0.0</v>
      </c>
      <c r="AG88" s="18">
        <v>6.7E-6</v>
      </c>
      <c r="AH88" s="18">
        <v>1.1E-4</v>
      </c>
      <c r="AI88" s="18">
        <v>1.18E-4</v>
      </c>
      <c r="AJ88" s="18">
        <v>6.45E-5</v>
      </c>
      <c r="AK88" s="18">
        <v>6.79E-5</v>
      </c>
      <c r="AL88" s="18">
        <v>0.002462</v>
      </c>
      <c r="AM88" s="18">
        <v>0.009351</v>
      </c>
      <c r="AN88" s="18">
        <v>0.015791</v>
      </c>
      <c r="AO88" s="19">
        <v>0.011698</v>
      </c>
      <c r="AP88" s="20">
        <v>0.0</v>
      </c>
      <c r="AQ88" s="20">
        <v>0.0</v>
      </c>
      <c r="AR88" s="20">
        <v>0.0</v>
      </c>
      <c r="AS88" s="20">
        <v>0.0</v>
      </c>
      <c r="AT88" s="2">
        <f>AVERAGE(L88:AO88)</f>
        <v>0.001608103333</v>
      </c>
      <c r="AU88" s="12">
        <f t="shared" si="3"/>
        <v>0.002097526087</v>
      </c>
      <c r="AV88" s="14"/>
      <c r="AW88" s="15"/>
      <c r="AX88" s="15"/>
    </row>
    <row r="89" ht="15.75" customHeight="1">
      <c r="A89" s="7">
        <v>231101.0</v>
      </c>
      <c r="B89" s="7">
        <v>64.0</v>
      </c>
      <c r="C89" s="7">
        <v>2.0</v>
      </c>
      <c r="D89" s="8" t="s">
        <v>99</v>
      </c>
      <c r="E89" s="7">
        <v>7.0</v>
      </c>
      <c r="F89" s="8" t="s">
        <v>56</v>
      </c>
      <c r="G89" s="8" t="s">
        <v>49</v>
      </c>
      <c r="H89" s="8" t="s">
        <v>61</v>
      </c>
      <c r="I89" s="8" t="s">
        <v>146</v>
      </c>
      <c r="J89" s="8" t="s">
        <v>52</v>
      </c>
      <c r="K89" s="11" t="s">
        <v>57</v>
      </c>
      <c r="L89" s="18">
        <v>1.59E-4</v>
      </c>
      <c r="M89" s="18">
        <v>2.39E-4</v>
      </c>
      <c r="N89" s="18">
        <v>2.08E-4</v>
      </c>
      <c r="O89" s="18">
        <v>2.53E-4</v>
      </c>
      <c r="P89" s="18">
        <v>2.76E-4</v>
      </c>
      <c r="Q89" s="18">
        <v>1.7E-4</v>
      </c>
      <c r="R89" s="18">
        <v>1.35E-4</v>
      </c>
      <c r="S89" s="18">
        <v>1.35E-4</v>
      </c>
      <c r="T89" s="18">
        <v>1.88E-4</v>
      </c>
      <c r="U89" s="18">
        <v>1.27E-4</v>
      </c>
      <c r="V89" s="19">
        <v>5.1E-6</v>
      </c>
      <c r="W89" s="18">
        <v>0.0</v>
      </c>
      <c r="X89" s="18">
        <v>0.0</v>
      </c>
      <c r="Y89" s="18">
        <v>0.0</v>
      </c>
      <c r="Z89" s="18">
        <v>0.0</v>
      </c>
      <c r="AA89" s="18">
        <v>0.0</v>
      </c>
      <c r="AB89" s="18">
        <v>0.0</v>
      </c>
      <c r="AC89" s="18">
        <v>0.0</v>
      </c>
      <c r="AD89" s="18">
        <v>0.0</v>
      </c>
      <c r="AE89" s="18">
        <v>0.0</v>
      </c>
      <c r="AF89" s="18">
        <v>0.0</v>
      </c>
      <c r="AG89" s="18">
        <v>0.0</v>
      </c>
      <c r="AH89" s="18">
        <v>0.0</v>
      </c>
      <c r="AI89" s="18">
        <v>0.0</v>
      </c>
      <c r="AJ89" s="18">
        <v>0.0</v>
      </c>
      <c r="AK89" s="18">
        <v>0.0</v>
      </c>
      <c r="AL89" s="18">
        <v>0.0</v>
      </c>
      <c r="AM89" s="18">
        <v>0.0</v>
      </c>
      <c r="AN89" s="2">
        <v>0.0</v>
      </c>
      <c r="AO89" s="2">
        <v>0.0</v>
      </c>
      <c r="AP89" s="20">
        <v>0.0</v>
      </c>
      <c r="AQ89" s="20">
        <v>0.0</v>
      </c>
      <c r="AR89" s="20">
        <v>0.0</v>
      </c>
      <c r="AS89" s="20">
        <v>0.0</v>
      </c>
      <c r="AT89" s="2">
        <f>AVERAGE(L89:V89)</f>
        <v>0.0001722818182</v>
      </c>
      <c r="AU89" s="12">
        <f t="shared" si="3"/>
        <v>0.0001722818182</v>
      </c>
      <c r="AV89" s="14"/>
      <c r="AW89" s="15"/>
      <c r="AX89" s="15"/>
    </row>
    <row r="90" ht="15.75" customHeight="1">
      <c r="A90" s="7">
        <v>231101.0</v>
      </c>
      <c r="B90" s="7">
        <v>64.0</v>
      </c>
      <c r="C90" s="7">
        <v>2.0</v>
      </c>
      <c r="D90" s="8" t="s">
        <v>100</v>
      </c>
      <c r="E90" s="7">
        <v>7.0</v>
      </c>
      <c r="F90" s="8" t="s">
        <v>56</v>
      </c>
      <c r="G90" s="8" t="s">
        <v>67</v>
      </c>
      <c r="H90" s="8" t="s">
        <v>63</v>
      </c>
      <c r="I90" s="8" t="s">
        <v>146</v>
      </c>
      <c r="J90" s="8" t="s">
        <v>52</v>
      </c>
      <c r="K90" s="11" t="s">
        <v>57</v>
      </c>
      <c r="L90" s="18">
        <v>0.0</v>
      </c>
      <c r="M90" s="18">
        <v>0.0</v>
      </c>
      <c r="N90" s="18">
        <v>0.0</v>
      </c>
      <c r="O90" s="18">
        <v>1.91E-4</v>
      </c>
      <c r="P90" s="18">
        <v>0.001055</v>
      </c>
      <c r="Q90" s="18">
        <v>0.00176</v>
      </c>
      <c r="R90" s="18">
        <v>0.001996</v>
      </c>
      <c r="S90" s="18">
        <v>0.002103</v>
      </c>
      <c r="T90" s="18">
        <v>0.00173</v>
      </c>
      <c r="U90" s="18">
        <v>0.001285</v>
      </c>
      <c r="V90" s="18">
        <v>5.48E-4</v>
      </c>
      <c r="W90" s="18">
        <v>0.0</v>
      </c>
      <c r="X90" s="18">
        <v>0.0</v>
      </c>
      <c r="Y90" s="18">
        <v>0.0</v>
      </c>
      <c r="Z90" s="18">
        <v>0.0</v>
      </c>
      <c r="AA90" s="18">
        <v>0.0</v>
      </c>
      <c r="AB90" s="18">
        <v>0.0</v>
      </c>
      <c r="AC90" s="18">
        <v>0.0</v>
      </c>
      <c r="AD90" s="18">
        <v>0.0</v>
      </c>
      <c r="AE90" s="18">
        <v>0.0</v>
      </c>
      <c r="AF90" s="18">
        <v>9.15E-5</v>
      </c>
      <c r="AG90" s="18">
        <v>9.54E-5</v>
      </c>
      <c r="AH90" s="18">
        <v>4.3E-6</v>
      </c>
      <c r="AI90" s="18">
        <v>0.0</v>
      </c>
      <c r="AJ90" s="18">
        <v>1.37E-5</v>
      </c>
      <c r="AK90" s="19">
        <v>1.7E-5</v>
      </c>
      <c r="AL90" s="18">
        <v>0.0</v>
      </c>
      <c r="AM90" s="18">
        <v>0.0</v>
      </c>
      <c r="AN90" s="18">
        <v>0.0</v>
      </c>
      <c r="AO90" s="2">
        <v>0.0</v>
      </c>
      <c r="AP90" s="20">
        <v>0.0</v>
      </c>
      <c r="AQ90" s="20">
        <v>0.0</v>
      </c>
      <c r="AR90" s="20">
        <v>0.0</v>
      </c>
      <c r="AS90" s="20">
        <v>0.0</v>
      </c>
      <c r="AT90" s="2">
        <f>AVERAGE(L90:AK90)</f>
        <v>0.0004188423077</v>
      </c>
      <c r="AU90" s="12">
        <f t="shared" si="3"/>
        <v>0.0008376846154</v>
      </c>
      <c r="AV90" s="14"/>
      <c r="AW90" s="15"/>
      <c r="AX90" s="15"/>
    </row>
    <row r="91" ht="15.75" customHeight="1">
      <c r="A91" s="7">
        <v>231101.0</v>
      </c>
      <c r="B91" s="7">
        <v>64.0</v>
      </c>
      <c r="C91" s="7">
        <v>2.0</v>
      </c>
      <c r="D91" s="8" t="s">
        <v>101</v>
      </c>
      <c r="E91" s="7">
        <v>7.0</v>
      </c>
      <c r="F91" s="8" t="s">
        <v>56</v>
      </c>
      <c r="G91" s="8" t="s">
        <v>67</v>
      </c>
      <c r="H91" s="8" t="s">
        <v>61</v>
      </c>
      <c r="I91" s="8" t="s">
        <v>146</v>
      </c>
      <c r="J91" s="8" t="s">
        <v>52</v>
      </c>
      <c r="K91" s="11" t="s">
        <v>57</v>
      </c>
      <c r="L91" s="18">
        <v>0.0</v>
      </c>
      <c r="M91" s="18">
        <v>4.09E-4</v>
      </c>
      <c r="N91" s="18">
        <v>6.04E-4</v>
      </c>
      <c r="O91" s="18">
        <v>3.0E-4</v>
      </c>
      <c r="P91" s="18">
        <v>8.07E-5</v>
      </c>
      <c r="Q91" s="18">
        <v>8.12E-5</v>
      </c>
      <c r="R91" s="18">
        <v>0.0</v>
      </c>
      <c r="S91" s="18">
        <v>0.0</v>
      </c>
      <c r="T91" s="18">
        <v>0.0</v>
      </c>
      <c r="U91" s="18">
        <v>0.0</v>
      </c>
      <c r="V91" s="18">
        <v>0.0</v>
      </c>
      <c r="W91" s="18">
        <v>0.0</v>
      </c>
      <c r="X91" s="18">
        <v>3.96E-5</v>
      </c>
      <c r="Y91" s="18">
        <v>4.0E-5</v>
      </c>
      <c r="Z91" s="18">
        <v>0.0</v>
      </c>
      <c r="AA91" s="18">
        <v>6.92E-5</v>
      </c>
      <c r="AB91" s="18">
        <v>1.01E-4</v>
      </c>
      <c r="AC91" s="18">
        <v>3.31E-5</v>
      </c>
      <c r="AD91" s="18">
        <v>3.44E-5</v>
      </c>
      <c r="AE91" s="18">
        <v>3.45E-5</v>
      </c>
      <c r="AF91" s="18">
        <v>0.0</v>
      </c>
      <c r="AG91" s="18">
        <v>0.0</v>
      </c>
      <c r="AH91" s="18">
        <v>0.0</v>
      </c>
      <c r="AI91" s="18">
        <v>0.0</v>
      </c>
      <c r="AJ91" s="18">
        <v>0.0</v>
      </c>
      <c r="AK91" s="18">
        <v>0.0</v>
      </c>
      <c r="AL91" s="18">
        <v>6.17E-5</v>
      </c>
      <c r="AM91" s="19">
        <v>1.0E-4</v>
      </c>
      <c r="AN91" s="18">
        <v>0.0</v>
      </c>
      <c r="AO91" s="2">
        <v>0.0</v>
      </c>
      <c r="AP91" s="20">
        <v>0.0</v>
      </c>
      <c r="AQ91" s="20">
        <v>0.0</v>
      </c>
      <c r="AR91" s="20">
        <v>0.0</v>
      </c>
      <c r="AS91" s="20">
        <v>0.0</v>
      </c>
      <c r="AT91" s="2">
        <f>AVERAGE(L91:AJ91)</f>
        <v>0.000073068</v>
      </c>
      <c r="AU91" s="12">
        <f t="shared" si="3"/>
        <v>0.0001420285714</v>
      </c>
      <c r="AV91" s="14"/>
      <c r="AW91" s="15"/>
      <c r="AX91" s="15"/>
    </row>
    <row r="92" ht="15.75" customHeight="1">
      <c r="A92" s="7">
        <v>231116.0</v>
      </c>
      <c r="B92" s="7">
        <v>64.0</v>
      </c>
      <c r="C92" s="7">
        <v>2.0</v>
      </c>
      <c r="D92" s="8" t="s">
        <v>102</v>
      </c>
      <c r="E92" s="7">
        <v>7.0</v>
      </c>
      <c r="F92" s="8" t="s">
        <v>48</v>
      </c>
      <c r="G92" s="8" t="s">
        <v>89</v>
      </c>
      <c r="H92" s="8" t="s">
        <v>65</v>
      </c>
      <c r="I92" s="8" t="s">
        <v>146</v>
      </c>
      <c r="J92" s="8" t="s">
        <v>52</v>
      </c>
      <c r="K92" s="11" t="s">
        <v>59</v>
      </c>
      <c r="L92" s="18">
        <v>0.00239</v>
      </c>
      <c r="M92" s="18">
        <v>0.002172</v>
      </c>
      <c r="N92" s="18">
        <v>0.001024</v>
      </c>
      <c r="O92" s="18">
        <v>2.17E-4</v>
      </c>
      <c r="P92" s="18">
        <v>4.81E-4</v>
      </c>
      <c r="Q92" s="18">
        <v>6.83E-4</v>
      </c>
      <c r="R92" s="18">
        <v>0.001036</v>
      </c>
      <c r="S92" s="18">
        <v>8.73E-4</v>
      </c>
      <c r="T92" s="18">
        <v>1.88E-4</v>
      </c>
      <c r="U92" s="18">
        <v>2.4E-4</v>
      </c>
      <c r="V92" s="18">
        <v>2.23E-4</v>
      </c>
      <c r="W92" s="18">
        <v>1.07E-4</v>
      </c>
      <c r="X92" s="18">
        <v>1.43E-4</v>
      </c>
      <c r="Y92" s="18">
        <v>1.25E-4</v>
      </c>
      <c r="Z92" s="18">
        <v>2.89E-5</v>
      </c>
      <c r="AA92" s="18">
        <v>1.65E-5</v>
      </c>
      <c r="AB92" s="18">
        <v>1.61E-5</v>
      </c>
      <c r="AC92" s="18">
        <v>1.15E-4</v>
      </c>
      <c r="AD92" s="18">
        <v>1.12E-4</v>
      </c>
      <c r="AE92" s="18">
        <v>6.5E-6</v>
      </c>
      <c r="AF92" s="18">
        <v>6.4E-6</v>
      </c>
      <c r="AG92" s="18">
        <v>0.0</v>
      </c>
      <c r="AH92" s="18">
        <v>1.24E-5</v>
      </c>
      <c r="AI92" s="18">
        <v>3.42E-4</v>
      </c>
      <c r="AJ92" s="18">
        <v>0.001141</v>
      </c>
      <c r="AK92" s="18">
        <v>0.001566</v>
      </c>
      <c r="AL92" s="18">
        <v>0.001395</v>
      </c>
      <c r="AM92" s="18">
        <v>0.001459</v>
      </c>
      <c r="AN92" s="18">
        <v>0.001713</v>
      </c>
      <c r="AO92" s="19">
        <v>0.00192</v>
      </c>
      <c r="AP92" s="20">
        <v>0.0</v>
      </c>
      <c r="AQ92" s="20">
        <v>0.0</v>
      </c>
      <c r="AR92" s="20">
        <v>0.0</v>
      </c>
      <c r="AS92" s="20">
        <v>0.0</v>
      </c>
      <c r="AT92" s="2">
        <f>AVERAGE(L92:AO92)</f>
        <v>0.0006583933333</v>
      </c>
      <c r="AU92" s="12">
        <f t="shared" si="3"/>
        <v>0.0006810965517</v>
      </c>
      <c r="AV92" s="14"/>
      <c r="AW92" s="15"/>
      <c r="AX92" s="15"/>
    </row>
    <row r="93" ht="15.75" customHeight="1">
      <c r="A93" s="7">
        <v>231116.0</v>
      </c>
      <c r="B93" s="7">
        <v>64.0</v>
      </c>
      <c r="C93" s="7">
        <v>2.0</v>
      </c>
      <c r="D93" s="8" t="s">
        <v>103</v>
      </c>
      <c r="E93" s="7">
        <v>7.0</v>
      </c>
      <c r="F93" s="8" t="s">
        <v>48</v>
      </c>
      <c r="G93" s="8" t="s">
        <v>89</v>
      </c>
      <c r="H93" s="8" t="s">
        <v>63</v>
      </c>
      <c r="I93" s="8" t="s">
        <v>146</v>
      </c>
      <c r="J93" s="8" t="s">
        <v>52</v>
      </c>
      <c r="K93" s="11" t="s">
        <v>59</v>
      </c>
      <c r="L93" s="18">
        <v>0.0</v>
      </c>
      <c r="M93" s="18">
        <v>0.0</v>
      </c>
      <c r="N93" s="18">
        <v>2.63E-4</v>
      </c>
      <c r="O93" s="18">
        <v>3.89E-4</v>
      </c>
      <c r="P93" s="18">
        <v>7.82E-4</v>
      </c>
      <c r="Q93" s="18">
        <v>8.88E-4</v>
      </c>
      <c r="R93" s="18">
        <v>3.53E-4</v>
      </c>
      <c r="S93" s="18">
        <v>1.1E-4</v>
      </c>
      <c r="T93" s="18">
        <v>2.51E-5</v>
      </c>
      <c r="U93" s="18">
        <v>5.94E-5</v>
      </c>
      <c r="V93" s="18">
        <v>5.52E-5</v>
      </c>
      <c r="W93" s="18">
        <v>2.26E-4</v>
      </c>
      <c r="X93" s="18">
        <v>5.91E-4</v>
      </c>
      <c r="Y93" s="18">
        <v>3.73E-4</v>
      </c>
      <c r="Z93" s="18">
        <v>0.0</v>
      </c>
      <c r="AA93" s="18">
        <v>0.0</v>
      </c>
      <c r="AB93" s="18">
        <v>0.0</v>
      </c>
      <c r="AC93" s="18">
        <v>0.0</v>
      </c>
      <c r="AD93" s="18">
        <v>3.27E-5</v>
      </c>
      <c r="AE93" s="18">
        <v>3.33E-5</v>
      </c>
      <c r="AF93" s="18">
        <v>0.0</v>
      </c>
      <c r="AG93" s="18">
        <v>0.0</v>
      </c>
      <c r="AH93" s="18">
        <v>1.86E-5</v>
      </c>
      <c r="AI93" s="18">
        <v>1.84E-5</v>
      </c>
      <c r="AJ93" s="18">
        <v>3.81E-4</v>
      </c>
      <c r="AK93" s="18">
        <v>0.001141</v>
      </c>
      <c r="AL93" s="18">
        <v>0.001133</v>
      </c>
      <c r="AM93" s="18">
        <v>0.002529</v>
      </c>
      <c r="AN93" s="19">
        <v>0.011451</v>
      </c>
      <c r="AO93" s="2">
        <v>0.0</v>
      </c>
      <c r="AP93" s="20">
        <v>0.0</v>
      </c>
      <c r="AQ93" s="20">
        <v>0.0</v>
      </c>
      <c r="AR93" s="20">
        <v>0.0</v>
      </c>
      <c r="AS93" s="20">
        <v>0.0</v>
      </c>
      <c r="AT93" s="2">
        <f>AVERAGE(L93:AN93)</f>
        <v>0.0007190586207</v>
      </c>
      <c r="AU93" s="12">
        <f t="shared" si="3"/>
        <v>0.0009929857143</v>
      </c>
      <c r="AV93" s="14"/>
      <c r="AW93" s="15"/>
      <c r="AX93" s="15"/>
    </row>
    <row r="94" ht="15.75" customHeight="1">
      <c r="A94" s="7">
        <v>231116.0</v>
      </c>
      <c r="B94" s="7">
        <v>64.0</v>
      </c>
      <c r="C94" s="7">
        <v>2.0</v>
      </c>
      <c r="D94" s="8" t="s">
        <v>104</v>
      </c>
      <c r="E94" s="7">
        <v>7.0</v>
      </c>
      <c r="F94" s="8" t="s">
        <v>48</v>
      </c>
      <c r="G94" s="8" t="s">
        <v>89</v>
      </c>
      <c r="H94" s="8" t="s">
        <v>61</v>
      </c>
      <c r="I94" s="8" t="s">
        <v>146</v>
      </c>
      <c r="J94" s="8" t="s">
        <v>52</v>
      </c>
      <c r="K94" s="11" t="s">
        <v>59</v>
      </c>
      <c r="L94" s="18">
        <v>4.3E-4</v>
      </c>
      <c r="M94" s="18">
        <v>1.69E-4</v>
      </c>
      <c r="N94" s="18">
        <v>2.62E-5</v>
      </c>
      <c r="O94" s="18">
        <v>4.14E-5</v>
      </c>
      <c r="P94" s="18">
        <v>2.87E-4</v>
      </c>
      <c r="Q94" s="18">
        <v>4.77E-4</v>
      </c>
      <c r="R94" s="18">
        <v>2.76E-4</v>
      </c>
      <c r="S94" s="18">
        <v>2.89E-4</v>
      </c>
      <c r="T94" s="18">
        <v>3.31E-4</v>
      </c>
      <c r="U94" s="18">
        <v>1.42E-4</v>
      </c>
      <c r="V94" s="18">
        <v>8.91E-5</v>
      </c>
      <c r="W94" s="18">
        <v>3.11E-5</v>
      </c>
      <c r="X94" s="18">
        <v>0.0</v>
      </c>
      <c r="Y94" s="18">
        <v>5.98E-5</v>
      </c>
      <c r="Z94" s="18">
        <v>5.87E-5</v>
      </c>
      <c r="AA94" s="18">
        <v>0.0</v>
      </c>
      <c r="AB94" s="18">
        <v>0.0</v>
      </c>
      <c r="AC94" s="18">
        <v>3.37E-5</v>
      </c>
      <c r="AD94" s="18">
        <v>3.34E-5</v>
      </c>
      <c r="AE94" s="18">
        <v>0.0</v>
      </c>
      <c r="AF94" s="18">
        <v>0.0</v>
      </c>
      <c r="AG94" s="18">
        <v>0.0</v>
      </c>
      <c r="AH94" s="18">
        <v>0.0</v>
      </c>
      <c r="AI94" s="18">
        <v>6.03E-5</v>
      </c>
      <c r="AJ94" s="18">
        <v>5.93E-4</v>
      </c>
      <c r="AK94" s="18">
        <v>0.004723</v>
      </c>
      <c r="AL94" s="18">
        <v>0.012994</v>
      </c>
      <c r="AM94" s="19">
        <v>0.010362</v>
      </c>
      <c r="AN94" s="2">
        <v>0.0</v>
      </c>
      <c r="AO94" s="2">
        <v>0.0</v>
      </c>
      <c r="AP94" s="20">
        <v>0.0</v>
      </c>
      <c r="AQ94" s="20">
        <v>0.0</v>
      </c>
      <c r="AR94" s="20">
        <v>0.0</v>
      </c>
      <c r="AS94" s="20">
        <v>0.0</v>
      </c>
      <c r="AT94" s="2">
        <f>AVERAGE(L94:AM94)</f>
        <v>0.001125239286</v>
      </c>
      <c r="AU94" s="12">
        <f t="shared" si="3"/>
        <v>0.001500319048</v>
      </c>
      <c r="AV94" s="14"/>
      <c r="AW94" s="15"/>
      <c r="AX94" s="15"/>
    </row>
    <row r="95" ht="15.75" customHeight="1">
      <c r="A95" s="7">
        <v>231116.0</v>
      </c>
      <c r="B95" s="7">
        <v>64.0</v>
      </c>
      <c r="C95" s="7">
        <v>2.0</v>
      </c>
      <c r="D95" s="8" t="s">
        <v>105</v>
      </c>
      <c r="E95" s="7">
        <v>7.0</v>
      </c>
      <c r="F95" s="8" t="s">
        <v>48</v>
      </c>
      <c r="G95" s="8" t="s">
        <v>85</v>
      </c>
      <c r="H95" s="8" t="s">
        <v>65</v>
      </c>
      <c r="I95" s="8" t="s">
        <v>146</v>
      </c>
      <c r="J95" s="8" t="s">
        <v>52</v>
      </c>
      <c r="K95" s="11" t="s">
        <v>59</v>
      </c>
      <c r="L95" s="18">
        <v>0.002246</v>
      </c>
      <c r="M95" s="18">
        <v>0.002839</v>
      </c>
      <c r="N95" s="18">
        <v>0.002787</v>
      </c>
      <c r="O95" s="18">
        <v>0.001688</v>
      </c>
      <c r="P95" s="18">
        <v>4.3E-4</v>
      </c>
      <c r="Q95" s="18">
        <v>3.09E-5</v>
      </c>
      <c r="R95" s="18">
        <v>3.88E-4</v>
      </c>
      <c r="S95" s="18">
        <v>9.14E-4</v>
      </c>
      <c r="T95" s="18">
        <v>5.94E-4</v>
      </c>
      <c r="U95" s="18">
        <v>6.13E-5</v>
      </c>
      <c r="V95" s="18">
        <v>9.33E-5</v>
      </c>
      <c r="W95" s="18">
        <v>5.13E-5</v>
      </c>
      <c r="X95" s="18">
        <v>1.6E-5</v>
      </c>
      <c r="Y95" s="18">
        <v>0.0</v>
      </c>
      <c r="Z95" s="18">
        <v>0.0</v>
      </c>
      <c r="AA95" s="18">
        <v>0.0</v>
      </c>
      <c r="AB95" s="18">
        <v>0.0</v>
      </c>
      <c r="AC95" s="18">
        <v>0.0</v>
      </c>
      <c r="AD95" s="18">
        <v>0.0</v>
      </c>
      <c r="AE95" s="18">
        <v>0.0</v>
      </c>
      <c r="AF95" s="18">
        <v>0.0</v>
      </c>
      <c r="AG95" s="18">
        <v>0.0</v>
      </c>
      <c r="AH95" s="18">
        <v>0.0</v>
      </c>
      <c r="AI95" s="18">
        <v>1.74E-4</v>
      </c>
      <c r="AJ95" s="19">
        <v>1.75E-4</v>
      </c>
      <c r="AK95" s="18">
        <v>0.0</v>
      </c>
      <c r="AL95" s="18">
        <v>0.0</v>
      </c>
      <c r="AM95" s="18">
        <v>0.0</v>
      </c>
      <c r="AN95" s="18">
        <v>0.0</v>
      </c>
      <c r="AO95" s="18">
        <v>0.0</v>
      </c>
      <c r="AP95" s="20">
        <v>0.0</v>
      </c>
      <c r="AQ95" s="20">
        <v>0.0</v>
      </c>
      <c r="AR95" s="20">
        <v>0.0</v>
      </c>
      <c r="AS95" s="20">
        <v>0.0</v>
      </c>
      <c r="AT95" s="2">
        <f>AVERAGE(L95:AJ95)</f>
        <v>0.000499512</v>
      </c>
      <c r="AU95" s="12">
        <f t="shared" si="3"/>
        <v>0.00083252</v>
      </c>
      <c r="AV95" s="14"/>
      <c r="AW95" s="15"/>
      <c r="AX95" s="15"/>
    </row>
    <row r="96" ht="15.75" customHeight="1">
      <c r="A96" s="7">
        <v>231116.0</v>
      </c>
      <c r="B96" s="7">
        <v>64.0</v>
      </c>
      <c r="C96" s="7">
        <v>2.0</v>
      </c>
      <c r="D96" s="8" t="s">
        <v>106</v>
      </c>
      <c r="E96" s="7">
        <v>7.0</v>
      </c>
      <c r="F96" s="8" t="s">
        <v>48</v>
      </c>
      <c r="G96" s="8" t="s">
        <v>85</v>
      </c>
      <c r="H96" s="8" t="s">
        <v>50</v>
      </c>
      <c r="I96" s="8" t="s">
        <v>146</v>
      </c>
      <c r="J96" s="8" t="s">
        <v>52</v>
      </c>
      <c r="K96" s="11" t="s">
        <v>59</v>
      </c>
      <c r="L96" s="18">
        <v>0.003388</v>
      </c>
      <c r="M96" s="18">
        <v>0.00226</v>
      </c>
      <c r="N96" s="18">
        <v>9.86E-4</v>
      </c>
      <c r="O96" s="18">
        <v>1.38E-4</v>
      </c>
      <c r="P96" s="18">
        <v>4.91E-4</v>
      </c>
      <c r="Q96" s="18">
        <v>9.71E-4</v>
      </c>
      <c r="R96" s="18">
        <v>7.56E-4</v>
      </c>
      <c r="S96" s="18">
        <v>4.01E-4</v>
      </c>
      <c r="T96" s="18">
        <v>1.31E-4</v>
      </c>
      <c r="U96" s="18">
        <v>1.24E-4</v>
      </c>
      <c r="V96" s="18">
        <v>1.23E-4</v>
      </c>
      <c r="W96" s="18">
        <v>0.0</v>
      </c>
      <c r="X96" s="18">
        <v>0.0</v>
      </c>
      <c r="Y96" s="18">
        <v>0.0</v>
      </c>
      <c r="Z96" s="18">
        <v>6.7E-6</v>
      </c>
      <c r="AA96" s="18">
        <v>1.74E-5</v>
      </c>
      <c r="AB96" s="18">
        <v>1.27E-5</v>
      </c>
      <c r="AC96" s="18">
        <v>2.1E-6</v>
      </c>
      <c r="AD96" s="18">
        <v>2.82E-5</v>
      </c>
      <c r="AE96" s="18">
        <v>1.21E-4</v>
      </c>
      <c r="AF96" s="18">
        <v>3.88E-4</v>
      </c>
      <c r="AG96" s="18">
        <v>3.83E-4</v>
      </c>
      <c r="AH96" s="18">
        <v>1.31E-4</v>
      </c>
      <c r="AI96" s="18">
        <v>8.43E-5</v>
      </c>
      <c r="AJ96" s="18">
        <v>1.88E-4</v>
      </c>
      <c r="AK96" s="18">
        <v>2.56E-4</v>
      </c>
      <c r="AL96" s="18">
        <v>4.47E-4</v>
      </c>
      <c r="AM96" s="18">
        <v>0.001314</v>
      </c>
      <c r="AN96" s="18">
        <v>0.003815</v>
      </c>
      <c r="AO96" s="19">
        <v>0.022142</v>
      </c>
      <c r="AP96" s="20">
        <v>0.0</v>
      </c>
      <c r="AQ96" s="20">
        <v>0.0</v>
      </c>
      <c r="AR96" s="20">
        <v>0.0</v>
      </c>
      <c r="AS96" s="20">
        <v>0.0</v>
      </c>
      <c r="AT96" s="2">
        <f>AVERAGE(L96:AO96)</f>
        <v>0.001303513333</v>
      </c>
      <c r="AU96" s="12">
        <f t="shared" si="3"/>
        <v>0.001448348148</v>
      </c>
      <c r="AV96" s="14"/>
      <c r="AW96" s="15"/>
      <c r="AX96" s="15"/>
    </row>
    <row r="97" ht="15.75" customHeight="1">
      <c r="A97" s="7">
        <v>231116.0</v>
      </c>
      <c r="B97" s="7">
        <v>64.0</v>
      </c>
      <c r="C97" s="7">
        <v>2.0</v>
      </c>
      <c r="D97" s="8" t="s">
        <v>107</v>
      </c>
      <c r="E97" s="7">
        <v>7.0</v>
      </c>
      <c r="F97" s="8" t="s">
        <v>48</v>
      </c>
      <c r="G97" s="8" t="s">
        <v>85</v>
      </c>
      <c r="H97" s="8" t="s">
        <v>63</v>
      </c>
      <c r="I97" s="8" t="s">
        <v>146</v>
      </c>
      <c r="J97" s="8" t="s">
        <v>52</v>
      </c>
      <c r="K97" s="11" t="s">
        <v>59</v>
      </c>
      <c r="L97" s="18">
        <v>0.0</v>
      </c>
      <c r="M97" s="18">
        <v>3.51E-5</v>
      </c>
      <c r="N97" s="18">
        <v>3.06E-5</v>
      </c>
      <c r="O97" s="18">
        <v>1.06E-4</v>
      </c>
      <c r="P97" s="18">
        <v>1.18E-4</v>
      </c>
      <c r="Q97" s="18">
        <v>1.7E-5</v>
      </c>
      <c r="R97" s="18">
        <v>0.0</v>
      </c>
      <c r="S97" s="18">
        <v>4.1E-5</v>
      </c>
      <c r="T97" s="18">
        <v>8.25E-5</v>
      </c>
      <c r="U97" s="18">
        <v>4.13E-5</v>
      </c>
      <c r="V97" s="18">
        <v>0.0</v>
      </c>
      <c r="W97" s="18">
        <v>0.0</v>
      </c>
      <c r="X97" s="18">
        <v>0.0</v>
      </c>
      <c r="Y97" s="18">
        <v>0.0</v>
      </c>
      <c r="Z97" s="18">
        <v>2.35E-5</v>
      </c>
      <c r="AA97" s="18">
        <v>2.31E-5</v>
      </c>
      <c r="AB97" s="18">
        <v>0.0</v>
      </c>
      <c r="AC97" s="18">
        <v>0.0</v>
      </c>
      <c r="AD97" s="18">
        <v>0.0</v>
      </c>
      <c r="AE97" s="18">
        <v>0.0</v>
      </c>
      <c r="AF97" s="18">
        <v>3.34E-4</v>
      </c>
      <c r="AG97" s="18">
        <v>4.3E-4</v>
      </c>
      <c r="AH97" s="18">
        <v>9.44E-5</v>
      </c>
      <c r="AI97" s="18">
        <v>0.0</v>
      </c>
      <c r="AJ97" s="18">
        <v>0.0</v>
      </c>
      <c r="AK97" s="18">
        <v>3.43E-4</v>
      </c>
      <c r="AL97" s="18">
        <v>9.82E-4</v>
      </c>
      <c r="AM97" s="19">
        <v>2.94E-4</v>
      </c>
      <c r="AN97" s="2">
        <v>0.0</v>
      </c>
      <c r="AO97" s="2">
        <v>0.0</v>
      </c>
      <c r="AP97" s="20">
        <v>0.0</v>
      </c>
      <c r="AQ97" s="20">
        <v>0.0</v>
      </c>
      <c r="AR97" s="20">
        <v>0.0</v>
      </c>
      <c r="AS97" s="20">
        <v>0.0</v>
      </c>
      <c r="AT97" s="2">
        <f>AVERAGE(L97:AM97)</f>
        <v>0.0001069821429</v>
      </c>
      <c r="AU97" s="12">
        <f t="shared" si="3"/>
        <v>0.00018721875</v>
      </c>
      <c r="AV97" s="14"/>
      <c r="AW97" s="15"/>
      <c r="AX97" s="15"/>
    </row>
    <row r="98" ht="15.75" customHeight="1">
      <c r="A98" s="7">
        <v>231124.0</v>
      </c>
      <c r="B98" s="7">
        <v>58.0</v>
      </c>
      <c r="C98" s="7">
        <v>1.0</v>
      </c>
      <c r="D98" s="8" t="s">
        <v>108</v>
      </c>
      <c r="E98" s="7">
        <v>7.0</v>
      </c>
      <c r="F98" s="8" t="s">
        <v>48</v>
      </c>
      <c r="G98" s="8" t="s">
        <v>89</v>
      </c>
      <c r="H98" s="8" t="s">
        <v>50</v>
      </c>
      <c r="I98" s="8" t="s">
        <v>146</v>
      </c>
      <c r="J98" s="8" t="s">
        <v>52</v>
      </c>
      <c r="K98" s="11" t="s">
        <v>70</v>
      </c>
      <c r="L98" s="18">
        <v>0.0</v>
      </c>
      <c r="M98" s="18">
        <v>1.69E-4</v>
      </c>
      <c r="N98" s="18">
        <v>3.16E-4</v>
      </c>
      <c r="O98" s="18">
        <v>3.14E-4</v>
      </c>
      <c r="P98" s="18">
        <v>3.45E-4</v>
      </c>
      <c r="Q98" s="18">
        <v>3.85E-4</v>
      </c>
      <c r="R98" s="18">
        <v>4.32E-4</v>
      </c>
      <c r="S98" s="18">
        <v>4.88E-4</v>
      </c>
      <c r="T98" s="18">
        <v>5.22E-4</v>
      </c>
      <c r="U98" s="18">
        <v>6.66E-4</v>
      </c>
      <c r="V98" s="18">
        <v>6.53E-4</v>
      </c>
      <c r="W98" s="18">
        <v>3.19E-4</v>
      </c>
      <c r="X98" s="18">
        <v>9.32E-5</v>
      </c>
      <c r="Y98" s="18">
        <v>6.52E-5</v>
      </c>
      <c r="Z98" s="18">
        <v>0.0</v>
      </c>
      <c r="AA98" s="18">
        <v>0.0</v>
      </c>
      <c r="AB98" s="18">
        <v>0.0</v>
      </c>
      <c r="AC98" s="18">
        <v>0.0</v>
      </c>
      <c r="AD98" s="18">
        <v>0.0</v>
      </c>
      <c r="AE98" s="18">
        <v>0.0</v>
      </c>
      <c r="AF98" s="18">
        <v>2.74E-5</v>
      </c>
      <c r="AG98" s="18">
        <v>2.91E-5</v>
      </c>
      <c r="AH98" s="18">
        <v>0.0</v>
      </c>
      <c r="AI98" s="18">
        <v>7.59E-5</v>
      </c>
      <c r="AJ98" s="19">
        <v>7.99E-5</v>
      </c>
      <c r="AK98" s="18">
        <v>0.0</v>
      </c>
      <c r="AL98" s="18">
        <v>0.0</v>
      </c>
      <c r="AM98" s="18">
        <v>0.0</v>
      </c>
      <c r="AN98" s="2">
        <v>0.0</v>
      </c>
      <c r="AO98" s="2">
        <v>0.0</v>
      </c>
      <c r="AP98" s="20">
        <v>0.0</v>
      </c>
      <c r="AQ98" s="20">
        <v>0.0</v>
      </c>
      <c r="AR98" s="20">
        <v>0.0</v>
      </c>
      <c r="AS98" s="20">
        <v>0.0</v>
      </c>
      <c r="AT98" s="2">
        <f>AVERAGE(L98:AJ98)</f>
        <v>0.000199188</v>
      </c>
      <c r="AU98" s="12">
        <f t="shared" si="3"/>
        <v>0.0002929235294</v>
      </c>
      <c r="AV98" s="14"/>
      <c r="AW98" s="15"/>
      <c r="AX98" s="15"/>
    </row>
    <row r="99" ht="15.75" customHeight="1">
      <c r="A99" s="7">
        <v>231124.0</v>
      </c>
      <c r="B99" s="7">
        <v>58.0</v>
      </c>
      <c r="C99" s="7">
        <v>1.0</v>
      </c>
      <c r="D99" s="8" t="s">
        <v>109</v>
      </c>
      <c r="E99" s="7">
        <v>7.0</v>
      </c>
      <c r="F99" s="8" t="s">
        <v>48</v>
      </c>
      <c r="G99" s="8" t="s">
        <v>49</v>
      </c>
      <c r="H99" s="8" t="s">
        <v>61</v>
      </c>
      <c r="I99" s="8" t="s">
        <v>146</v>
      </c>
      <c r="J99" s="8" t="s">
        <v>52</v>
      </c>
      <c r="K99" s="11" t="s">
        <v>70</v>
      </c>
      <c r="L99" s="18">
        <v>0.002281</v>
      </c>
      <c r="M99" s="18">
        <v>0.001519</v>
      </c>
      <c r="N99" s="18">
        <v>6.84E-4</v>
      </c>
      <c r="O99" s="18">
        <v>1.44E-4</v>
      </c>
      <c r="P99" s="18">
        <v>0.0</v>
      </c>
      <c r="Q99" s="18">
        <v>5.99E-5</v>
      </c>
      <c r="R99" s="18">
        <v>5.95E-5</v>
      </c>
      <c r="S99" s="18">
        <v>3.69E-5</v>
      </c>
      <c r="T99" s="18">
        <v>1.47E-4</v>
      </c>
      <c r="U99" s="18">
        <v>1.14E-4</v>
      </c>
      <c r="V99" s="18">
        <v>0.0</v>
      </c>
      <c r="W99" s="18">
        <v>0.0</v>
      </c>
      <c r="X99" s="18">
        <v>0.0</v>
      </c>
      <c r="Y99" s="18">
        <v>8.79E-5</v>
      </c>
      <c r="Z99" s="18">
        <v>1.67E-4</v>
      </c>
      <c r="AA99" s="18">
        <v>7.9E-5</v>
      </c>
      <c r="AB99" s="18">
        <v>0.0</v>
      </c>
      <c r="AC99" s="18">
        <v>0.0</v>
      </c>
      <c r="AD99" s="18">
        <v>0.0</v>
      </c>
      <c r="AE99" s="18">
        <v>6.98E-5</v>
      </c>
      <c r="AF99" s="18">
        <v>1.87E-4</v>
      </c>
      <c r="AG99" s="18">
        <v>1.75E-4</v>
      </c>
      <c r="AH99" s="18">
        <v>5.56E-5</v>
      </c>
      <c r="AI99" s="18">
        <v>0.0</v>
      </c>
      <c r="AJ99" s="18">
        <v>0.0</v>
      </c>
      <c r="AK99" s="18">
        <v>1.23E-4</v>
      </c>
      <c r="AL99" s="18">
        <v>1.57E-4</v>
      </c>
      <c r="AM99" s="18">
        <v>6.89E-5</v>
      </c>
      <c r="AN99" s="19">
        <v>1.34E-4</v>
      </c>
      <c r="AO99" s="18">
        <v>0.0</v>
      </c>
      <c r="AP99" s="20">
        <v>0.0</v>
      </c>
      <c r="AQ99" s="20">
        <v>0.0</v>
      </c>
      <c r="AR99" s="20">
        <v>0.0</v>
      </c>
      <c r="AS99" s="20">
        <v>0.0</v>
      </c>
      <c r="AT99" s="2">
        <f>AVERAGE(L99:AN99)</f>
        <v>0.0002189482759</v>
      </c>
      <c r="AU99" s="12">
        <f t="shared" si="3"/>
        <v>0.000317475</v>
      </c>
      <c r="AV99" s="14"/>
      <c r="AW99" s="15"/>
      <c r="AX99" s="15"/>
    </row>
    <row r="100" ht="15.75" customHeight="1">
      <c r="A100" s="7">
        <v>231124.0</v>
      </c>
      <c r="B100" s="7">
        <v>58.0</v>
      </c>
      <c r="C100" s="7">
        <v>1.0</v>
      </c>
      <c r="D100" s="8" t="s">
        <v>110</v>
      </c>
      <c r="E100" s="7">
        <v>7.0</v>
      </c>
      <c r="F100" s="8" t="s">
        <v>48</v>
      </c>
      <c r="G100" s="8" t="s">
        <v>85</v>
      </c>
      <c r="H100" s="8" t="s">
        <v>50</v>
      </c>
      <c r="I100" s="8" t="s">
        <v>146</v>
      </c>
      <c r="J100" s="8" t="s">
        <v>52</v>
      </c>
      <c r="K100" s="11" t="s">
        <v>70</v>
      </c>
      <c r="L100" s="18">
        <v>0.0</v>
      </c>
      <c r="M100" s="18">
        <v>0.0</v>
      </c>
      <c r="N100" s="18">
        <v>0.0</v>
      </c>
      <c r="O100" s="18">
        <v>0.0</v>
      </c>
      <c r="P100" s="18">
        <v>0.0</v>
      </c>
      <c r="Q100" s="18">
        <v>0.0</v>
      </c>
      <c r="R100" s="18">
        <v>0.0</v>
      </c>
      <c r="S100" s="18">
        <v>0.0</v>
      </c>
      <c r="T100" s="18">
        <v>0.0</v>
      </c>
      <c r="U100" s="18">
        <v>0.0</v>
      </c>
      <c r="V100" s="18">
        <v>0.0</v>
      </c>
      <c r="W100" s="18">
        <v>0.0</v>
      </c>
      <c r="X100" s="18">
        <v>0.0</v>
      </c>
      <c r="Y100" s="18">
        <v>0.0</v>
      </c>
      <c r="Z100" s="18">
        <v>9.3E-6</v>
      </c>
      <c r="AA100" s="19">
        <v>9.1E-6</v>
      </c>
      <c r="AB100" s="18">
        <v>0.0</v>
      </c>
      <c r="AC100" s="18">
        <v>0.0</v>
      </c>
      <c r="AD100" s="18">
        <v>0.0</v>
      </c>
      <c r="AE100" s="18">
        <v>0.0</v>
      </c>
      <c r="AF100" s="18">
        <v>0.0</v>
      </c>
      <c r="AG100" s="18">
        <v>0.0</v>
      </c>
      <c r="AH100" s="18">
        <v>0.0</v>
      </c>
      <c r="AI100" s="18">
        <v>0.0</v>
      </c>
      <c r="AJ100" s="18">
        <v>0.0</v>
      </c>
      <c r="AK100" s="18">
        <v>0.0</v>
      </c>
      <c r="AL100" s="18">
        <v>0.0</v>
      </c>
      <c r="AM100" s="18">
        <v>0.0</v>
      </c>
      <c r="AN100" s="18">
        <v>0.0</v>
      </c>
      <c r="AO100" s="2">
        <v>0.0</v>
      </c>
      <c r="AP100" s="20">
        <v>0.0</v>
      </c>
      <c r="AQ100" s="20">
        <v>0.0</v>
      </c>
      <c r="AR100" s="20">
        <v>0.0</v>
      </c>
      <c r="AS100" s="20">
        <v>0.0</v>
      </c>
      <c r="AT100" s="2">
        <f>AVERAGE(L100:AA100)</f>
        <v>0.00000115</v>
      </c>
      <c r="AU100" s="12">
        <f t="shared" si="3"/>
        <v>0.0000092</v>
      </c>
      <c r="AV100" s="14"/>
      <c r="AW100" s="15"/>
      <c r="AX100" s="15"/>
    </row>
    <row r="101" ht="15.75" customHeight="1">
      <c r="A101" s="7">
        <v>231124.0</v>
      </c>
      <c r="B101" s="7">
        <v>58.0</v>
      </c>
      <c r="C101" s="7">
        <v>1.0</v>
      </c>
      <c r="D101" s="8" t="s">
        <v>111</v>
      </c>
      <c r="E101" s="7">
        <v>7.0</v>
      </c>
      <c r="F101" s="8" t="s">
        <v>48</v>
      </c>
      <c r="G101" s="8" t="s">
        <v>85</v>
      </c>
      <c r="H101" s="8" t="s">
        <v>63</v>
      </c>
      <c r="I101" s="8" t="s">
        <v>146</v>
      </c>
      <c r="J101" s="8" t="s">
        <v>52</v>
      </c>
      <c r="K101" s="11" t="s">
        <v>70</v>
      </c>
      <c r="L101" s="18">
        <v>0.0</v>
      </c>
      <c r="M101" s="18">
        <v>2.0E-4</v>
      </c>
      <c r="N101" s="18">
        <v>0.001241</v>
      </c>
      <c r="O101" s="18">
        <v>0.002764</v>
      </c>
      <c r="P101" s="18">
        <v>0.002499</v>
      </c>
      <c r="Q101" s="18">
        <v>0.001034</v>
      </c>
      <c r="R101" s="18">
        <v>6.04E-4</v>
      </c>
      <c r="S101" s="18">
        <v>8.34E-4</v>
      </c>
      <c r="T101" s="18">
        <v>0.001017</v>
      </c>
      <c r="U101" s="18">
        <v>0.001025</v>
      </c>
      <c r="V101" s="18">
        <v>7.21E-4</v>
      </c>
      <c r="W101" s="18">
        <v>3.82E-4</v>
      </c>
      <c r="X101" s="18">
        <v>2.61E-4</v>
      </c>
      <c r="Y101" s="18">
        <v>1.31E-4</v>
      </c>
      <c r="Z101" s="18">
        <v>0.0</v>
      </c>
      <c r="AA101" s="18">
        <v>5.5E-5</v>
      </c>
      <c r="AB101" s="18">
        <v>6.2E-5</v>
      </c>
      <c r="AC101" s="18">
        <v>4.69E-5</v>
      </c>
      <c r="AD101" s="18">
        <v>2.5E-4</v>
      </c>
      <c r="AE101" s="18">
        <v>4.0E-4</v>
      </c>
      <c r="AF101" s="18">
        <v>3.84E-4</v>
      </c>
      <c r="AG101" s="18">
        <v>2.04E-4</v>
      </c>
      <c r="AH101" s="18">
        <v>1.0E-5</v>
      </c>
      <c r="AI101" s="18">
        <v>1.69E-4</v>
      </c>
      <c r="AJ101" s="18">
        <v>4.13E-4</v>
      </c>
      <c r="AK101" s="18">
        <v>2.73E-4</v>
      </c>
      <c r="AL101" s="18">
        <v>1.04E-4</v>
      </c>
      <c r="AM101" s="18">
        <v>1.85E-4</v>
      </c>
      <c r="AN101" s="18">
        <v>5.58E-4</v>
      </c>
      <c r="AO101" s="19">
        <v>0.002362</v>
      </c>
      <c r="AP101" s="20">
        <v>0.0</v>
      </c>
      <c r="AQ101" s="20">
        <v>0.0</v>
      </c>
      <c r="AR101" s="20">
        <v>0.0</v>
      </c>
      <c r="AS101" s="20">
        <v>0.0</v>
      </c>
      <c r="AT101" s="2">
        <f>AVERAGE(L101:AO101)</f>
        <v>0.0006062966667</v>
      </c>
      <c r="AU101" s="12">
        <f t="shared" si="3"/>
        <v>0.0006496035714</v>
      </c>
      <c r="AV101" s="14"/>
      <c r="AW101" s="15"/>
      <c r="AX101" s="15"/>
    </row>
    <row r="102" ht="15.75" customHeight="1">
      <c r="A102" s="7">
        <v>231124.0</v>
      </c>
      <c r="B102" s="7">
        <v>58.0</v>
      </c>
      <c r="C102" s="7">
        <v>1.0</v>
      </c>
      <c r="D102" s="8" t="s">
        <v>112</v>
      </c>
      <c r="E102" s="7">
        <v>7.0</v>
      </c>
      <c r="F102" s="8" t="s">
        <v>48</v>
      </c>
      <c r="G102" s="8" t="s">
        <v>85</v>
      </c>
      <c r="H102" s="8" t="s">
        <v>65</v>
      </c>
      <c r="I102" s="8" t="s">
        <v>146</v>
      </c>
      <c r="J102" s="8" t="s">
        <v>52</v>
      </c>
      <c r="K102" s="11" t="s">
        <v>70</v>
      </c>
      <c r="L102" s="18">
        <v>0.00261</v>
      </c>
      <c r="M102" s="18">
        <v>0.003194</v>
      </c>
      <c r="N102" s="18">
        <v>0.002264</v>
      </c>
      <c r="O102" s="18">
        <v>7.71E-4</v>
      </c>
      <c r="P102" s="18">
        <v>3.64E-4</v>
      </c>
      <c r="Q102" s="18">
        <v>6.05E-4</v>
      </c>
      <c r="R102" s="18">
        <v>0.001131</v>
      </c>
      <c r="S102" s="18">
        <v>0.001649</v>
      </c>
      <c r="T102" s="18">
        <v>0.00149</v>
      </c>
      <c r="U102" s="18">
        <v>0.001306</v>
      </c>
      <c r="V102" s="18">
        <v>7.0E-4</v>
      </c>
      <c r="W102" s="18">
        <v>3.82E-5</v>
      </c>
      <c r="X102" s="18">
        <v>3.45E-5</v>
      </c>
      <c r="Y102" s="18">
        <v>0.0</v>
      </c>
      <c r="Z102" s="18">
        <v>0.0</v>
      </c>
      <c r="AA102" s="18">
        <v>0.0</v>
      </c>
      <c r="AB102" s="18">
        <v>0.0</v>
      </c>
      <c r="AC102" s="18">
        <v>0.0</v>
      </c>
      <c r="AD102" s="18">
        <v>0.0</v>
      </c>
      <c r="AE102" s="18">
        <v>0.0</v>
      </c>
      <c r="AF102" s="18">
        <v>0.0</v>
      </c>
      <c r="AG102" s="18">
        <v>0.0</v>
      </c>
      <c r="AH102" s="18">
        <v>0.0</v>
      </c>
      <c r="AI102" s="18">
        <v>2.3E-6</v>
      </c>
      <c r="AJ102" s="18">
        <v>1.87E-5</v>
      </c>
      <c r="AK102" s="18">
        <v>1.65E-5</v>
      </c>
      <c r="AL102" s="18">
        <v>0.0</v>
      </c>
      <c r="AM102" s="18">
        <v>5.64E-5</v>
      </c>
      <c r="AN102" s="19">
        <v>1.63E-4</v>
      </c>
      <c r="AO102" s="18">
        <v>0.0</v>
      </c>
      <c r="AP102" s="20">
        <v>0.0</v>
      </c>
      <c r="AQ102" s="20">
        <v>0.0</v>
      </c>
      <c r="AR102" s="20">
        <v>0.0</v>
      </c>
      <c r="AS102" s="20">
        <v>0.0</v>
      </c>
      <c r="AT102" s="2">
        <f>AVERAGE(L102:AN102)</f>
        <v>0.0005659862069</v>
      </c>
      <c r="AU102" s="12">
        <f t="shared" si="3"/>
        <v>0.0009118666667</v>
      </c>
      <c r="AV102" s="14"/>
      <c r="AW102" s="15"/>
      <c r="AX102" s="15"/>
    </row>
    <row r="103" ht="15.75" customHeight="1">
      <c r="A103" s="7">
        <v>231219.0</v>
      </c>
      <c r="B103" s="7">
        <v>72.0</v>
      </c>
      <c r="C103" s="7">
        <v>3.0</v>
      </c>
      <c r="D103" s="8" t="s">
        <v>113</v>
      </c>
      <c r="E103" s="7">
        <v>7.0</v>
      </c>
      <c r="F103" s="8" t="s">
        <v>48</v>
      </c>
      <c r="G103" s="8" t="s">
        <v>67</v>
      </c>
      <c r="H103" s="8" t="s">
        <v>83</v>
      </c>
      <c r="I103" s="8" t="s">
        <v>146</v>
      </c>
      <c r="J103" s="8" t="s">
        <v>52</v>
      </c>
      <c r="K103" s="11" t="s">
        <v>76</v>
      </c>
      <c r="L103" s="18">
        <v>0.00909</v>
      </c>
      <c r="M103" s="18">
        <v>0.004821</v>
      </c>
      <c r="N103" s="18">
        <v>0.001652</v>
      </c>
      <c r="O103" s="18">
        <v>2.12E-4</v>
      </c>
      <c r="P103" s="18">
        <v>5.76E-4</v>
      </c>
      <c r="Q103" s="18">
        <v>7.23E-4</v>
      </c>
      <c r="R103" s="18">
        <v>2.32E-4</v>
      </c>
      <c r="S103" s="18">
        <v>6.59E-5</v>
      </c>
      <c r="T103" s="18">
        <v>7.04E-5</v>
      </c>
      <c r="U103" s="18">
        <v>0.0</v>
      </c>
      <c r="V103" s="18">
        <v>5.12E-5</v>
      </c>
      <c r="W103" s="19">
        <v>4.9E-5</v>
      </c>
      <c r="X103" s="18">
        <v>0.0</v>
      </c>
      <c r="Y103" s="18">
        <v>0.0</v>
      </c>
      <c r="Z103" s="18">
        <v>0.0</v>
      </c>
      <c r="AA103" s="18">
        <v>0.0</v>
      </c>
      <c r="AB103" s="18">
        <v>0.0</v>
      </c>
      <c r="AC103" s="18">
        <v>0.0</v>
      </c>
      <c r="AD103" s="18">
        <v>0.0</v>
      </c>
      <c r="AE103" s="18">
        <v>0.0</v>
      </c>
      <c r="AF103" s="18">
        <v>0.0</v>
      </c>
      <c r="AG103" s="18">
        <v>0.0</v>
      </c>
      <c r="AH103" s="18">
        <v>0.0</v>
      </c>
      <c r="AI103" s="18">
        <v>0.0</v>
      </c>
      <c r="AJ103" s="18">
        <v>0.0</v>
      </c>
      <c r="AK103" s="18">
        <v>0.0</v>
      </c>
      <c r="AL103" s="18">
        <v>0.0</v>
      </c>
      <c r="AM103" s="18">
        <v>0.0</v>
      </c>
      <c r="AN103" s="18">
        <v>0.0</v>
      </c>
      <c r="AO103" s="2">
        <v>0.0</v>
      </c>
      <c r="AP103" s="20">
        <v>0.0</v>
      </c>
      <c r="AQ103" s="20">
        <v>0.0</v>
      </c>
      <c r="AR103" s="20">
        <v>0.0</v>
      </c>
      <c r="AS103" s="20">
        <v>0.0</v>
      </c>
      <c r="AT103" s="2">
        <f>AVERAGE(L103:W103)</f>
        <v>0.001461875</v>
      </c>
      <c r="AU103" s="12">
        <f t="shared" si="3"/>
        <v>0.001594772727</v>
      </c>
      <c r="AV103" s="14"/>
      <c r="AW103" s="15"/>
      <c r="AX103" s="15"/>
    </row>
    <row r="104" ht="15.75" customHeight="1">
      <c r="A104" s="7">
        <v>231219.0</v>
      </c>
      <c r="B104" s="7">
        <v>72.0</v>
      </c>
      <c r="C104" s="7">
        <v>3.0</v>
      </c>
      <c r="D104" s="8" t="s">
        <v>114</v>
      </c>
      <c r="E104" s="7">
        <v>7.0</v>
      </c>
      <c r="F104" s="8" t="s">
        <v>48</v>
      </c>
      <c r="G104" s="8" t="s">
        <v>67</v>
      </c>
      <c r="H104" s="8" t="s">
        <v>83</v>
      </c>
      <c r="I104" s="8" t="s">
        <v>146</v>
      </c>
      <c r="J104" s="8" t="s">
        <v>52</v>
      </c>
      <c r="K104" s="11" t="s">
        <v>76</v>
      </c>
      <c r="L104" s="18">
        <v>0.001881</v>
      </c>
      <c r="M104" s="18">
        <v>0.001896</v>
      </c>
      <c r="N104" s="18">
        <v>0.001271</v>
      </c>
      <c r="O104" s="18">
        <v>3.64E-4</v>
      </c>
      <c r="P104" s="18">
        <v>1.06E-4</v>
      </c>
      <c r="Q104" s="18">
        <v>1.08E-4</v>
      </c>
      <c r="R104" s="18">
        <v>7.53E-5</v>
      </c>
      <c r="S104" s="18">
        <v>1.85E-4</v>
      </c>
      <c r="T104" s="18">
        <v>1.97E-4</v>
      </c>
      <c r="U104" s="18">
        <v>1.68E-4</v>
      </c>
      <c r="V104" s="18">
        <v>1.4E-4</v>
      </c>
      <c r="W104" s="18">
        <v>3.05E-5</v>
      </c>
      <c r="X104" s="18">
        <v>5.71E-5</v>
      </c>
      <c r="Y104" s="18">
        <v>2.08E-4</v>
      </c>
      <c r="Z104" s="19">
        <v>1.6E-4</v>
      </c>
      <c r="AA104" s="18">
        <v>0.0</v>
      </c>
      <c r="AB104" s="18">
        <v>0.0</v>
      </c>
      <c r="AC104" s="18">
        <v>0.0</v>
      </c>
      <c r="AD104" s="18">
        <v>0.0</v>
      </c>
      <c r="AE104" s="18">
        <v>0.0</v>
      </c>
      <c r="AF104" s="18">
        <v>0.0</v>
      </c>
      <c r="AG104" s="18">
        <v>0.0</v>
      </c>
      <c r="AH104" s="18">
        <v>0.0</v>
      </c>
      <c r="AI104" s="18">
        <v>0.0</v>
      </c>
      <c r="AJ104" s="18">
        <v>0.0</v>
      </c>
      <c r="AK104" s="18">
        <v>0.0</v>
      </c>
      <c r="AL104" s="18">
        <v>0.0</v>
      </c>
      <c r="AM104" s="18">
        <v>0.0</v>
      </c>
      <c r="AN104" s="18">
        <v>0.0</v>
      </c>
      <c r="AO104" s="18">
        <v>0.0</v>
      </c>
      <c r="AP104" s="20">
        <v>0.0</v>
      </c>
      <c r="AQ104" s="20">
        <v>0.0</v>
      </c>
      <c r="AR104" s="20">
        <v>0.0</v>
      </c>
      <c r="AS104" s="20">
        <v>0.0</v>
      </c>
      <c r="AT104" s="2">
        <f>AVERAGE(L104:Z104)</f>
        <v>0.00045646</v>
      </c>
      <c r="AU104" s="12">
        <f t="shared" si="3"/>
        <v>0.00045646</v>
      </c>
      <c r="AV104" s="14"/>
      <c r="AW104" s="15"/>
      <c r="AX104" s="15"/>
    </row>
    <row r="105" ht="15.75" customHeight="1">
      <c r="A105" s="7">
        <v>231219.0</v>
      </c>
      <c r="B105" s="7">
        <v>72.0</v>
      </c>
      <c r="C105" s="7">
        <v>3.0</v>
      </c>
      <c r="D105" s="8" t="s">
        <v>115</v>
      </c>
      <c r="E105" s="7">
        <v>7.0</v>
      </c>
      <c r="F105" s="8" t="s">
        <v>48</v>
      </c>
      <c r="G105" s="8" t="s">
        <v>67</v>
      </c>
      <c r="H105" s="8" t="s">
        <v>83</v>
      </c>
      <c r="I105" s="8" t="s">
        <v>146</v>
      </c>
      <c r="J105" s="8" t="s">
        <v>52</v>
      </c>
      <c r="K105" s="11" t="s">
        <v>76</v>
      </c>
      <c r="L105" s="18">
        <v>0.002174</v>
      </c>
      <c r="M105" s="18">
        <v>9.18E-4</v>
      </c>
      <c r="N105" s="18">
        <v>2.95E-4</v>
      </c>
      <c r="O105" s="18">
        <v>2.2E-4</v>
      </c>
      <c r="P105" s="18">
        <v>2.5E-4</v>
      </c>
      <c r="Q105" s="18">
        <v>1.76E-4</v>
      </c>
      <c r="R105" s="18">
        <v>1.46E-4</v>
      </c>
      <c r="S105" s="18">
        <v>1.42E-4</v>
      </c>
      <c r="T105" s="18">
        <v>2.87E-5</v>
      </c>
      <c r="U105" s="18">
        <v>6.2E-5</v>
      </c>
      <c r="V105" s="18">
        <v>3.28E-4</v>
      </c>
      <c r="W105" s="18">
        <v>2.9E-4</v>
      </c>
      <c r="X105" s="18">
        <v>4.93E-5</v>
      </c>
      <c r="Y105" s="18">
        <v>2.46E-4</v>
      </c>
      <c r="Z105" s="18">
        <v>2.18E-4</v>
      </c>
      <c r="AA105" s="18">
        <v>3.68E-4</v>
      </c>
      <c r="AB105" s="18">
        <v>0.003079</v>
      </c>
      <c r="AC105" s="18">
        <v>0.005504</v>
      </c>
      <c r="AD105" s="18">
        <v>0.003118</v>
      </c>
      <c r="AE105" s="18">
        <v>3.03E-4</v>
      </c>
      <c r="AF105" s="18">
        <v>0.0</v>
      </c>
      <c r="AG105" s="18">
        <v>0.0</v>
      </c>
      <c r="AH105" s="18">
        <v>0.0</v>
      </c>
      <c r="AI105" s="18">
        <v>3.39E-5</v>
      </c>
      <c r="AJ105" s="19">
        <v>3.52E-5</v>
      </c>
      <c r="AK105" s="18">
        <v>0.0</v>
      </c>
      <c r="AL105" s="18">
        <v>0.0</v>
      </c>
      <c r="AM105" s="18">
        <v>0.0</v>
      </c>
      <c r="AN105" s="18">
        <v>0.0</v>
      </c>
      <c r="AO105" s="2">
        <v>0.0</v>
      </c>
      <c r="AP105" s="20">
        <v>0.0</v>
      </c>
      <c r="AQ105" s="20">
        <v>0.0</v>
      </c>
      <c r="AR105" s="20">
        <v>0.0</v>
      </c>
      <c r="AS105" s="20">
        <v>0.0</v>
      </c>
      <c r="AT105" s="2">
        <f>AVERAGE(L105:AJ105)</f>
        <v>0.000719364</v>
      </c>
      <c r="AU105" s="12">
        <f t="shared" si="3"/>
        <v>0.0008174590909</v>
      </c>
      <c r="AV105" s="14"/>
      <c r="AW105" s="15"/>
      <c r="AX105" s="15"/>
    </row>
    <row r="106" ht="15.75" customHeight="1">
      <c r="A106" s="7">
        <v>231219.0</v>
      </c>
      <c r="B106" s="7">
        <v>72.0</v>
      </c>
      <c r="C106" s="7">
        <v>3.0</v>
      </c>
      <c r="D106" s="8" t="s">
        <v>116</v>
      </c>
      <c r="E106" s="7">
        <v>7.0</v>
      </c>
      <c r="F106" s="8" t="s">
        <v>48</v>
      </c>
      <c r="G106" s="8" t="s">
        <v>67</v>
      </c>
      <c r="H106" s="8" t="s">
        <v>83</v>
      </c>
      <c r="I106" s="8" t="s">
        <v>146</v>
      </c>
      <c r="J106" s="8" t="s">
        <v>52</v>
      </c>
      <c r="K106" s="11" t="s">
        <v>76</v>
      </c>
      <c r="L106" s="18">
        <v>9.85E-4</v>
      </c>
      <c r="M106" s="18">
        <v>0.001288</v>
      </c>
      <c r="N106" s="18">
        <v>0.00128</v>
      </c>
      <c r="O106" s="18">
        <v>5.54E-4</v>
      </c>
      <c r="P106" s="18">
        <v>0.0</v>
      </c>
      <c r="Q106" s="18">
        <v>3.92E-5</v>
      </c>
      <c r="R106" s="18">
        <v>9.46E-5</v>
      </c>
      <c r="S106" s="18">
        <v>2.02E-4</v>
      </c>
      <c r="T106" s="18">
        <v>0.001024</v>
      </c>
      <c r="U106" s="18">
        <v>0.001068</v>
      </c>
      <c r="V106" s="18">
        <v>1.57E-4</v>
      </c>
      <c r="W106" s="18">
        <v>1.04E-4</v>
      </c>
      <c r="X106" s="18">
        <v>4.45E-5</v>
      </c>
      <c r="Y106" s="18">
        <v>0.0</v>
      </c>
      <c r="Z106" s="18">
        <v>0.0</v>
      </c>
      <c r="AA106" s="18">
        <v>0.0</v>
      </c>
      <c r="AB106" s="18">
        <v>8.3E-6</v>
      </c>
      <c r="AC106" s="19">
        <v>8.0E-6</v>
      </c>
      <c r="AD106" s="18">
        <v>0.0</v>
      </c>
      <c r="AE106" s="18">
        <v>0.0</v>
      </c>
      <c r="AF106" s="18">
        <v>0.0</v>
      </c>
      <c r="AG106" s="18">
        <v>0.0</v>
      </c>
      <c r="AH106" s="18">
        <v>0.0</v>
      </c>
      <c r="AI106" s="18">
        <v>0.0</v>
      </c>
      <c r="AJ106" s="18">
        <v>0.0</v>
      </c>
      <c r="AK106" s="18">
        <v>0.0</v>
      </c>
      <c r="AL106" s="18">
        <v>0.0</v>
      </c>
      <c r="AM106" s="18">
        <v>0.0</v>
      </c>
      <c r="AN106" s="18">
        <v>0.0</v>
      </c>
      <c r="AO106" s="18">
        <v>0.0</v>
      </c>
      <c r="AP106" s="20">
        <v>0.0</v>
      </c>
      <c r="AQ106" s="20">
        <v>0.0</v>
      </c>
      <c r="AR106" s="20">
        <v>0.0</v>
      </c>
      <c r="AS106" s="20">
        <v>0.0</v>
      </c>
      <c r="AT106" s="2">
        <f>AVERAGE(L106:AC106)</f>
        <v>0.0003809222222</v>
      </c>
      <c r="AU106" s="12">
        <f t="shared" si="3"/>
        <v>0.0004897571429</v>
      </c>
      <c r="AV106" s="14"/>
      <c r="AW106" s="15"/>
      <c r="AX106" s="15"/>
    </row>
    <row r="107" ht="15.75" customHeight="1">
      <c r="A107" s="7">
        <v>231219.0</v>
      </c>
      <c r="B107" s="7">
        <v>72.0</v>
      </c>
      <c r="C107" s="7">
        <v>3.0</v>
      </c>
      <c r="D107" s="8" t="s">
        <v>117</v>
      </c>
      <c r="E107" s="7">
        <v>7.0</v>
      </c>
      <c r="F107" s="8" t="s">
        <v>56</v>
      </c>
      <c r="G107" s="8" t="s">
        <v>49</v>
      </c>
      <c r="H107" s="8" t="s">
        <v>50</v>
      </c>
      <c r="I107" s="8" t="s">
        <v>146</v>
      </c>
      <c r="J107" s="8" t="s">
        <v>52</v>
      </c>
      <c r="K107" s="11" t="s">
        <v>118</v>
      </c>
      <c r="L107" s="18">
        <v>2.25E-4</v>
      </c>
      <c r="M107" s="18">
        <v>0.0013</v>
      </c>
      <c r="N107" s="18">
        <v>0.001812</v>
      </c>
      <c r="O107" s="18">
        <v>0.001281</v>
      </c>
      <c r="P107" s="18">
        <v>8.62E-4</v>
      </c>
      <c r="Q107" s="18">
        <v>9.78E-4</v>
      </c>
      <c r="R107" s="18">
        <v>5.08E-4</v>
      </c>
      <c r="S107" s="18">
        <v>6.69E-5</v>
      </c>
      <c r="T107" s="18">
        <v>3.2E-5</v>
      </c>
      <c r="U107" s="18">
        <v>2.07E-4</v>
      </c>
      <c r="V107" s="18">
        <v>1.97E-4</v>
      </c>
      <c r="W107" s="18">
        <v>2.37E-4</v>
      </c>
      <c r="X107" s="18">
        <v>3.95E-4</v>
      </c>
      <c r="Y107" s="18">
        <v>2.36E-4</v>
      </c>
      <c r="Z107" s="18">
        <v>1.99E-4</v>
      </c>
      <c r="AA107" s="18">
        <v>1.16E-4</v>
      </c>
      <c r="AB107" s="18">
        <v>0.0</v>
      </c>
      <c r="AC107" s="18">
        <v>0.0</v>
      </c>
      <c r="AD107" s="18">
        <v>0.0</v>
      </c>
      <c r="AE107" s="18">
        <v>0.0</v>
      </c>
      <c r="AF107" s="18">
        <v>0.0</v>
      </c>
      <c r="AG107" s="18">
        <v>0.0</v>
      </c>
      <c r="AH107" s="18">
        <v>0.0</v>
      </c>
      <c r="AI107" s="18">
        <v>0.0</v>
      </c>
      <c r="AJ107" s="18">
        <v>6.52E-5</v>
      </c>
      <c r="AK107" s="18">
        <v>8.74E-5</v>
      </c>
      <c r="AL107" s="18">
        <v>2.39E-5</v>
      </c>
      <c r="AM107" s="18">
        <v>1.64E-4</v>
      </c>
      <c r="AN107" s="18">
        <v>0.00117</v>
      </c>
      <c r="AO107" s="19">
        <v>0.004309</v>
      </c>
      <c r="AP107" s="20">
        <v>0.0</v>
      </c>
      <c r="AQ107" s="20">
        <v>0.0</v>
      </c>
      <c r="AR107" s="20">
        <v>0.0</v>
      </c>
      <c r="AS107" s="20">
        <v>0.0</v>
      </c>
      <c r="AT107" s="2">
        <f>AVERAGE(L107:AO107)</f>
        <v>0.00048238</v>
      </c>
      <c r="AU107" s="12">
        <f t="shared" si="3"/>
        <v>0.0006577909091</v>
      </c>
      <c r="AV107" s="14"/>
      <c r="AW107" s="15"/>
      <c r="AX107" s="15"/>
    </row>
    <row r="108" ht="15.75" customHeight="1">
      <c r="A108" s="7">
        <v>231219.0</v>
      </c>
      <c r="B108" s="7">
        <v>72.0</v>
      </c>
      <c r="C108" s="7">
        <v>3.0</v>
      </c>
      <c r="D108" s="8" t="s">
        <v>119</v>
      </c>
      <c r="E108" s="7">
        <v>7.0</v>
      </c>
      <c r="F108" s="8" t="s">
        <v>56</v>
      </c>
      <c r="G108" s="8" t="s">
        <v>49</v>
      </c>
      <c r="H108" s="8" t="s">
        <v>65</v>
      </c>
      <c r="I108" s="8" t="s">
        <v>146</v>
      </c>
      <c r="J108" s="8" t="s">
        <v>52</v>
      </c>
      <c r="K108" s="11" t="s">
        <v>118</v>
      </c>
      <c r="L108" s="18">
        <v>0.002817</v>
      </c>
      <c r="M108" s="18">
        <v>9.27E-4</v>
      </c>
      <c r="N108" s="18">
        <v>1.35E-4</v>
      </c>
      <c r="O108" s="18">
        <v>2.6E-4</v>
      </c>
      <c r="P108" s="18">
        <v>5.97E-4</v>
      </c>
      <c r="Q108" s="18">
        <v>8.07E-4</v>
      </c>
      <c r="R108" s="18">
        <v>7.03E-4</v>
      </c>
      <c r="S108" s="18">
        <v>9.72E-4</v>
      </c>
      <c r="T108" s="18">
        <v>6.94E-4</v>
      </c>
      <c r="U108" s="18">
        <v>2.47E-4</v>
      </c>
      <c r="V108" s="18">
        <v>3.58E-4</v>
      </c>
      <c r="W108" s="18">
        <v>3.18E-4</v>
      </c>
      <c r="X108" s="18">
        <v>1.64E-4</v>
      </c>
      <c r="Y108" s="18">
        <v>0.0</v>
      </c>
      <c r="Z108" s="18">
        <v>0.0</v>
      </c>
      <c r="AA108" s="18">
        <v>0.0</v>
      </c>
      <c r="AB108" s="18">
        <v>0.0</v>
      </c>
      <c r="AC108" s="18">
        <v>0.0</v>
      </c>
      <c r="AD108" s="18">
        <v>0.0</v>
      </c>
      <c r="AE108" s="18">
        <v>0.0</v>
      </c>
      <c r="AF108" s="18">
        <v>0.0</v>
      </c>
      <c r="AG108" s="18">
        <v>0.0</v>
      </c>
      <c r="AH108" s="18">
        <v>0.0</v>
      </c>
      <c r="AI108" s="18">
        <v>0.0</v>
      </c>
      <c r="AJ108" s="18">
        <v>0.0</v>
      </c>
      <c r="AK108" s="18">
        <v>2.58E-4</v>
      </c>
      <c r="AL108" s="18">
        <v>0.002578</v>
      </c>
      <c r="AM108" s="18">
        <v>0.009975</v>
      </c>
      <c r="AN108" s="19">
        <v>0.024944</v>
      </c>
      <c r="AO108" s="2">
        <v>0.0</v>
      </c>
      <c r="AP108" s="20">
        <v>0.0</v>
      </c>
      <c r="AQ108" s="20">
        <v>0.0</v>
      </c>
      <c r="AR108" s="20">
        <v>0.0</v>
      </c>
      <c r="AS108" s="20">
        <v>0.0</v>
      </c>
      <c r="AT108" s="2">
        <f>AVERAGE(L108:AN108)</f>
        <v>0.001612206897</v>
      </c>
      <c r="AU108" s="12">
        <f t="shared" si="3"/>
        <v>0.002750235294</v>
      </c>
      <c r="AV108" s="14"/>
      <c r="AW108" s="15"/>
      <c r="AX108" s="15"/>
    </row>
    <row r="109" ht="15.75" customHeight="1">
      <c r="A109" s="7">
        <v>231219.0</v>
      </c>
      <c r="B109" s="7">
        <v>72.0</v>
      </c>
      <c r="C109" s="7">
        <v>3.0</v>
      </c>
      <c r="D109" s="8" t="s">
        <v>120</v>
      </c>
      <c r="E109" s="7">
        <v>7.0</v>
      </c>
      <c r="F109" s="8" t="s">
        <v>56</v>
      </c>
      <c r="G109" s="8" t="s">
        <v>49</v>
      </c>
      <c r="H109" s="8" t="s">
        <v>63</v>
      </c>
      <c r="I109" s="8" t="s">
        <v>146</v>
      </c>
      <c r="J109" s="8" t="s">
        <v>52</v>
      </c>
      <c r="K109" s="11" t="s">
        <v>118</v>
      </c>
      <c r="L109" s="18">
        <v>0.0</v>
      </c>
      <c r="M109" s="18">
        <v>2.13E-4</v>
      </c>
      <c r="N109" s="18">
        <v>3.59E-4</v>
      </c>
      <c r="O109" s="18">
        <v>3.69E-4</v>
      </c>
      <c r="P109" s="18">
        <v>0.001247</v>
      </c>
      <c r="Q109" s="18">
        <v>0.001732</v>
      </c>
      <c r="R109" s="18">
        <v>0.001078</v>
      </c>
      <c r="S109" s="18">
        <v>4.14E-4</v>
      </c>
      <c r="T109" s="18">
        <v>3.06E-4</v>
      </c>
      <c r="U109" s="18">
        <v>3.12E-4</v>
      </c>
      <c r="V109" s="18">
        <v>4.79E-5</v>
      </c>
      <c r="W109" s="18">
        <v>6.3E-6</v>
      </c>
      <c r="X109" s="18">
        <v>0.0</v>
      </c>
      <c r="Y109" s="18">
        <v>0.0</v>
      </c>
      <c r="Z109" s="18">
        <v>0.0</v>
      </c>
      <c r="AA109" s="18">
        <v>0.0</v>
      </c>
      <c r="AB109" s="18">
        <v>0.0</v>
      </c>
      <c r="AC109" s="18">
        <v>7.38E-4</v>
      </c>
      <c r="AD109" s="18">
        <v>7.33E-4</v>
      </c>
      <c r="AE109" s="18">
        <v>0.0</v>
      </c>
      <c r="AF109" s="18">
        <v>9.99E-5</v>
      </c>
      <c r="AG109" s="18">
        <v>2.53E-4</v>
      </c>
      <c r="AH109" s="18">
        <v>2.37E-4</v>
      </c>
      <c r="AI109" s="18">
        <v>9.6E-5</v>
      </c>
      <c r="AJ109" s="18">
        <v>2.86E-4</v>
      </c>
      <c r="AK109" s="18">
        <v>9.56E-4</v>
      </c>
      <c r="AL109" s="19">
        <v>0.001957</v>
      </c>
      <c r="AM109" s="2">
        <v>0.0</v>
      </c>
      <c r="AN109" s="2">
        <v>0.0</v>
      </c>
      <c r="AO109" s="2">
        <v>0.0</v>
      </c>
      <c r="AP109" s="20">
        <v>0.0</v>
      </c>
      <c r="AQ109" s="20">
        <v>0.0</v>
      </c>
      <c r="AR109" s="20">
        <v>0.0</v>
      </c>
      <c r="AS109" s="20">
        <v>0.0</v>
      </c>
      <c r="AT109" s="2">
        <f>AVERAGE(L109:AL109)</f>
        <v>0.0004237074074</v>
      </c>
      <c r="AU109" s="12">
        <f t="shared" si="3"/>
        <v>0.000572005</v>
      </c>
      <c r="AV109" s="14"/>
      <c r="AW109" s="15"/>
      <c r="AX109" s="15"/>
    </row>
    <row r="110" ht="15.75" customHeight="1">
      <c r="A110" s="7">
        <v>231220.0</v>
      </c>
      <c r="B110" s="7">
        <v>72.0</v>
      </c>
      <c r="C110" s="7">
        <v>3.0</v>
      </c>
      <c r="D110" s="8" t="s">
        <v>121</v>
      </c>
      <c r="E110" s="7">
        <v>7.0</v>
      </c>
      <c r="F110" s="8" t="s">
        <v>56</v>
      </c>
      <c r="G110" s="8" t="s">
        <v>67</v>
      </c>
      <c r="H110" s="8" t="s">
        <v>50</v>
      </c>
      <c r="I110" s="8" t="s">
        <v>146</v>
      </c>
      <c r="J110" s="8" t="s">
        <v>52</v>
      </c>
      <c r="K110" s="11" t="s">
        <v>118</v>
      </c>
      <c r="L110" s="18">
        <v>0.0</v>
      </c>
      <c r="M110" s="18">
        <v>0.0</v>
      </c>
      <c r="N110" s="18">
        <v>2.01E-4</v>
      </c>
      <c r="O110" s="18">
        <v>7.06E-4</v>
      </c>
      <c r="P110" s="18">
        <v>0.001389</v>
      </c>
      <c r="Q110" s="18">
        <v>0.001205</v>
      </c>
      <c r="R110" s="18">
        <v>5.17E-4</v>
      </c>
      <c r="S110" s="18">
        <v>5.54E-4</v>
      </c>
      <c r="T110" s="18">
        <v>6.93E-4</v>
      </c>
      <c r="U110" s="18">
        <v>5.24E-4</v>
      </c>
      <c r="V110" s="18">
        <v>3.79E-4</v>
      </c>
      <c r="W110" s="18">
        <v>2.51E-4</v>
      </c>
      <c r="X110" s="18">
        <v>3.71E-5</v>
      </c>
      <c r="Y110" s="18">
        <v>0.0</v>
      </c>
      <c r="Z110" s="18">
        <v>4.86E-5</v>
      </c>
      <c r="AA110" s="18">
        <v>4.75E-5</v>
      </c>
      <c r="AB110" s="18">
        <v>0.0</v>
      </c>
      <c r="AC110" s="18">
        <v>0.0</v>
      </c>
      <c r="AD110" s="18">
        <v>0.0</v>
      </c>
      <c r="AE110" s="18">
        <v>0.0</v>
      </c>
      <c r="AF110" s="18">
        <v>0.0</v>
      </c>
      <c r="AG110" s="18">
        <v>1.4E-5</v>
      </c>
      <c r="AH110" s="18">
        <v>2.45E-5</v>
      </c>
      <c r="AI110" s="18">
        <v>1.07E-5</v>
      </c>
      <c r="AJ110" s="18">
        <v>1.93E-4</v>
      </c>
      <c r="AK110" s="18">
        <v>0.001266</v>
      </c>
      <c r="AL110" s="18">
        <v>0.003233</v>
      </c>
      <c r="AM110" s="19">
        <v>0.005532</v>
      </c>
      <c r="AN110" s="18">
        <v>0.0</v>
      </c>
      <c r="AO110" s="2">
        <v>0.0</v>
      </c>
      <c r="AP110" s="20">
        <v>0.0</v>
      </c>
      <c r="AQ110" s="20">
        <v>0.0</v>
      </c>
      <c r="AR110" s="20">
        <v>0.0</v>
      </c>
      <c r="AS110" s="20">
        <v>0.0</v>
      </c>
      <c r="AT110" s="2">
        <f>AVERAGE(L110:AM110)</f>
        <v>0.0006009071429</v>
      </c>
      <c r="AU110" s="12">
        <f t="shared" si="3"/>
        <v>0.00084127</v>
      </c>
      <c r="AV110" s="14"/>
      <c r="AW110" s="15"/>
      <c r="AX110" s="15"/>
    </row>
    <row r="111" ht="15.75" customHeight="1">
      <c r="A111" s="7">
        <v>231220.0</v>
      </c>
      <c r="B111" s="7">
        <v>72.0</v>
      </c>
      <c r="C111" s="7">
        <v>3.0</v>
      </c>
      <c r="D111" s="8" t="s">
        <v>122</v>
      </c>
      <c r="E111" s="7">
        <v>7.0</v>
      </c>
      <c r="F111" s="8" t="s">
        <v>56</v>
      </c>
      <c r="G111" s="8" t="s">
        <v>67</v>
      </c>
      <c r="H111" s="8" t="s">
        <v>65</v>
      </c>
      <c r="I111" s="8" t="s">
        <v>146</v>
      </c>
      <c r="J111" s="8" t="s">
        <v>52</v>
      </c>
      <c r="K111" s="11" t="s">
        <v>118</v>
      </c>
      <c r="L111" s="18">
        <v>0.0</v>
      </c>
      <c r="M111" s="18">
        <v>2.83E-4</v>
      </c>
      <c r="N111" s="18">
        <v>7.31E-4</v>
      </c>
      <c r="O111" s="18">
        <v>8.67E-4</v>
      </c>
      <c r="P111" s="18">
        <v>4.81E-4</v>
      </c>
      <c r="Q111" s="18">
        <v>3.68E-4</v>
      </c>
      <c r="R111" s="18">
        <v>6.41E-4</v>
      </c>
      <c r="S111" s="18">
        <v>4.44E-4</v>
      </c>
      <c r="T111" s="18">
        <v>5.81E-5</v>
      </c>
      <c r="U111" s="18">
        <v>3.5E-4</v>
      </c>
      <c r="V111" s="18">
        <v>5.98E-4</v>
      </c>
      <c r="W111" s="18">
        <v>4.09E-4</v>
      </c>
      <c r="X111" s="19">
        <v>1.61E-4</v>
      </c>
      <c r="Y111" s="18">
        <v>0.0</v>
      </c>
      <c r="Z111" s="18">
        <v>0.0</v>
      </c>
      <c r="AA111" s="18">
        <v>0.0</v>
      </c>
      <c r="AB111" s="18">
        <v>0.0</v>
      </c>
      <c r="AC111" s="18">
        <v>0.0</v>
      </c>
      <c r="AD111" s="18">
        <v>0.0</v>
      </c>
      <c r="AE111" s="18">
        <v>0.0</v>
      </c>
      <c r="AF111" s="18">
        <v>0.0</v>
      </c>
      <c r="AG111" s="18">
        <v>0.0</v>
      </c>
      <c r="AH111" s="18">
        <v>0.0</v>
      </c>
      <c r="AI111" s="18">
        <v>0.0</v>
      </c>
      <c r="AJ111" s="18">
        <v>0.0</v>
      </c>
      <c r="AK111" s="18">
        <v>0.0</v>
      </c>
      <c r="AL111" s="18">
        <v>0.0</v>
      </c>
      <c r="AM111" s="18">
        <v>0.0</v>
      </c>
      <c r="AN111" s="2">
        <v>0.0</v>
      </c>
      <c r="AO111" s="2">
        <v>0.0</v>
      </c>
      <c r="AP111" s="20">
        <v>0.0</v>
      </c>
      <c r="AQ111" s="20">
        <v>0.0</v>
      </c>
      <c r="AR111" s="20">
        <v>0.0</v>
      </c>
      <c r="AS111" s="20">
        <v>0.0</v>
      </c>
      <c r="AT111" s="2">
        <f>AVERAGE(L111:X111)</f>
        <v>0.0004147</v>
      </c>
      <c r="AU111" s="12">
        <f t="shared" si="3"/>
        <v>0.0004492583333</v>
      </c>
      <c r="AV111" s="14"/>
      <c r="AW111" s="15"/>
      <c r="AX111" s="15"/>
    </row>
    <row r="112" ht="15.75" customHeight="1">
      <c r="A112" s="7">
        <v>231220.0</v>
      </c>
      <c r="B112" s="7">
        <v>72.0</v>
      </c>
      <c r="C112" s="7">
        <v>3.0</v>
      </c>
      <c r="D112" s="8" t="s">
        <v>123</v>
      </c>
      <c r="E112" s="7">
        <v>7.0</v>
      </c>
      <c r="F112" s="8" t="s">
        <v>56</v>
      </c>
      <c r="G112" s="8" t="s">
        <v>67</v>
      </c>
      <c r="H112" s="8" t="s">
        <v>63</v>
      </c>
      <c r="I112" s="8" t="s">
        <v>146</v>
      </c>
      <c r="J112" s="8" t="s">
        <v>52</v>
      </c>
      <c r="K112" s="11" t="s">
        <v>118</v>
      </c>
      <c r="L112" s="18">
        <v>0.001584</v>
      </c>
      <c r="M112" s="18">
        <v>6.16E-4</v>
      </c>
      <c r="N112" s="18">
        <v>1.2E-4</v>
      </c>
      <c r="O112" s="18">
        <v>0.0</v>
      </c>
      <c r="P112" s="18">
        <v>0.0</v>
      </c>
      <c r="Q112" s="18">
        <v>3.61E-5</v>
      </c>
      <c r="R112" s="18">
        <v>1.12E-4</v>
      </c>
      <c r="S112" s="18">
        <v>2.51E-4</v>
      </c>
      <c r="T112" s="21">
        <v>2.06E-4</v>
      </c>
      <c r="U112" s="18">
        <v>0.0</v>
      </c>
      <c r="V112" s="18">
        <v>0.0</v>
      </c>
      <c r="W112" s="18">
        <v>0.0</v>
      </c>
      <c r="X112" s="18">
        <v>0.0</v>
      </c>
      <c r="Y112" s="18">
        <v>0.0</v>
      </c>
      <c r="Z112" s="18">
        <v>3.89E-5</v>
      </c>
      <c r="AA112" s="18">
        <v>1.67E-4</v>
      </c>
      <c r="AB112" s="18">
        <v>1.48E-4</v>
      </c>
      <c r="AC112" s="18">
        <v>2.04E-5</v>
      </c>
      <c r="AD112" s="18">
        <v>5.0E-6</v>
      </c>
      <c r="AE112" s="19">
        <v>5.0E-6</v>
      </c>
      <c r="AF112" s="18">
        <v>0.0</v>
      </c>
      <c r="AG112" s="18">
        <v>0.0</v>
      </c>
      <c r="AH112" s="18">
        <v>0.0</v>
      </c>
      <c r="AI112" s="18">
        <v>0.0</v>
      </c>
      <c r="AJ112" s="18">
        <v>0.0</v>
      </c>
      <c r="AK112" s="18">
        <v>0.0</v>
      </c>
      <c r="AL112" s="18">
        <v>4.33E-4</v>
      </c>
      <c r="AM112" s="19">
        <v>0.00113</v>
      </c>
      <c r="AN112" s="18">
        <v>0.0</v>
      </c>
      <c r="AO112" s="2">
        <v>0.0</v>
      </c>
      <c r="AP112" s="20">
        <v>0.0</v>
      </c>
      <c r="AQ112" s="20">
        <v>0.0</v>
      </c>
      <c r="AR112" s="20">
        <v>0.0</v>
      </c>
      <c r="AS112" s="20">
        <v>0.0</v>
      </c>
      <c r="AT112" s="2">
        <f>AVERAGE(L112:AM112)</f>
        <v>0.0001740142857</v>
      </c>
      <c r="AU112" s="12">
        <f t="shared" si="3"/>
        <v>0.0003248266667</v>
      </c>
      <c r="AV112" s="14"/>
      <c r="AW112" s="15"/>
      <c r="AX112" s="15"/>
    </row>
    <row r="113" ht="15.75" customHeight="1">
      <c r="A113" s="7">
        <v>231220.0</v>
      </c>
      <c r="B113" s="7">
        <v>72.0</v>
      </c>
      <c r="C113" s="7">
        <v>3.0</v>
      </c>
      <c r="D113" s="8" t="s">
        <v>124</v>
      </c>
      <c r="E113" s="7">
        <v>7.0</v>
      </c>
      <c r="F113" s="8" t="s">
        <v>48</v>
      </c>
      <c r="G113" s="8" t="s">
        <v>49</v>
      </c>
      <c r="H113" s="8" t="s">
        <v>83</v>
      </c>
      <c r="I113" s="8" t="s">
        <v>146</v>
      </c>
      <c r="J113" s="8" t="s">
        <v>52</v>
      </c>
      <c r="K113" s="11" t="s">
        <v>125</v>
      </c>
      <c r="L113" s="18">
        <v>0.0</v>
      </c>
      <c r="M113" s="18">
        <v>0.0</v>
      </c>
      <c r="N113" s="18">
        <v>1.65E-4</v>
      </c>
      <c r="O113" s="18">
        <v>4.36E-4</v>
      </c>
      <c r="P113" s="18">
        <v>4.83E-4</v>
      </c>
      <c r="Q113" s="18">
        <v>2.69E-4</v>
      </c>
      <c r="R113" s="18">
        <v>7.84E-5</v>
      </c>
      <c r="S113" s="18">
        <v>1.95E-5</v>
      </c>
      <c r="T113" s="18">
        <v>7.38E-5</v>
      </c>
      <c r="U113" s="18">
        <v>8.82E-5</v>
      </c>
      <c r="V113" s="18">
        <v>1.62E-5</v>
      </c>
      <c r="W113" s="18">
        <v>0.0</v>
      </c>
      <c r="X113" s="18">
        <v>1.95E-4</v>
      </c>
      <c r="Y113" s="18">
        <v>2.27E-4</v>
      </c>
      <c r="Z113" s="19">
        <v>3.28E-5</v>
      </c>
      <c r="AA113" s="18">
        <v>0.0</v>
      </c>
      <c r="AB113" s="18">
        <v>0.0</v>
      </c>
      <c r="AC113" s="18">
        <v>0.0</v>
      </c>
      <c r="AD113" s="18">
        <v>0.0</v>
      </c>
      <c r="AE113" s="18">
        <v>0.0</v>
      </c>
      <c r="AF113" s="18">
        <v>0.0</v>
      </c>
      <c r="AG113" s="18">
        <v>0.0</v>
      </c>
      <c r="AH113" s="18">
        <v>0.0</v>
      </c>
      <c r="AI113" s="18">
        <v>0.0</v>
      </c>
      <c r="AJ113" s="18">
        <v>0.0</v>
      </c>
      <c r="AK113" s="2">
        <v>0.0</v>
      </c>
      <c r="AL113" s="2">
        <v>0.0</v>
      </c>
      <c r="AM113" s="2">
        <v>0.0</v>
      </c>
      <c r="AN113" s="2">
        <v>0.0</v>
      </c>
      <c r="AO113" s="2">
        <v>0.0</v>
      </c>
      <c r="AP113" s="20">
        <v>0.0</v>
      </c>
      <c r="AQ113" s="20">
        <v>0.0</v>
      </c>
      <c r="AR113" s="20">
        <v>0.0</v>
      </c>
      <c r="AS113" s="20">
        <v>0.0</v>
      </c>
      <c r="AT113" s="2">
        <f>AVERAGE(L113:Z113)</f>
        <v>0.0001389266667</v>
      </c>
      <c r="AU113" s="12">
        <f t="shared" si="3"/>
        <v>0.0001736583333</v>
      </c>
      <c r="AV113" s="14"/>
      <c r="AW113" s="15"/>
      <c r="AX113" s="15"/>
    </row>
    <row r="114" ht="15.75" customHeight="1">
      <c r="A114" s="7">
        <v>231220.0</v>
      </c>
      <c r="B114" s="7">
        <v>72.0</v>
      </c>
      <c r="C114" s="7">
        <v>3.0</v>
      </c>
      <c r="D114" s="8" t="s">
        <v>126</v>
      </c>
      <c r="E114" s="7">
        <v>7.0</v>
      </c>
      <c r="F114" s="8" t="s">
        <v>48</v>
      </c>
      <c r="G114" s="8" t="s">
        <v>49</v>
      </c>
      <c r="H114" s="8" t="s">
        <v>83</v>
      </c>
      <c r="I114" s="8" t="s">
        <v>146</v>
      </c>
      <c r="J114" s="8" t="s">
        <v>52</v>
      </c>
      <c r="K114" s="11" t="s">
        <v>125</v>
      </c>
      <c r="L114" s="18">
        <v>0.0</v>
      </c>
      <c r="M114" s="18">
        <v>1.1E-4</v>
      </c>
      <c r="N114" s="18">
        <v>1.45E-4</v>
      </c>
      <c r="O114" s="18">
        <v>1.01E-4</v>
      </c>
      <c r="P114" s="18">
        <v>3.39E-5</v>
      </c>
      <c r="Q114" s="18">
        <v>3.03E-4</v>
      </c>
      <c r="R114" s="18">
        <v>3.07E-4</v>
      </c>
      <c r="S114" s="18">
        <v>0.0</v>
      </c>
      <c r="T114" s="18">
        <v>0.0</v>
      </c>
      <c r="U114" s="18">
        <v>0.0</v>
      </c>
      <c r="V114" s="18">
        <v>0.0</v>
      </c>
      <c r="W114" s="18">
        <v>0.0</v>
      </c>
      <c r="X114" s="18">
        <v>0.0</v>
      </c>
      <c r="Y114" s="18">
        <v>0.0</v>
      </c>
      <c r="Z114" s="18">
        <v>2.6E-5</v>
      </c>
      <c r="AA114" s="18">
        <v>2.52E-5</v>
      </c>
      <c r="AB114" s="18">
        <v>0.0</v>
      </c>
      <c r="AC114" s="18">
        <v>0.0</v>
      </c>
      <c r="AD114" s="18">
        <v>0.0</v>
      </c>
      <c r="AE114" s="18">
        <v>0.0</v>
      </c>
      <c r="AF114" s="18">
        <v>0.0</v>
      </c>
      <c r="AG114" s="18">
        <v>0.0</v>
      </c>
      <c r="AH114" s="18">
        <v>0.0</v>
      </c>
      <c r="AI114" s="18">
        <v>8.3E-5</v>
      </c>
      <c r="AJ114" s="18">
        <v>6.0E-4</v>
      </c>
      <c r="AK114" s="18">
        <v>0.001005</v>
      </c>
      <c r="AL114" s="18">
        <v>0.003642</v>
      </c>
      <c r="AM114" s="18">
        <v>0.008295</v>
      </c>
      <c r="AN114" s="19">
        <v>0.005903</v>
      </c>
      <c r="AO114" s="18">
        <v>0.0</v>
      </c>
      <c r="AP114" s="20">
        <v>0.0</v>
      </c>
      <c r="AQ114" s="20">
        <v>0.0</v>
      </c>
      <c r="AR114" s="20">
        <v>0.0</v>
      </c>
      <c r="AS114" s="20">
        <v>0.0</v>
      </c>
      <c r="AT114" s="2">
        <f>AVERAGE(L114:AN114)</f>
        <v>0.0007096241379</v>
      </c>
      <c r="AU114" s="12">
        <f t="shared" si="3"/>
        <v>0.001469935714</v>
      </c>
      <c r="AV114" s="14"/>
      <c r="AW114" s="15"/>
      <c r="AX114" s="15"/>
    </row>
    <row r="115" ht="15.75" customHeight="1">
      <c r="A115" s="7">
        <v>231220.0</v>
      </c>
      <c r="B115" s="7">
        <v>72.0</v>
      </c>
      <c r="C115" s="7">
        <v>3.0</v>
      </c>
      <c r="D115" s="8" t="s">
        <v>127</v>
      </c>
      <c r="E115" s="7">
        <v>7.0</v>
      </c>
      <c r="F115" s="8" t="s">
        <v>48</v>
      </c>
      <c r="G115" s="8" t="s">
        <v>49</v>
      </c>
      <c r="H115" s="8" t="s">
        <v>83</v>
      </c>
      <c r="I115" s="8" t="s">
        <v>146</v>
      </c>
      <c r="J115" s="8" t="s">
        <v>52</v>
      </c>
      <c r="K115" s="11" t="s">
        <v>125</v>
      </c>
      <c r="L115" s="18">
        <v>4.2E-4</v>
      </c>
      <c r="M115" s="18">
        <v>0.001563</v>
      </c>
      <c r="N115" s="18">
        <v>0.001161</v>
      </c>
      <c r="O115" s="18">
        <v>1.87E-4</v>
      </c>
      <c r="P115" s="18">
        <v>1.15E-4</v>
      </c>
      <c r="Q115" s="18">
        <v>1.13E-4</v>
      </c>
      <c r="R115" s="18">
        <v>4.16E-5</v>
      </c>
      <c r="S115" s="18">
        <v>4.12E-5</v>
      </c>
      <c r="T115" s="18">
        <v>0.0</v>
      </c>
      <c r="U115" s="18">
        <v>0.0</v>
      </c>
      <c r="V115" s="18">
        <v>0.0</v>
      </c>
      <c r="W115" s="18">
        <v>0.0</v>
      </c>
      <c r="X115" s="18">
        <v>0.0</v>
      </c>
      <c r="Y115" s="18">
        <v>0.0</v>
      </c>
      <c r="Z115" s="18">
        <v>0.0</v>
      </c>
      <c r="AA115" s="18">
        <v>0.0</v>
      </c>
      <c r="AB115" s="18">
        <v>0.0</v>
      </c>
      <c r="AC115" s="18">
        <v>0.0</v>
      </c>
      <c r="AD115" s="18">
        <v>0.0</v>
      </c>
      <c r="AE115" s="18">
        <v>0.0</v>
      </c>
      <c r="AF115" s="18">
        <v>0.0</v>
      </c>
      <c r="AG115" s="18">
        <v>0.0</v>
      </c>
      <c r="AH115" s="18">
        <v>0.0</v>
      </c>
      <c r="AI115" s="18">
        <v>0.0</v>
      </c>
      <c r="AJ115" s="18">
        <v>0.0</v>
      </c>
      <c r="AK115" s="18">
        <v>0.0</v>
      </c>
      <c r="AL115" s="18">
        <v>0.0</v>
      </c>
      <c r="AM115" s="18">
        <v>0.001293</v>
      </c>
      <c r="AN115" s="18">
        <v>0.003075</v>
      </c>
      <c r="AO115" s="19">
        <v>0.001259</v>
      </c>
      <c r="AP115" s="20">
        <v>0.0</v>
      </c>
      <c r="AQ115" s="20">
        <v>0.0</v>
      </c>
      <c r="AR115" s="20">
        <v>0.0</v>
      </c>
      <c r="AS115" s="20">
        <v>0.0</v>
      </c>
      <c r="AT115" s="2">
        <f>AVERAGE(L115:AO115)</f>
        <v>0.00030896</v>
      </c>
      <c r="AU115" s="12">
        <f t="shared" si="3"/>
        <v>0.0008426181818</v>
      </c>
      <c r="AV115" s="14"/>
      <c r="AW115" s="15"/>
      <c r="AX115" s="15"/>
    </row>
    <row r="116" ht="15.75" customHeight="1">
      <c r="A116" s="7">
        <v>231220.0</v>
      </c>
      <c r="B116" s="7">
        <v>72.0</v>
      </c>
      <c r="C116" s="7">
        <v>3.0</v>
      </c>
      <c r="D116" s="8" t="s">
        <v>128</v>
      </c>
      <c r="E116" s="7">
        <v>7.0</v>
      </c>
      <c r="F116" s="8" t="s">
        <v>48</v>
      </c>
      <c r="G116" s="8" t="s">
        <v>49</v>
      </c>
      <c r="H116" s="8" t="s">
        <v>83</v>
      </c>
      <c r="I116" s="8" t="s">
        <v>146</v>
      </c>
      <c r="J116" s="8" t="s">
        <v>52</v>
      </c>
      <c r="K116" s="11" t="s">
        <v>125</v>
      </c>
      <c r="L116" s="18">
        <v>2.32E-4</v>
      </c>
      <c r="M116" s="18">
        <v>7.8E-5</v>
      </c>
      <c r="N116" s="18">
        <v>7.53E-4</v>
      </c>
      <c r="O116" s="18">
        <v>9.69E-4</v>
      </c>
      <c r="P116" s="18">
        <v>4.14E-4</v>
      </c>
      <c r="Q116" s="18">
        <v>3.67E-4</v>
      </c>
      <c r="R116" s="18">
        <v>3.27E-4</v>
      </c>
      <c r="S116" s="18">
        <v>2.07E-4</v>
      </c>
      <c r="T116" s="18">
        <v>1.64E-4</v>
      </c>
      <c r="U116" s="18">
        <v>1.02E-4</v>
      </c>
      <c r="V116" s="18">
        <v>6.12E-5</v>
      </c>
      <c r="W116" s="18">
        <v>0.0</v>
      </c>
      <c r="X116" s="18">
        <v>0.0</v>
      </c>
      <c r="Y116" s="18">
        <v>6.04E-5</v>
      </c>
      <c r="Z116" s="18">
        <v>6.23E-5</v>
      </c>
      <c r="AA116" s="18">
        <v>5.42E-5</v>
      </c>
      <c r="AB116" s="18">
        <v>5.34E-5</v>
      </c>
      <c r="AC116" s="18">
        <v>0.0</v>
      </c>
      <c r="AD116" s="18">
        <v>0.0</v>
      </c>
      <c r="AE116" s="18">
        <v>0.0</v>
      </c>
      <c r="AF116" s="18">
        <v>0.0</v>
      </c>
      <c r="AG116" s="18">
        <v>2.24E-4</v>
      </c>
      <c r="AH116" s="21">
        <v>2.35E-4</v>
      </c>
      <c r="AI116" s="18">
        <v>0.0</v>
      </c>
      <c r="AJ116" s="18">
        <v>0.0</v>
      </c>
      <c r="AK116" s="18">
        <v>8.3E-6</v>
      </c>
      <c r="AL116" s="18">
        <v>1.78E-4</v>
      </c>
      <c r="AM116" s="19">
        <v>0.001843</v>
      </c>
      <c r="AN116" s="2">
        <v>0.0</v>
      </c>
      <c r="AO116" s="2">
        <v>0.0</v>
      </c>
      <c r="AP116" s="20">
        <v>0.0</v>
      </c>
      <c r="AQ116" s="20">
        <v>0.0</v>
      </c>
      <c r="AR116" s="20">
        <v>0.0</v>
      </c>
      <c r="AS116" s="20">
        <v>0.0</v>
      </c>
      <c r="AT116" s="2">
        <f>AVERAGE(L116:AM116)</f>
        <v>0.0002283142857</v>
      </c>
      <c r="AU116" s="12">
        <f t="shared" si="3"/>
        <v>0.00031964</v>
      </c>
      <c r="AV116" s="14"/>
      <c r="AW116" s="15"/>
      <c r="AX116" s="15"/>
    </row>
    <row r="117" ht="15.75" customHeight="1">
      <c r="A117" s="7">
        <v>231220.0</v>
      </c>
      <c r="B117" s="7">
        <v>72.0</v>
      </c>
      <c r="C117" s="7">
        <v>4.0</v>
      </c>
      <c r="D117" s="8" t="s">
        <v>129</v>
      </c>
      <c r="E117" s="7">
        <v>7.0</v>
      </c>
      <c r="F117" s="8" t="s">
        <v>48</v>
      </c>
      <c r="G117" s="8" t="s">
        <v>67</v>
      </c>
      <c r="H117" s="8" t="s">
        <v>65</v>
      </c>
      <c r="I117" s="8" t="s">
        <v>146</v>
      </c>
      <c r="J117" s="8" t="s">
        <v>52</v>
      </c>
      <c r="K117" s="11" t="s">
        <v>125</v>
      </c>
      <c r="L117" s="18">
        <v>0.001005</v>
      </c>
      <c r="M117" s="18">
        <v>4.46E-4</v>
      </c>
      <c r="N117" s="18">
        <v>8.6E-4</v>
      </c>
      <c r="O117" s="18">
        <v>0.001532</v>
      </c>
      <c r="P117" s="18">
        <v>0.001101</v>
      </c>
      <c r="Q117" s="18">
        <v>6.16E-4</v>
      </c>
      <c r="R117" s="18">
        <v>7.78E-4</v>
      </c>
      <c r="S117" s="18">
        <v>7.59E-4</v>
      </c>
      <c r="T117" s="18">
        <v>3.72E-4</v>
      </c>
      <c r="U117" s="18">
        <v>9.28E-5</v>
      </c>
      <c r="V117" s="18">
        <v>2.47E-5</v>
      </c>
      <c r="W117" s="18">
        <v>0.0</v>
      </c>
      <c r="X117" s="18">
        <v>0.0</v>
      </c>
      <c r="Y117" s="18">
        <v>1.32E-5</v>
      </c>
      <c r="Z117" s="19">
        <v>1.32E-5</v>
      </c>
      <c r="AA117" s="18">
        <v>0.0</v>
      </c>
      <c r="AB117" s="18">
        <v>0.0</v>
      </c>
      <c r="AC117" s="18">
        <v>0.0</v>
      </c>
      <c r="AD117" s="18">
        <v>0.0</v>
      </c>
      <c r="AE117" s="18">
        <v>0.0</v>
      </c>
      <c r="AF117" s="18">
        <v>0.0</v>
      </c>
      <c r="AG117" s="18">
        <v>0.0</v>
      </c>
      <c r="AH117" s="18">
        <v>0.0</v>
      </c>
      <c r="AI117" s="18">
        <v>0.0</v>
      </c>
      <c r="AJ117" s="18">
        <v>0.0</v>
      </c>
      <c r="AK117" s="18">
        <v>0.0</v>
      </c>
      <c r="AL117" s="18">
        <v>0.0</v>
      </c>
      <c r="AM117" s="18">
        <v>0.0</v>
      </c>
      <c r="AN117" s="18">
        <v>0.0</v>
      </c>
      <c r="AO117" s="18">
        <v>0.0</v>
      </c>
      <c r="AP117" s="20">
        <v>0.0</v>
      </c>
      <c r="AQ117" s="20">
        <v>0.0</v>
      </c>
      <c r="AR117" s="20">
        <v>0.0</v>
      </c>
      <c r="AS117" s="20">
        <v>0.0</v>
      </c>
      <c r="AT117" s="2">
        <f t="shared" ref="AT117:AT118" si="11">AVERAGE(L117:Z117)</f>
        <v>0.0005075266667</v>
      </c>
      <c r="AU117" s="12">
        <f t="shared" si="3"/>
        <v>0.0005856076923</v>
      </c>
      <c r="AV117" s="14"/>
      <c r="AW117" s="15"/>
      <c r="AX117" s="15"/>
    </row>
    <row r="118" ht="15.75" customHeight="1">
      <c r="A118" s="7">
        <v>231220.0</v>
      </c>
      <c r="B118" s="7">
        <v>72.0</v>
      </c>
      <c r="C118" s="7">
        <v>4.0</v>
      </c>
      <c r="D118" s="8" t="s">
        <v>130</v>
      </c>
      <c r="E118" s="7">
        <v>7.0</v>
      </c>
      <c r="F118" s="8" t="s">
        <v>48</v>
      </c>
      <c r="G118" s="8" t="s">
        <v>67</v>
      </c>
      <c r="H118" s="8" t="s">
        <v>63</v>
      </c>
      <c r="I118" s="8" t="s">
        <v>146</v>
      </c>
      <c r="J118" s="8" t="s">
        <v>52</v>
      </c>
      <c r="K118" s="11" t="s">
        <v>125</v>
      </c>
      <c r="L118" s="18">
        <v>2.41E-4</v>
      </c>
      <c r="M118" s="18">
        <v>0.00145</v>
      </c>
      <c r="N118" s="18">
        <v>0.001878</v>
      </c>
      <c r="O118" s="18">
        <v>0.001216</v>
      </c>
      <c r="P118" s="18">
        <v>3.0E-4</v>
      </c>
      <c r="Q118" s="18">
        <v>4.89E-4</v>
      </c>
      <c r="R118" s="18">
        <v>8.58E-4</v>
      </c>
      <c r="S118" s="18">
        <v>6.88E-4</v>
      </c>
      <c r="T118" s="18">
        <v>4.62E-4</v>
      </c>
      <c r="U118" s="18">
        <v>2.51E-4</v>
      </c>
      <c r="V118" s="18">
        <v>1.19E-4</v>
      </c>
      <c r="W118" s="18">
        <v>0.0</v>
      </c>
      <c r="X118" s="18">
        <v>0.0</v>
      </c>
      <c r="Y118" s="18">
        <v>6.04E-5</v>
      </c>
      <c r="Z118" s="19">
        <v>5.78E-5</v>
      </c>
      <c r="AA118" s="18">
        <v>0.0</v>
      </c>
      <c r="AB118" s="18">
        <v>0.0</v>
      </c>
      <c r="AC118" s="18">
        <v>0.0</v>
      </c>
      <c r="AD118" s="18">
        <v>0.0</v>
      </c>
      <c r="AE118" s="18">
        <v>0.0</v>
      </c>
      <c r="AF118" s="18">
        <v>0.0</v>
      </c>
      <c r="AG118" s="18">
        <v>0.0</v>
      </c>
      <c r="AH118" s="18">
        <v>0.0</v>
      </c>
      <c r="AI118" s="18">
        <v>0.0</v>
      </c>
      <c r="AJ118" s="18">
        <v>0.0</v>
      </c>
      <c r="AK118" s="18">
        <v>0.0</v>
      </c>
      <c r="AL118" s="18">
        <v>0.0</v>
      </c>
      <c r="AM118" s="18">
        <v>0.0</v>
      </c>
      <c r="AN118" s="2">
        <v>0.0</v>
      </c>
      <c r="AO118" s="2">
        <v>0.0</v>
      </c>
      <c r="AP118" s="20">
        <v>0.0</v>
      </c>
      <c r="AQ118" s="20">
        <v>0.0</v>
      </c>
      <c r="AR118" s="20">
        <v>0.0</v>
      </c>
      <c r="AS118" s="20">
        <v>0.0</v>
      </c>
      <c r="AT118" s="2">
        <f t="shared" si="11"/>
        <v>0.0005380133333</v>
      </c>
      <c r="AU118" s="12">
        <f t="shared" si="3"/>
        <v>0.0006207846154</v>
      </c>
      <c r="AV118" s="14"/>
      <c r="AW118" s="15"/>
      <c r="AX118" s="15"/>
    </row>
    <row r="119" ht="15.75" customHeight="1">
      <c r="A119" s="7">
        <v>231220.0</v>
      </c>
      <c r="B119" s="7">
        <v>72.0</v>
      </c>
      <c r="C119" s="7">
        <v>4.0</v>
      </c>
      <c r="D119" s="8" t="s">
        <v>131</v>
      </c>
      <c r="E119" s="7">
        <v>7.0</v>
      </c>
      <c r="F119" s="8" t="s">
        <v>48</v>
      </c>
      <c r="G119" s="8" t="s">
        <v>67</v>
      </c>
      <c r="H119" s="8" t="s">
        <v>50</v>
      </c>
      <c r="I119" s="8" t="s">
        <v>146</v>
      </c>
      <c r="J119" s="8" t="s">
        <v>52</v>
      </c>
      <c r="K119" s="11" t="s">
        <v>125</v>
      </c>
      <c r="L119" s="18">
        <v>6.04E-4</v>
      </c>
      <c r="M119" s="18">
        <v>7.37E-4</v>
      </c>
      <c r="N119" s="18">
        <v>0.001925</v>
      </c>
      <c r="O119" s="18">
        <v>0.001895</v>
      </c>
      <c r="P119" s="18">
        <v>5.49E-4</v>
      </c>
      <c r="Q119" s="18">
        <v>2.78E-4</v>
      </c>
      <c r="R119" s="18">
        <v>4.43E-4</v>
      </c>
      <c r="S119" s="18">
        <v>8.33E-4</v>
      </c>
      <c r="T119" s="18">
        <v>0.001286</v>
      </c>
      <c r="U119" s="18">
        <v>0.001114</v>
      </c>
      <c r="V119" s="18">
        <v>8.12E-4</v>
      </c>
      <c r="W119" s="18">
        <v>3.57E-4</v>
      </c>
      <c r="X119" s="19">
        <v>8.0E-6</v>
      </c>
      <c r="Y119" s="18">
        <v>0.0</v>
      </c>
      <c r="Z119" s="18">
        <v>0.0</v>
      </c>
      <c r="AA119" s="18">
        <v>0.0</v>
      </c>
      <c r="AB119" s="18">
        <v>0.0</v>
      </c>
      <c r="AC119" s="18">
        <v>0.0</v>
      </c>
      <c r="AD119" s="18">
        <v>0.0</v>
      </c>
      <c r="AE119" s="18">
        <v>0.0</v>
      </c>
      <c r="AF119" s="18">
        <v>0.0</v>
      </c>
      <c r="AG119" s="18">
        <v>0.0</v>
      </c>
      <c r="AH119" s="18">
        <v>0.0</v>
      </c>
      <c r="AI119" s="18">
        <v>0.0</v>
      </c>
      <c r="AJ119" s="18">
        <v>0.0</v>
      </c>
      <c r="AK119" s="18">
        <v>0.0</v>
      </c>
      <c r="AL119" s="18">
        <v>0.0</v>
      </c>
      <c r="AM119" s="18">
        <v>0.0</v>
      </c>
      <c r="AN119" s="18">
        <v>0.0</v>
      </c>
      <c r="AO119" s="18">
        <v>0.0</v>
      </c>
      <c r="AP119" s="20">
        <v>0.0</v>
      </c>
      <c r="AQ119" s="20">
        <v>0.0</v>
      </c>
      <c r="AR119" s="20">
        <v>0.0</v>
      </c>
      <c r="AS119" s="20">
        <v>0.0</v>
      </c>
      <c r="AT119" s="2">
        <f>AVERAGE(L119:X119)</f>
        <v>0.0008339230769</v>
      </c>
      <c r="AU119" s="12">
        <f t="shared" si="3"/>
        <v>0.0008339230769</v>
      </c>
      <c r="AV119" s="14"/>
      <c r="AW119" s="15"/>
      <c r="AX119" s="15"/>
    </row>
    <row r="120" ht="15.75" customHeight="1">
      <c r="A120" s="7">
        <v>240103.0</v>
      </c>
      <c r="B120" s="7">
        <v>72.0</v>
      </c>
      <c r="C120" s="7">
        <v>4.0</v>
      </c>
      <c r="D120" s="8" t="s">
        <v>132</v>
      </c>
      <c r="E120" s="7">
        <v>7.0</v>
      </c>
      <c r="F120" s="8" t="s">
        <v>56</v>
      </c>
      <c r="G120" s="8" t="s">
        <v>67</v>
      </c>
      <c r="H120" s="8" t="s">
        <v>63</v>
      </c>
      <c r="I120" s="8" t="s">
        <v>146</v>
      </c>
      <c r="J120" s="8" t="s">
        <v>52</v>
      </c>
      <c r="K120" s="11" t="s">
        <v>133</v>
      </c>
      <c r="L120" s="18">
        <v>1.68E-4</v>
      </c>
      <c r="M120" s="18">
        <v>6.01E-5</v>
      </c>
      <c r="N120" s="18">
        <v>9.38E-5</v>
      </c>
      <c r="O120" s="18">
        <v>3.24E-4</v>
      </c>
      <c r="P120" s="18">
        <v>5.18E-4</v>
      </c>
      <c r="Q120" s="18">
        <v>7.61E-4</v>
      </c>
      <c r="R120" s="18">
        <v>8.17E-4</v>
      </c>
      <c r="S120" s="18">
        <v>5.02E-4</v>
      </c>
      <c r="T120" s="18">
        <v>6.42E-4</v>
      </c>
      <c r="U120" s="18">
        <v>9.75E-4</v>
      </c>
      <c r="V120" s="18">
        <v>5.28E-4</v>
      </c>
      <c r="W120" s="18">
        <v>3.44E-5</v>
      </c>
      <c r="X120" s="18">
        <v>2.31E-5</v>
      </c>
      <c r="Y120" s="18">
        <v>0.0</v>
      </c>
      <c r="Z120" s="18">
        <v>0.0</v>
      </c>
      <c r="AA120" s="18">
        <v>0.0</v>
      </c>
      <c r="AB120" s="18">
        <v>0.0</v>
      </c>
      <c r="AC120" s="18">
        <v>0.0</v>
      </c>
      <c r="AD120" s="18">
        <v>4.7E-6</v>
      </c>
      <c r="AE120" s="18">
        <v>4.7E-6</v>
      </c>
      <c r="AF120" s="18">
        <v>0.0</v>
      </c>
      <c r="AG120" s="18">
        <v>0.0</v>
      </c>
      <c r="AH120" s="18">
        <v>0.0</v>
      </c>
      <c r="AI120" s="18">
        <v>0.0</v>
      </c>
      <c r="AJ120" s="18">
        <v>0.0</v>
      </c>
      <c r="AK120" s="18">
        <v>0.0</v>
      </c>
      <c r="AL120" s="18">
        <v>6.68E-5</v>
      </c>
      <c r="AM120" s="18">
        <v>5.04E-4</v>
      </c>
      <c r="AN120" s="19">
        <v>0.001873</v>
      </c>
      <c r="AO120" s="2">
        <v>0.0</v>
      </c>
      <c r="AP120" s="20">
        <v>0.0</v>
      </c>
      <c r="AQ120" s="20">
        <v>0.0</v>
      </c>
      <c r="AR120" s="20">
        <v>0.0</v>
      </c>
      <c r="AS120" s="20">
        <v>0.0</v>
      </c>
      <c r="AT120" s="2">
        <f>AVERAGE(L120:AN120)</f>
        <v>0.0002724</v>
      </c>
      <c r="AU120" s="12">
        <f t="shared" si="3"/>
        <v>0.0004388666667</v>
      </c>
      <c r="AV120" s="14"/>
      <c r="AW120" s="15"/>
      <c r="AX120" s="15"/>
    </row>
    <row r="121" ht="15.75" customHeight="1">
      <c r="A121" s="7">
        <v>240103.0</v>
      </c>
      <c r="B121" s="7">
        <v>72.0</v>
      </c>
      <c r="C121" s="7">
        <v>4.0</v>
      </c>
      <c r="D121" s="8" t="s">
        <v>134</v>
      </c>
      <c r="E121" s="7">
        <v>7.0</v>
      </c>
      <c r="F121" s="8" t="s">
        <v>56</v>
      </c>
      <c r="G121" s="8" t="s">
        <v>67</v>
      </c>
      <c r="H121" s="8" t="s">
        <v>65</v>
      </c>
      <c r="I121" s="8" t="s">
        <v>146</v>
      </c>
      <c r="J121" s="8" t="s">
        <v>52</v>
      </c>
      <c r="K121" s="11" t="s">
        <v>133</v>
      </c>
      <c r="L121" s="18">
        <v>4.85E-4</v>
      </c>
      <c r="M121" s="18">
        <v>0.0017</v>
      </c>
      <c r="N121" s="18">
        <v>0.002809</v>
      </c>
      <c r="O121" s="18">
        <v>0.003456</v>
      </c>
      <c r="P121" s="18">
        <v>0.002379</v>
      </c>
      <c r="Q121" s="18">
        <v>5.27E-4</v>
      </c>
      <c r="R121" s="18">
        <v>2.14E-5</v>
      </c>
      <c r="S121" s="18">
        <v>2.2E-5</v>
      </c>
      <c r="T121" s="18">
        <v>0.0</v>
      </c>
      <c r="U121" s="18">
        <v>0.0</v>
      </c>
      <c r="V121" s="18">
        <v>0.0</v>
      </c>
      <c r="W121" s="18">
        <v>0.0</v>
      </c>
      <c r="X121" s="18">
        <v>0.0</v>
      </c>
      <c r="Y121" s="18">
        <v>0.0</v>
      </c>
      <c r="Z121" s="18">
        <v>0.0</v>
      </c>
      <c r="AA121" s="18">
        <v>0.0</v>
      </c>
      <c r="AB121" s="18">
        <v>2.5E-6</v>
      </c>
      <c r="AC121" s="18">
        <v>2.5E-6</v>
      </c>
      <c r="AD121" s="18">
        <v>0.0</v>
      </c>
      <c r="AE121" s="18">
        <v>0.0</v>
      </c>
      <c r="AF121" s="18">
        <v>0.0</v>
      </c>
      <c r="AG121" s="18">
        <v>0.0</v>
      </c>
      <c r="AH121" s="18">
        <v>0.0</v>
      </c>
      <c r="AI121" s="18">
        <v>0.0</v>
      </c>
      <c r="AJ121" s="18">
        <v>6.58E-5</v>
      </c>
      <c r="AK121" s="18">
        <v>4.19E-4</v>
      </c>
      <c r="AL121" s="18">
        <v>0.001783</v>
      </c>
      <c r="AM121" s="19">
        <v>0.012839</v>
      </c>
      <c r="AN121" s="2">
        <v>0.0</v>
      </c>
      <c r="AO121" s="2">
        <v>0.0</v>
      </c>
      <c r="AP121" s="20">
        <v>0.0</v>
      </c>
      <c r="AQ121" s="20">
        <v>0.0</v>
      </c>
      <c r="AR121" s="20">
        <v>0.0</v>
      </c>
      <c r="AS121" s="20">
        <v>0.0</v>
      </c>
      <c r="AT121" s="2">
        <f>AVERAGE(L121:AM121)</f>
        <v>0.0009468285714</v>
      </c>
      <c r="AU121" s="12">
        <f t="shared" si="3"/>
        <v>0.001893657143</v>
      </c>
      <c r="AV121" s="14"/>
      <c r="AW121" s="15"/>
      <c r="AX121" s="15"/>
    </row>
    <row r="122" ht="15.75" customHeight="1">
      <c r="A122" s="7">
        <v>240103.0</v>
      </c>
      <c r="B122" s="7">
        <v>72.0</v>
      </c>
      <c r="C122" s="7">
        <v>4.0</v>
      </c>
      <c r="D122" s="8" t="s">
        <v>135</v>
      </c>
      <c r="E122" s="7">
        <v>7.0</v>
      </c>
      <c r="F122" s="8" t="s">
        <v>56</v>
      </c>
      <c r="G122" s="8" t="s">
        <v>136</v>
      </c>
      <c r="H122" s="8" t="s">
        <v>61</v>
      </c>
      <c r="I122" s="8" t="s">
        <v>146</v>
      </c>
      <c r="J122" s="8" t="s">
        <v>52</v>
      </c>
      <c r="K122" s="11" t="s">
        <v>133</v>
      </c>
      <c r="L122" s="18">
        <v>0.003995</v>
      </c>
      <c r="M122" s="18">
        <v>0.002275</v>
      </c>
      <c r="N122" s="18">
        <v>0.001441</v>
      </c>
      <c r="O122" s="18">
        <v>0.001078</v>
      </c>
      <c r="P122" s="18">
        <v>5.22E-4</v>
      </c>
      <c r="Q122" s="18">
        <v>2.53E-4</v>
      </c>
      <c r="R122" s="18">
        <v>1.23E-4</v>
      </c>
      <c r="S122" s="18">
        <v>0.0</v>
      </c>
      <c r="T122" s="18">
        <v>1.38E-5</v>
      </c>
      <c r="U122" s="19">
        <v>1.33E-5</v>
      </c>
      <c r="V122" s="18">
        <v>0.0</v>
      </c>
      <c r="W122" s="18">
        <v>0.0</v>
      </c>
      <c r="X122" s="18">
        <v>0.0</v>
      </c>
      <c r="Y122" s="18">
        <v>0.0</v>
      </c>
      <c r="Z122" s="18">
        <v>0.0</v>
      </c>
      <c r="AA122" s="18">
        <v>0.0</v>
      </c>
      <c r="AB122" s="18">
        <v>0.0</v>
      </c>
      <c r="AC122" s="18">
        <v>0.0</v>
      </c>
      <c r="AD122" s="18">
        <v>0.0</v>
      </c>
      <c r="AE122" s="18">
        <v>0.0</v>
      </c>
      <c r="AF122" s="18">
        <v>0.0</v>
      </c>
      <c r="AG122" s="18">
        <v>0.0</v>
      </c>
      <c r="AH122" s="18">
        <v>0.0</v>
      </c>
      <c r="AI122" s="18">
        <v>0.0</v>
      </c>
      <c r="AJ122" s="18">
        <v>0.0</v>
      </c>
      <c r="AK122" s="18">
        <v>0.0</v>
      </c>
      <c r="AL122" s="18">
        <v>0.0</v>
      </c>
      <c r="AM122" s="2">
        <v>0.0</v>
      </c>
      <c r="AN122" s="2">
        <v>0.0</v>
      </c>
      <c r="AO122" s="2">
        <v>0.0</v>
      </c>
      <c r="AP122" s="20">
        <v>0.0</v>
      </c>
      <c r="AQ122" s="20">
        <v>0.0</v>
      </c>
      <c r="AR122" s="20">
        <v>0.0</v>
      </c>
      <c r="AS122" s="20">
        <v>0.0</v>
      </c>
      <c r="AT122" s="2">
        <f>AVERAGE(L122:U122)</f>
        <v>0.00097141</v>
      </c>
      <c r="AU122" s="12">
        <f t="shared" si="3"/>
        <v>0.001079344444</v>
      </c>
      <c r="AV122" s="14"/>
      <c r="AW122" s="15"/>
      <c r="AX122" s="15"/>
    </row>
    <row r="123" ht="15.75" customHeight="1">
      <c r="A123" s="7">
        <v>240103.0</v>
      </c>
      <c r="B123" s="7">
        <v>72.0</v>
      </c>
      <c r="C123" s="7">
        <v>4.0</v>
      </c>
      <c r="D123" s="8" t="s">
        <v>137</v>
      </c>
      <c r="E123" s="7">
        <v>7.0</v>
      </c>
      <c r="F123" s="8" t="s">
        <v>56</v>
      </c>
      <c r="G123" s="8" t="s">
        <v>67</v>
      </c>
      <c r="H123" s="8" t="s">
        <v>50</v>
      </c>
      <c r="I123" s="8" t="s">
        <v>146</v>
      </c>
      <c r="J123" s="8" t="s">
        <v>52</v>
      </c>
      <c r="K123" s="11" t="s">
        <v>133</v>
      </c>
      <c r="L123" s="18">
        <v>0.002089</v>
      </c>
      <c r="M123" s="18">
        <v>0.00142</v>
      </c>
      <c r="N123" s="18">
        <v>6.04E-4</v>
      </c>
      <c r="O123" s="18">
        <v>5.53E-4</v>
      </c>
      <c r="P123" s="18">
        <v>6.55E-4</v>
      </c>
      <c r="Q123" s="18">
        <v>4.41E-4</v>
      </c>
      <c r="R123" s="18">
        <v>5.2E-4</v>
      </c>
      <c r="S123" s="18">
        <v>7.51E-4</v>
      </c>
      <c r="T123" s="18">
        <v>5.81E-4</v>
      </c>
      <c r="U123" s="18">
        <v>2.89E-4</v>
      </c>
      <c r="V123" s="18">
        <v>3.48E-4</v>
      </c>
      <c r="W123" s="18">
        <v>2.93E-4</v>
      </c>
      <c r="X123" s="18">
        <v>2.24E-4</v>
      </c>
      <c r="Y123" s="18">
        <v>1.5E-4</v>
      </c>
      <c r="Z123" s="18">
        <v>0.0</v>
      </c>
      <c r="AA123" s="18">
        <v>1.79E-4</v>
      </c>
      <c r="AB123" s="18">
        <v>2.34E-4</v>
      </c>
      <c r="AC123" s="18">
        <v>5.87E-5</v>
      </c>
      <c r="AD123" s="18">
        <v>0.0</v>
      </c>
      <c r="AE123" s="18">
        <v>0.0</v>
      </c>
      <c r="AF123" s="18">
        <v>2.35E-4</v>
      </c>
      <c r="AG123" s="18">
        <v>5.47E-4</v>
      </c>
      <c r="AH123" s="18">
        <v>3.62E-4</v>
      </c>
      <c r="AI123" s="18">
        <v>9.15E-5</v>
      </c>
      <c r="AJ123" s="19">
        <v>5.25E-5</v>
      </c>
      <c r="AK123" s="18">
        <v>0.0</v>
      </c>
      <c r="AL123" s="18">
        <v>0.0</v>
      </c>
      <c r="AM123" s="18">
        <v>0.0</v>
      </c>
      <c r="AN123" s="18">
        <v>0.0</v>
      </c>
      <c r="AO123" s="2">
        <v>0.0</v>
      </c>
      <c r="AP123" s="20">
        <v>0.0</v>
      </c>
      <c r="AQ123" s="20">
        <v>0.0</v>
      </c>
      <c r="AR123" s="20">
        <v>0.0</v>
      </c>
      <c r="AS123" s="20">
        <v>0.0</v>
      </c>
      <c r="AT123" s="2">
        <f>AVERAGE(L123:AJ123)</f>
        <v>0.000427108</v>
      </c>
      <c r="AU123" s="12">
        <f t="shared" si="3"/>
        <v>0.00048535</v>
      </c>
      <c r="AV123" s="14"/>
      <c r="AW123" s="15"/>
      <c r="AX123" s="15"/>
    </row>
    <row r="124" ht="15.75" customHeight="1">
      <c r="A124" s="7">
        <v>240103.0</v>
      </c>
      <c r="B124" s="7">
        <v>72.0</v>
      </c>
      <c r="C124" s="7">
        <v>4.0</v>
      </c>
      <c r="D124" s="8" t="s">
        <v>138</v>
      </c>
      <c r="E124" s="7">
        <v>7.0</v>
      </c>
      <c r="F124" s="8" t="s">
        <v>56</v>
      </c>
      <c r="G124" s="8" t="s">
        <v>49</v>
      </c>
      <c r="H124" s="8" t="s">
        <v>63</v>
      </c>
      <c r="I124" s="8" t="s">
        <v>146</v>
      </c>
      <c r="J124" s="8" t="s">
        <v>52</v>
      </c>
      <c r="K124" s="11" t="s">
        <v>133</v>
      </c>
      <c r="L124" s="18">
        <v>0.001376</v>
      </c>
      <c r="M124" s="18">
        <v>8.45E-4</v>
      </c>
      <c r="N124" s="18">
        <v>8.09E-4</v>
      </c>
      <c r="O124" s="18">
        <v>5.85E-4</v>
      </c>
      <c r="P124" s="18">
        <v>4.0E-4</v>
      </c>
      <c r="Q124" s="18">
        <v>3.94E-4</v>
      </c>
      <c r="R124" s="18">
        <v>4.67E-4</v>
      </c>
      <c r="S124" s="18">
        <v>4.64E-4</v>
      </c>
      <c r="T124" s="18">
        <v>2.32E-4</v>
      </c>
      <c r="U124" s="18">
        <v>3.66E-4</v>
      </c>
      <c r="V124" s="18">
        <v>2.96E-4</v>
      </c>
      <c r="W124" s="18">
        <v>5.74E-5</v>
      </c>
      <c r="X124" s="18">
        <v>1.38E-4</v>
      </c>
      <c r="Y124" s="18">
        <v>1.53E-4</v>
      </c>
      <c r="Z124" s="18">
        <v>1.5E-5</v>
      </c>
      <c r="AA124" s="18">
        <v>0.0</v>
      </c>
      <c r="AB124" s="18">
        <v>0.0</v>
      </c>
      <c r="AC124" s="18">
        <v>0.0</v>
      </c>
      <c r="AD124" s="18">
        <v>0.0</v>
      </c>
      <c r="AE124" s="18">
        <v>0.0</v>
      </c>
      <c r="AF124" s="18">
        <v>0.0</v>
      </c>
      <c r="AG124" s="18">
        <v>0.0</v>
      </c>
      <c r="AH124" s="18">
        <v>0.0</v>
      </c>
      <c r="AI124" s="18">
        <v>0.0</v>
      </c>
      <c r="AJ124" s="18">
        <v>0.0</v>
      </c>
      <c r="AK124" s="18">
        <v>4.7E-6</v>
      </c>
      <c r="AL124" s="19">
        <v>5.1E-6</v>
      </c>
      <c r="AM124" s="18">
        <v>0.0</v>
      </c>
      <c r="AN124" s="18">
        <v>0.0</v>
      </c>
      <c r="AO124" s="18">
        <v>0.0</v>
      </c>
      <c r="AP124" s="20">
        <v>0.0</v>
      </c>
      <c r="AQ124" s="20">
        <v>0.0</v>
      </c>
      <c r="AR124" s="20">
        <v>0.0</v>
      </c>
      <c r="AS124" s="20">
        <v>0.0</v>
      </c>
      <c r="AT124" s="2">
        <f>AVERAGE(L124:AL124)</f>
        <v>0.0002447111111</v>
      </c>
      <c r="AU124" s="12">
        <f t="shared" si="3"/>
        <v>0.0003886588235</v>
      </c>
      <c r="AV124" s="14"/>
      <c r="AW124" s="15"/>
      <c r="AX124" s="15"/>
    </row>
    <row r="125" ht="15.75" customHeight="1">
      <c r="A125" s="7">
        <v>240103.0</v>
      </c>
      <c r="B125" s="7">
        <v>72.0</v>
      </c>
      <c r="C125" s="7">
        <v>4.0</v>
      </c>
      <c r="D125" s="8" t="s">
        <v>139</v>
      </c>
      <c r="E125" s="7">
        <v>7.0</v>
      </c>
      <c r="F125" s="8" t="s">
        <v>56</v>
      </c>
      <c r="G125" s="8" t="s">
        <v>49</v>
      </c>
      <c r="H125" s="8" t="s">
        <v>50</v>
      </c>
      <c r="I125" s="8" t="s">
        <v>146</v>
      </c>
      <c r="J125" s="8" t="s">
        <v>52</v>
      </c>
      <c r="K125" s="11" t="s">
        <v>133</v>
      </c>
      <c r="L125" s="18">
        <v>0.002503</v>
      </c>
      <c r="M125" s="18">
        <v>0.002187</v>
      </c>
      <c r="N125" s="18">
        <v>0.001371</v>
      </c>
      <c r="O125" s="18">
        <v>4.12E-4</v>
      </c>
      <c r="P125" s="18">
        <v>2.74E-4</v>
      </c>
      <c r="Q125" s="18">
        <v>2.81E-4</v>
      </c>
      <c r="R125" s="18">
        <v>1.71E-4</v>
      </c>
      <c r="S125" s="18">
        <v>5.44E-4</v>
      </c>
      <c r="T125" s="18">
        <v>6.58E-4</v>
      </c>
      <c r="U125" s="18">
        <v>2.72E-4</v>
      </c>
      <c r="V125" s="18">
        <v>4.59E-4</v>
      </c>
      <c r="W125" s="18">
        <v>4.36E-4</v>
      </c>
      <c r="X125" s="18">
        <v>2.53E-4</v>
      </c>
      <c r="Y125" s="18">
        <v>4.47E-4</v>
      </c>
      <c r="Z125" s="18">
        <v>6.34E-4</v>
      </c>
      <c r="AA125" s="18">
        <v>6.94E-4</v>
      </c>
      <c r="AB125" s="18">
        <v>4.29E-4</v>
      </c>
      <c r="AC125" s="18">
        <v>1.42E-4</v>
      </c>
      <c r="AD125" s="18">
        <v>0.0</v>
      </c>
      <c r="AE125" s="18">
        <v>0.0</v>
      </c>
      <c r="AF125" s="18">
        <v>0.0</v>
      </c>
      <c r="AG125" s="18">
        <v>0.0</v>
      </c>
      <c r="AH125" s="18">
        <v>0.0</v>
      </c>
      <c r="AI125" s="18">
        <v>0.0</v>
      </c>
      <c r="AJ125" s="18">
        <v>0.0</v>
      </c>
      <c r="AK125" s="18">
        <v>0.0</v>
      </c>
      <c r="AL125" s="18">
        <v>0.0</v>
      </c>
      <c r="AM125" s="18">
        <v>7.9E-6</v>
      </c>
      <c r="AN125" s="18">
        <v>3.14E-5</v>
      </c>
      <c r="AO125" s="2">
        <v>0.0</v>
      </c>
      <c r="AP125" s="20">
        <v>0.0</v>
      </c>
      <c r="AQ125" s="20">
        <v>0.0</v>
      </c>
      <c r="AR125" s="20">
        <v>0.0</v>
      </c>
      <c r="AS125" s="20">
        <v>0.0</v>
      </c>
      <c r="AT125" s="2">
        <f>AVERAGE(L125:AN125)</f>
        <v>0.0004209068966</v>
      </c>
      <c r="AU125" s="12">
        <f t="shared" si="3"/>
        <v>0.000610315</v>
      </c>
      <c r="AV125" s="14"/>
      <c r="AW125" s="15"/>
      <c r="AX125" s="15"/>
    </row>
    <row r="126" ht="15.75" customHeight="1">
      <c r="A126" s="7">
        <v>240104.0</v>
      </c>
      <c r="B126" s="7">
        <v>72.0</v>
      </c>
      <c r="C126" s="7">
        <v>4.0</v>
      </c>
      <c r="D126" s="8" t="s">
        <v>140</v>
      </c>
      <c r="E126" s="7">
        <v>7.0</v>
      </c>
      <c r="F126" s="8" t="s">
        <v>48</v>
      </c>
      <c r="G126" s="8" t="s">
        <v>49</v>
      </c>
      <c r="H126" s="8" t="s">
        <v>61</v>
      </c>
      <c r="I126" s="8" t="s">
        <v>146</v>
      </c>
      <c r="J126" s="8" t="s">
        <v>52</v>
      </c>
      <c r="K126" s="11" t="s">
        <v>141</v>
      </c>
      <c r="L126" s="18">
        <v>0.002872</v>
      </c>
      <c r="M126" s="18">
        <v>0.002037</v>
      </c>
      <c r="N126" s="18">
        <v>0.001442</v>
      </c>
      <c r="O126" s="18">
        <v>0.001976</v>
      </c>
      <c r="P126" s="18">
        <v>0.003136</v>
      </c>
      <c r="Q126" s="18">
        <v>0.00458</v>
      </c>
      <c r="R126" s="18">
        <v>0.005009</v>
      </c>
      <c r="S126" s="18">
        <v>0.004164</v>
      </c>
      <c r="T126" s="18">
        <v>0.00333</v>
      </c>
      <c r="U126" s="18">
        <v>0.002379</v>
      </c>
      <c r="V126" s="18">
        <v>0.001804</v>
      </c>
      <c r="W126" s="18">
        <v>0.00144</v>
      </c>
      <c r="X126" s="18">
        <v>6.61E-4</v>
      </c>
      <c r="Y126" s="18">
        <v>4.36E-4</v>
      </c>
      <c r="Z126" s="18">
        <v>3.93E-4</v>
      </c>
      <c r="AA126" s="18">
        <v>8.4E-5</v>
      </c>
      <c r="AB126" s="18">
        <v>0.0</v>
      </c>
      <c r="AC126" s="18">
        <v>0.0</v>
      </c>
      <c r="AD126" s="18">
        <v>7.09E-4</v>
      </c>
      <c r="AE126" s="18">
        <v>0.002973</v>
      </c>
      <c r="AF126" s="18">
        <v>0.005756</v>
      </c>
      <c r="AG126" s="18">
        <v>0.007628</v>
      </c>
      <c r="AH126" s="18">
        <v>0.009732</v>
      </c>
      <c r="AI126" s="18">
        <v>0.009904</v>
      </c>
      <c r="AJ126" s="18">
        <v>0.007045</v>
      </c>
      <c r="AK126" s="18">
        <v>0.003981</v>
      </c>
      <c r="AL126" s="18">
        <v>0.00108</v>
      </c>
      <c r="AM126" s="18">
        <v>0.0</v>
      </c>
      <c r="AN126" s="2">
        <v>0.0</v>
      </c>
      <c r="AO126" s="2">
        <v>0.0</v>
      </c>
      <c r="AP126" s="20">
        <v>0.0</v>
      </c>
      <c r="AQ126" s="20">
        <v>0.0</v>
      </c>
      <c r="AR126" s="20">
        <v>0.0</v>
      </c>
      <c r="AS126" s="20">
        <v>0.0</v>
      </c>
      <c r="AT126" s="2">
        <f>AVERAGE(L126:AL126)</f>
        <v>0.003131518519</v>
      </c>
      <c r="AU126" s="12">
        <f t="shared" si="3"/>
        <v>0.00338204</v>
      </c>
      <c r="AV126" s="14"/>
      <c r="AW126" s="15"/>
      <c r="AX126" s="15"/>
    </row>
    <row r="127" ht="15.75" customHeight="1">
      <c r="A127" s="7">
        <v>240104.0</v>
      </c>
      <c r="B127" s="7">
        <v>72.0</v>
      </c>
      <c r="C127" s="7">
        <v>4.0</v>
      </c>
      <c r="D127" s="8" t="s">
        <v>142</v>
      </c>
      <c r="E127" s="7">
        <v>7.0</v>
      </c>
      <c r="F127" s="8" t="s">
        <v>48</v>
      </c>
      <c r="G127" s="8" t="s">
        <v>49</v>
      </c>
      <c r="H127" s="8" t="s">
        <v>50</v>
      </c>
      <c r="I127" s="8" t="s">
        <v>146</v>
      </c>
      <c r="J127" s="8" t="s">
        <v>52</v>
      </c>
      <c r="K127" s="11" t="s">
        <v>141</v>
      </c>
      <c r="L127" s="18">
        <v>0.003188</v>
      </c>
      <c r="M127" s="18">
        <v>0.002349</v>
      </c>
      <c r="N127" s="18">
        <v>0.002592</v>
      </c>
      <c r="O127" s="18">
        <v>0.003327</v>
      </c>
      <c r="P127" s="18">
        <v>0.003246</v>
      </c>
      <c r="Q127" s="18">
        <v>0.002474</v>
      </c>
      <c r="R127" s="18">
        <v>0.002222</v>
      </c>
      <c r="S127" s="18">
        <v>0.003577</v>
      </c>
      <c r="T127" s="18">
        <v>0.004527</v>
      </c>
      <c r="U127" s="18">
        <v>0.003537</v>
      </c>
      <c r="V127" s="18">
        <v>0.002699</v>
      </c>
      <c r="W127" s="18">
        <v>0.00254</v>
      </c>
      <c r="X127" s="18">
        <v>0.001664</v>
      </c>
      <c r="Y127" s="18">
        <v>6.64E-4</v>
      </c>
      <c r="Z127" s="18">
        <v>1.08E-4</v>
      </c>
      <c r="AA127" s="18">
        <v>5.2E-6</v>
      </c>
      <c r="AB127" s="18">
        <v>5.04E-5</v>
      </c>
      <c r="AC127" s="18">
        <v>5.7E-5</v>
      </c>
      <c r="AD127" s="18">
        <v>1.1E-5</v>
      </c>
      <c r="AE127" s="18">
        <v>0.0</v>
      </c>
      <c r="AF127" s="18">
        <v>0.0</v>
      </c>
      <c r="AG127" s="18">
        <v>0.0</v>
      </c>
      <c r="AH127" s="18">
        <v>0.0</v>
      </c>
      <c r="AI127" s="18">
        <v>0.0</v>
      </c>
      <c r="AJ127" s="18">
        <v>0.0</v>
      </c>
      <c r="AK127" s="18">
        <v>0.0</v>
      </c>
      <c r="AL127" s="18">
        <v>0.0</v>
      </c>
      <c r="AM127" s="2">
        <v>0.0</v>
      </c>
      <c r="AN127" s="2">
        <v>0.0</v>
      </c>
      <c r="AO127" s="2">
        <v>0.0</v>
      </c>
      <c r="AP127" s="20">
        <v>0.0</v>
      </c>
      <c r="AQ127" s="20">
        <v>0.0</v>
      </c>
      <c r="AR127" s="20">
        <v>0.0</v>
      </c>
      <c r="AS127" s="20">
        <v>0.0</v>
      </c>
      <c r="AT127" s="2">
        <f>AVERAGE(L127:AD127)</f>
        <v>0.002044084211</v>
      </c>
      <c r="AU127" s="12">
        <f t="shared" si="3"/>
        <v>0.002044084211</v>
      </c>
      <c r="AV127" s="14"/>
      <c r="AW127" s="15"/>
      <c r="AX127" s="15"/>
    </row>
    <row r="128" ht="15.75" customHeight="1">
      <c r="A128" s="7">
        <v>240104.0</v>
      </c>
      <c r="B128" s="7">
        <v>72.0</v>
      </c>
      <c r="C128" s="7">
        <v>4.0</v>
      </c>
      <c r="D128" s="8" t="s">
        <v>143</v>
      </c>
      <c r="E128" s="7">
        <v>7.0</v>
      </c>
      <c r="F128" s="8" t="s">
        <v>48</v>
      </c>
      <c r="G128" s="8" t="s">
        <v>49</v>
      </c>
      <c r="H128" s="8" t="s">
        <v>65</v>
      </c>
      <c r="I128" s="8" t="s">
        <v>146</v>
      </c>
      <c r="J128" s="8" t="s">
        <v>52</v>
      </c>
      <c r="K128" s="11" t="s">
        <v>141</v>
      </c>
      <c r="L128" s="18">
        <v>0.004439</v>
      </c>
      <c r="M128" s="18">
        <v>0.004549</v>
      </c>
      <c r="N128" s="18">
        <v>0.003862</v>
      </c>
      <c r="O128" s="18">
        <v>0.00436</v>
      </c>
      <c r="P128" s="18">
        <v>0.004845</v>
      </c>
      <c r="Q128" s="18">
        <v>0.003555</v>
      </c>
      <c r="R128" s="18">
        <v>0.0024</v>
      </c>
      <c r="S128" s="18">
        <v>0.001644</v>
      </c>
      <c r="T128" s="18">
        <v>0.001203</v>
      </c>
      <c r="U128" s="18">
        <v>6.96E-4</v>
      </c>
      <c r="V128" s="18">
        <v>7.23E-5</v>
      </c>
      <c r="W128" s="18">
        <v>6.85E-5</v>
      </c>
      <c r="X128" s="18">
        <v>0.0</v>
      </c>
      <c r="Y128" s="18">
        <v>1.86E-5</v>
      </c>
      <c r="Z128" s="18">
        <v>2.74E-4</v>
      </c>
      <c r="AA128" s="18">
        <v>2.8E-4</v>
      </c>
      <c r="AB128" s="18">
        <v>1.06E-4</v>
      </c>
      <c r="AC128" s="18">
        <v>1.9E-4</v>
      </c>
      <c r="AD128" s="18">
        <v>1.44E-4</v>
      </c>
      <c r="AE128" s="18">
        <v>1.11E-4</v>
      </c>
      <c r="AF128" s="18">
        <v>8.5E-5</v>
      </c>
      <c r="AG128" s="18">
        <v>0.0</v>
      </c>
      <c r="AH128" s="18">
        <v>0.0</v>
      </c>
      <c r="AI128" s="18">
        <v>2.32E-4</v>
      </c>
      <c r="AJ128" s="18">
        <v>0.00143</v>
      </c>
      <c r="AK128" s="18">
        <v>0.002171</v>
      </c>
      <c r="AL128" s="18">
        <v>0.002637</v>
      </c>
      <c r="AM128" s="18">
        <v>0.007783</v>
      </c>
      <c r="AN128" s="18">
        <v>0.01084</v>
      </c>
      <c r="AO128" s="2">
        <v>0.0</v>
      </c>
      <c r="AP128" s="20">
        <v>0.0</v>
      </c>
      <c r="AQ128" s="20">
        <v>0.0</v>
      </c>
      <c r="AR128" s="20">
        <v>0.0</v>
      </c>
      <c r="AS128" s="20">
        <v>0.0</v>
      </c>
      <c r="AT128" s="2">
        <f>AVERAGE(L128:AN128)</f>
        <v>0.001999841379</v>
      </c>
      <c r="AU128" s="12">
        <f t="shared" si="3"/>
        <v>0.002230592308</v>
      </c>
      <c r="AV128" s="14"/>
      <c r="AW128" s="15"/>
      <c r="AX128" s="15"/>
    </row>
    <row r="129" ht="15.75" customHeight="1">
      <c r="A129" s="7">
        <v>240117.0</v>
      </c>
      <c r="B129" s="7">
        <v>72.0</v>
      </c>
      <c r="C129" s="7">
        <v>4.0</v>
      </c>
      <c r="D129" s="8" t="s">
        <v>144</v>
      </c>
      <c r="E129" s="7">
        <v>7.0</v>
      </c>
      <c r="F129" s="8" t="s">
        <v>56</v>
      </c>
      <c r="G129" s="8" t="s">
        <v>49</v>
      </c>
      <c r="H129" s="8" t="s">
        <v>50</v>
      </c>
      <c r="I129" s="8" t="s">
        <v>146</v>
      </c>
      <c r="J129" s="8" t="s">
        <v>52</v>
      </c>
      <c r="K129" s="11" t="s">
        <v>133</v>
      </c>
      <c r="L129" s="18">
        <v>0.002557</v>
      </c>
      <c r="M129" s="18">
        <v>0.00259</v>
      </c>
      <c r="N129" s="18">
        <v>0.002172</v>
      </c>
      <c r="O129" s="18">
        <v>0.001174</v>
      </c>
      <c r="P129" s="18">
        <v>0.001389</v>
      </c>
      <c r="Q129" s="18">
        <v>0.002088</v>
      </c>
      <c r="R129" s="18">
        <v>0.001748</v>
      </c>
      <c r="S129" s="18">
        <v>0.001385</v>
      </c>
      <c r="T129" s="18">
        <v>0.001909</v>
      </c>
      <c r="U129" s="18">
        <v>0.002029</v>
      </c>
      <c r="V129" s="18">
        <v>0.001402</v>
      </c>
      <c r="W129" s="18">
        <v>0.001023</v>
      </c>
      <c r="X129" s="18">
        <v>5.56E-4</v>
      </c>
      <c r="Y129" s="18">
        <v>4.31E-4</v>
      </c>
      <c r="Z129" s="18">
        <v>4.44E-4</v>
      </c>
      <c r="AA129" s="18">
        <v>4.85E-4</v>
      </c>
      <c r="AB129" s="18">
        <v>1.8E-4</v>
      </c>
      <c r="AC129" s="18">
        <v>0.0</v>
      </c>
      <c r="AD129" s="18">
        <v>0.0</v>
      </c>
      <c r="AE129" s="18">
        <v>0.0</v>
      </c>
      <c r="AF129" s="18">
        <v>9.9E-6</v>
      </c>
      <c r="AG129" s="18">
        <v>1.02E-5</v>
      </c>
      <c r="AH129" s="18">
        <v>0.0</v>
      </c>
      <c r="AI129" s="18">
        <v>0.0</v>
      </c>
      <c r="AJ129" s="18">
        <v>0.0</v>
      </c>
      <c r="AK129" s="18">
        <v>0.0</v>
      </c>
      <c r="AL129" s="18">
        <v>0.0</v>
      </c>
      <c r="AM129" s="2">
        <v>0.0</v>
      </c>
      <c r="AN129" s="2">
        <v>0.0</v>
      </c>
      <c r="AO129" s="2">
        <v>0.0</v>
      </c>
      <c r="AP129" s="20">
        <v>0.0</v>
      </c>
      <c r="AQ129" s="20">
        <v>0.0</v>
      </c>
      <c r="AR129" s="20">
        <v>0.0</v>
      </c>
      <c r="AS129" s="20">
        <v>0.0</v>
      </c>
      <c r="AT129" s="2">
        <f>AVERAGE(L129:AA129)</f>
        <v>0.001461375</v>
      </c>
      <c r="AU129" s="12">
        <f t="shared" si="3"/>
        <v>0.001241163158</v>
      </c>
      <c r="AV129" s="14"/>
      <c r="AW129" s="15"/>
      <c r="AX129" s="15"/>
    </row>
    <row r="130" ht="15.75" customHeight="1">
      <c r="A130" s="7">
        <v>240117.0</v>
      </c>
      <c r="B130" s="7">
        <v>72.0</v>
      </c>
      <c r="C130" s="7">
        <v>4.0</v>
      </c>
      <c r="D130" s="8" t="s">
        <v>145</v>
      </c>
      <c r="E130" s="7">
        <v>7.0</v>
      </c>
      <c r="F130" s="8" t="s">
        <v>56</v>
      </c>
      <c r="G130" s="8" t="s">
        <v>49</v>
      </c>
      <c r="H130" s="8" t="s">
        <v>63</v>
      </c>
      <c r="I130" s="8" t="s">
        <v>146</v>
      </c>
      <c r="J130" s="8" t="s">
        <v>52</v>
      </c>
      <c r="K130" s="11" t="s">
        <v>133</v>
      </c>
      <c r="L130" s="18">
        <v>0.001045</v>
      </c>
      <c r="M130" s="18">
        <v>7.58E-4</v>
      </c>
      <c r="N130" s="18">
        <v>0.001372</v>
      </c>
      <c r="O130" s="18">
        <v>0.002076</v>
      </c>
      <c r="P130" s="18">
        <v>0.002288</v>
      </c>
      <c r="Q130" s="18">
        <v>0.002701</v>
      </c>
      <c r="R130" s="18">
        <v>0.002221</v>
      </c>
      <c r="S130" s="18">
        <v>0.001264</v>
      </c>
      <c r="T130" s="18">
        <v>0.001603</v>
      </c>
      <c r="U130" s="18">
        <v>0.001581</v>
      </c>
      <c r="V130" s="18">
        <v>0.001827</v>
      </c>
      <c r="W130" s="18">
        <v>0.002176</v>
      </c>
      <c r="X130" s="18">
        <v>0.001204</v>
      </c>
      <c r="Y130" s="18">
        <v>3.64E-4</v>
      </c>
      <c r="Z130" s="18">
        <v>8.21E-5</v>
      </c>
      <c r="AA130" s="18">
        <v>7.98E-5</v>
      </c>
      <c r="AB130" s="18">
        <v>0.0</v>
      </c>
      <c r="AC130" s="18">
        <v>5.84E-5</v>
      </c>
      <c r="AD130" s="18">
        <v>5.86E-5</v>
      </c>
      <c r="AE130" s="18">
        <v>0.0</v>
      </c>
      <c r="AF130" s="18">
        <v>0.0</v>
      </c>
      <c r="AG130" s="18">
        <v>0.0</v>
      </c>
      <c r="AH130" s="18">
        <v>0.0</v>
      </c>
      <c r="AI130" s="18">
        <v>0.0</v>
      </c>
      <c r="AJ130" s="18">
        <v>0.0</v>
      </c>
      <c r="AK130" s="18">
        <v>0.0</v>
      </c>
      <c r="AL130" s="18">
        <v>0.0</v>
      </c>
      <c r="AM130" s="18">
        <v>0.0</v>
      </c>
      <c r="AN130" s="18">
        <v>0.0</v>
      </c>
      <c r="AO130" s="2">
        <v>0.0</v>
      </c>
      <c r="AP130" s="20">
        <v>0.0</v>
      </c>
      <c r="AQ130" s="20">
        <v>0.0</v>
      </c>
      <c r="AR130" s="20">
        <v>0.0</v>
      </c>
      <c r="AS130" s="20">
        <v>0.0</v>
      </c>
      <c r="AT130" s="2">
        <f>AVERAGE(L130:AD130)</f>
        <v>0.001197836842</v>
      </c>
      <c r="AU130" s="12">
        <f t="shared" si="3"/>
        <v>0.001264383333</v>
      </c>
      <c r="AV130" s="14"/>
      <c r="AW130" s="15"/>
      <c r="AX130" s="15"/>
    </row>
    <row r="131" ht="15.75" customHeight="1"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3"/>
      <c r="AQ131" s="13"/>
      <c r="AR131" s="13"/>
      <c r="AS131" s="13"/>
      <c r="AT131" s="12"/>
      <c r="AU131" s="12"/>
      <c r="AV131" s="14"/>
      <c r="AW131" s="15"/>
      <c r="AX131" s="15"/>
    </row>
    <row r="132" ht="15.75" customHeight="1">
      <c r="A132" s="7">
        <v>230801.0</v>
      </c>
      <c r="B132" s="7">
        <v>53.0</v>
      </c>
      <c r="C132" s="7">
        <v>1.0</v>
      </c>
      <c r="D132" s="8" t="s">
        <v>147</v>
      </c>
      <c r="E132" s="7">
        <v>8.0</v>
      </c>
      <c r="F132" s="8" t="s">
        <v>56</v>
      </c>
      <c r="G132" s="16" t="s">
        <v>49</v>
      </c>
      <c r="H132" s="16" t="s">
        <v>50</v>
      </c>
      <c r="I132" s="8" t="s">
        <v>146</v>
      </c>
      <c r="J132" s="8" t="s">
        <v>52</v>
      </c>
      <c r="K132" s="11" t="s">
        <v>53</v>
      </c>
      <c r="L132" s="12">
        <v>0.0150493</v>
      </c>
      <c r="M132" s="12">
        <v>0.018357</v>
      </c>
      <c r="N132" s="12">
        <v>0.0166456</v>
      </c>
      <c r="O132" s="12">
        <v>0.0113572</v>
      </c>
      <c r="P132" s="12">
        <v>0.0094551</v>
      </c>
      <c r="Q132" s="12">
        <v>0.0108921</v>
      </c>
      <c r="R132" s="12">
        <v>0.0108948</v>
      </c>
      <c r="S132" s="12">
        <v>0.0065264</v>
      </c>
      <c r="T132" s="12">
        <v>0.0028676</v>
      </c>
      <c r="U132" s="12">
        <v>0.0017789</v>
      </c>
      <c r="V132" s="12">
        <v>0.0013367</v>
      </c>
      <c r="W132" s="12">
        <v>0.0017291</v>
      </c>
      <c r="X132" s="12">
        <v>0.0013238</v>
      </c>
      <c r="Y132" s="12">
        <v>6.336E-4</v>
      </c>
      <c r="Z132" s="12">
        <v>6.679E-4</v>
      </c>
      <c r="AA132" s="12">
        <v>9.628E-4</v>
      </c>
      <c r="AB132" s="12">
        <v>0.0017393</v>
      </c>
      <c r="AC132" s="12">
        <v>0.0016811</v>
      </c>
      <c r="AD132" s="12">
        <v>0.0016269</v>
      </c>
      <c r="AE132" s="12">
        <v>0.0022396</v>
      </c>
      <c r="AF132" s="12">
        <v>0.0059198</v>
      </c>
      <c r="AG132" s="12">
        <v>0.0109887</v>
      </c>
      <c r="AH132" s="12">
        <v>0.0192787</v>
      </c>
      <c r="AI132" s="12">
        <v>0.0</v>
      </c>
      <c r="AJ132" s="12">
        <v>0.0</v>
      </c>
      <c r="AK132" s="12">
        <v>0.0</v>
      </c>
      <c r="AL132" s="12">
        <v>0.0</v>
      </c>
      <c r="AM132" s="12">
        <v>0.0</v>
      </c>
      <c r="AN132" s="12">
        <v>0.0</v>
      </c>
      <c r="AO132" s="12">
        <v>0.0</v>
      </c>
      <c r="AP132" s="13">
        <v>0.0</v>
      </c>
      <c r="AQ132" s="13">
        <v>0.0</v>
      </c>
      <c r="AR132" s="13">
        <v>0.0</v>
      </c>
      <c r="AS132" s="13">
        <v>0.0</v>
      </c>
      <c r="AT132" s="12">
        <f>AVERAGE(L132:AH132)</f>
        <v>0.006693565217</v>
      </c>
      <c r="AU132" s="12">
        <f t="shared" ref="AU132:AU175" si="12">AVERAGEIF(L132:AS132, "&gt;0")
</f>
        <v>0.006693565217</v>
      </c>
      <c r="AV132" s="14"/>
      <c r="AW132" s="15"/>
      <c r="AX132" s="15" t="str">
        <f t="shared" ref="AX132:AX175" si="13">AU132/AW132</f>
        <v>#DIV/0!</v>
      </c>
    </row>
    <row r="133" ht="15.75" customHeight="1">
      <c r="A133" s="7">
        <v>230801.0</v>
      </c>
      <c r="B133" s="7">
        <v>53.0</v>
      </c>
      <c r="C133" s="7">
        <v>1.0</v>
      </c>
      <c r="D133" s="8" t="s">
        <v>148</v>
      </c>
      <c r="E133" s="7">
        <v>8.0</v>
      </c>
      <c r="F133" s="8" t="s">
        <v>56</v>
      </c>
      <c r="G133" s="16" t="s">
        <v>49</v>
      </c>
      <c r="H133" s="16" t="s">
        <v>50</v>
      </c>
      <c r="I133" s="8" t="s">
        <v>146</v>
      </c>
      <c r="J133" s="8" t="s">
        <v>52</v>
      </c>
      <c r="K133" s="11" t="s">
        <v>53</v>
      </c>
      <c r="L133" s="12">
        <v>0.0034805</v>
      </c>
      <c r="M133" s="12">
        <v>0.0058677</v>
      </c>
      <c r="N133" s="12">
        <v>0.0080024</v>
      </c>
      <c r="O133" s="12">
        <v>0.0083801</v>
      </c>
      <c r="P133" s="12">
        <v>0.0093253</v>
      </c>
      <c r="Q133" s="12">
        <v>0.0078949</v>
      </c>
      <c r="R133" s="12">
        <v>0.0060844</v>
      </c>
      <c r="S133" s="12">
        <v>0.0074334</v>
      </c>
      <c r="T133" s="12">
        <v>0.0074543</v>
      </c>
      <c r="U133" s="12">
        <v>0.0051709</v>
      </c>
      <c r="V133" s="12">
        <v>0.0028227</v>
      </c>
      <c r="W133" s="12">
        <v>0.001527</v>
      </c>
      <c r="X133" s="12">
        <v>9.448E-4</v>
      </c>
      <c r="Y133" s="12">
        <v>0.0010212</v>
      </c>
      <c r="Z133" s="12">
        <v>0.0011297</v>
      </c>
      <c r="AA133" s="12">
        <v>7.654E-4</v>
      </c>
      <c r="AB133" s="12">
        <v>5.541E-4</v>
      </c>
      <c r="AC133" s="12">
        <v>6.253E-4</v>
      </c>
      <c r="AD133" s="12">
        <v>7.129E-4</v>
      </c>
      <c r="AE133" s="12">
        <v>8.695E-4</v>
      </c>
      <c r="AF133" s="12">
        <v>8.799E-4</v>
      </c>
      <c r="AG133" s="12">
        <v>0.0013391</v>
      </c>
      <c r="AH133" s="12">
        <v>0.0023121</v>
      </c>
      <c r="AI133" s="12">
        <v>0.0028739</v>
      </c>
      <c r="AJ133" s="12">
        <v>0.0</v>
      </c>
      <c r="AK133" s="12">
        <v>0.0</v>
      </c>
      <c r="AL133" s="12">
        <v>0.0</v>
      </c>
      <c r="AM133" s="12">
        <v>0.0</v>
      </c>
      <c r="AN133" s="12">
        <v>0.0</v>
      </c>
      <c r="AO133" s="12">
        <v>0.0</v>
      </c>
      <c r="AP133" s="13">
        <v>0.0</v>
      </c>
      <c r="AQ133" s="13">
        <v>0.0</v>
      </c>
      <c r="AR133" s="13">
        <v>0.0</v>
      </c>
      <c r="AS133" s="13">
        <v>0.0</v>
      </c>
      <c r="AT133" s="12">
        <f>AVERAGE(L133:AI133)</f>
        <v>0.003644645833</v>
      </c>
      <c r="AU133" s="12">
        <f t="shared" si="12"/>
        <v>0.003644645833</v>
      </c>
      <c r="AV133" s="14"/>
      <c r="AW133" s="15"/>
      <c r="AX133" s="15" t="str">
        <f t="shared" si="13"/>
        <v>#DIV/0!</v>
      </c>
    </row>
    <row r="134" ht="15.75" customHeight="1">
      <c r="A134" s="7">
        <v>230801.0</v>
      </c>
      <c r="B134" s="7">
        <v>53.0</v>
      </c>
      <c r="C134" s="7">
        <v>1.0</v>
      </c>
      <c r="D134" s="8" t="s">
        <v>149</v>
      </c>
      <c r="E134" s="7">
        <v>8.0</v>
      </c>
      <c r="F134" s="8" t="s">
        <v>56</v>
      </c>
      <c r="G134" s="16" t="s">
        <v>49</v>
      </c>
      <c r="H134" s="16" t="s">
        <v>50</v>
      </c>
      <c r="I134" s="8" t="s">
        <v>146</v>
      </c>
      <c r="J134" s="8" t="s">
        <v>52</v>
      </c>
      <c r="K134" s="11" t="s">
        <v>53</v>
      </c>
      <c r="L134" s="12">
        <v>0.0</v>
      </c>
      <c r="M134" s="12">
        <v>0.0163597</v>
      </c>
      <c r="N134" s="12">
        <v>0.0079649</v>
      </c>
      <c r="O134" s="12">
        <v>0.0039986</v>
      </c>
      <c r="P134" s="12">
        <v>0.0024301</v>
      </c>
      <c r="Q134" s="12">
        <v>0.0016592</v>
      </c>
      <c r="R134" s="12">
        <v>9.655E-4</v>
      </c>
      <c r="S134" s="12">
        <v>0.0010388</v>
      </c>
      <c r="T134" s="12">
        <v>0.0013311</v>
      </c>
      <c r="U134" s="12">
        <v>0.0012682</v>
      </c>
      <c r="V134" s="12">
        <v>0.0013742</v>
      </c>
      <c r="W134" s="12">
        <v>0.0015269</v>
      </c>
      <c r="X134" s="12">
        <v>0.0020962</v>
      </c>
      <c r="Y134" s="12">
        <v>0.0016939</v>
      </c>
      <c r="Z134" s="12">
        <v>4.064E-4</v>
      </c>
      <c r="AA134" s="12">
        <v>0.0</v>
      </c>
      <c r="AB134" s="12">
        <v>5.94E-5</v>
      </c>
      <c r="AC134" s="12">
        <v>5.68E-5</v>
      </c>
      <c r="AD134" s="12">
        <v>0.0</v>
      </c>
      <c r="AE134" s="12">
        <v>0.0</v>
      </c>
      <c r="AF134" s="12">
        <v>1.19E-5</v>
      </c>
      <c r="AG134" s="12">
        <v>1.17E-5</v>
      </c>
      <c r="AH134" s="12">
        <v>0.0</v>
      </c>
      <c r="AI134" s="12">
        <v>4.97E-5</v>
      </c>
      <c r="AJ134" s="12">
        <v>1.35E-4</v>
      </c>
      <c r="AK134" s="12">
        <v>1.585E-4</v>
      </c>
      <c r="AL134" s="12">
        <v>1.289E-4</v>
      </c>
      <c r="AM134" s="12">
        <v>0.0</v>
      </c>
      <c r="AN134" s="12">
        <v>0.0</v>
      </c>
      <c r="AO134" s="12">
        <v>0.0</v>
      </c>
      <c r="AP134" s="13">
        <v>0.0</v>
      </c>
      <c r="AQ134" s="13">
        <v>0.0</v>
      </c>
      <c r="AR134" s="13">
        <v>0.0</v>
      </c>
      <c r="AS134" s="13">
        <v>0.0</v>
      </c>
      <c r="AT134" s="12">
        <f>AVERAGE(L134:AL134)</f>
        <v>0.001656503704</v>
      </c>
      <c r="AU134" s="12">
        <f t="shared" si="12"/>
        <v>0.002032981818</v>
      </c>
      <c r="AV134" s="14"/>
      <c r="AW134" s="15"/>
      <c r="AX134" s="15" t="str">
        <f t="shared" si="13"/>
        <v>#DIV/0!</v>
      </c>
    </row>
    <row r="135" ht="15.75" customHeight="1">
      <c r="A135" s="7">
        <v>230802.0</v>
      </c>
      <c r="B135" s="7">
        <v>53.0</v>
      </c>
      <c r="C135" s="7">
        <v>1.0</v>
      </c>
      <c r="D135" s="8" t="s">
        <v>150</v>
      </c>
      <c r="E135" s="7">
        <v>8.0</v>
      </c>
      <c r="F135" s="8" t="s">
        <v>48</v>
      </c>
      <c r="G135" s="16" t="s">
        <v>67</v>
      </c>
      <c r="H135" s="16" t="s">
        <v>50</v>
      </c>
      <c r="I135" s="8" t="s">
        <v>146</v>
      </c>
      <c r="J135" s="8" t="s">
        <v>52</v>
      </c>
      <c r="K135" s="11" t="s">
        <v>57</v>
      </c>
      <c r="L135" s="12">
        <v>0.0011682</v>
      </c>
      <c r="M135" s="12">
        <v>0.0011816</v>
      </c>
      <c r="N135" s="12">
        <v>9.265E-4</v>
      </c>
      <c r="O135" s="12">
        <v>4.36E-4</v>
      </c>
      <c r="P135" s="12">
        <v>2.202E-4</v>
      </c>
      <c r="Q135" s="12">
        <v>1.225E-4</v>
      </c>
      <c r="R135" s="12">
        <v>2.32E-5</v>
      </c>
      <c r="S135" s="12">
        <v>2.35E-5</v>
      </c>
      <c r="T135" s="12">
        <v>0.0</v>
      </c>
      <c r="U135" s="12">
        <v>0.0</v>
      </c>
      <c r="V135" s="12">
        <v>0.0</v>
      </c>
      <c r="W135" s="12">
        <v>0.0</v>
      </c>
      <c r="X135" s="12">
        <v>0.0</v>
      </c>
      <c r="Y135" s="12">
        <v>0.0</v>
      </c>
      <c r="Z135" s="12">
        <v>0.0</v>
      </c>
      <c r="AA135" s="12">
        <v>0.0</v>
      </c>
      <c r="AB135" s="12">
        <v>0.0</v>
      </c>
      <c r="AC135" s="12">
        <v>0.0</v>
      </c>
      <c r="AD135" s="12">
        <v>5.1E-6</v>
      </c>
      <c r="AE135" s="12">
        <v>5.29E-5</v>
      </c>
      <c r="AF135" s="12">
        <v>5.49E-5</v>
      </c>
      <c r="AG135" s="12">
        <v>0.0</v>
      </c>
      <c r="AH135" s="12">
        <v>0.0</v>
      </c>
      <c r="AI135" s="12">
        <v>0.0</v>
      </c>
      <c r="AJ135" s="12">
        <v>0.0</v>
      </c>
      <c r="AK135" s="12">
        <v>0.0</v>
      </c>
      <c r="AL135" s="12">
        <v>0.0</v>
      </c>
      <c r="AM135" s="12">
        <v>0.0</v>
      </c>
      <c r="AN135" s="12">
        <v>0.0</v>
      </c>
      <c r="AO135" s="12">
        <v>0.0</v>
      </c>
      <c r="AP135" s="13">
        <v>0.0</v>
      </c>
      <c r="AQ135" s="13">
        <v>0.0</v>
      </c>
      <c r="AR135" s="13">
        <v>0.0</v>
      </c>
      <c r="AS135" s="13">
        <v>0.0</v>
      </c>
      <c r="AT135" s="12">
        <f t="shared" ref="AT135:AT136" si="14">AVERAGE(L135:AG135)</f>
        <v>0.0001915727273</v>
      </c>
      <c r="AU135" s="12">
        <f t="shared" si="12"/>
        <v>0.0003831454545</v>
      </c>
      <c r="AV135" s="14"/>
      <c r="AW135" s="15"/>
      <c r="AX135" s="15" t="str">
        <f t="shared" si="13"/>
        <v>#DIV/0!</v>
      </c>
    </row>
    <row r="136" ht="15.75" customHeight="1">
      <c r="A136" s="7">
        <v>230802.0</v>
      </c>
      <c r="B136" s="7">
        <v>53.0</v>
      </c>
      <c r="C136" s="7">
        <v>1.0</v>
      </c>
      <c r="D136" s="8" t="s">
        <v>151</v>
      </c>
      <c r="E136" s="7">
        <v>8.0</v>
      </c>
      <c r="F136" s="8" t="s">
        <v>48</v>
      </c>
      <c r="G136" s="16" t="s">
        <v>67</v>
      </c>
      <c r="H136" s="16" t="s">
        <v>50</v>
      </c>
      <c r="I136" s="8" t="s">
        <v>146</v>
      </c>
      <c r="J136" s="8" t="s">
        <v>52</v>
      </c>
      <c r="K136" s="11" t="s">
        <v>57</v>
      </c>
      <c r="L136" s="12">
        <v>0.0010796</v>
      </c>
      <c r="M136" s="12">
        <v>0.0020513</v>
      </c>
      <c r="N136" s="12">
        <v>0.0027207</v>
      </c>
      <c r="O136" s="12">
        <v>0.0031075</v>
      </c>
      <c r="P136" s="12">
        <v>0.0045665</v>
      </c>
      <c r="Q136" s="12">
        <v>0.0044653</v>
      </c>
      <c r="R136" s="12">
        <v>0.0019982</v>
      </c>
      <c r="S136" s="12">
        <v>3.684E-4</v>
      </c>
      <c r="T136" s="12">
        <v>9.89E-5</v>
      </c>
      <c r="U136" s="12">
        <v>6.78E-5</v>
      </c>
      <c r="V136" s="12">
        <v>0.0</v>
      </c>
      <c r="W136" s="12">
        <v>0.0</v>
      </c>
      <c r="X136" s="12">
        <v>0.0</v>
      </c>
      <c r="Y136" s="12">
        <v>0.0</v>
      </c>
      <c r="Z136" s="12">
        <v>0.0</v>
      </c>
      <c r="AA136" s="12">
        <v>0.0</v>
      </c>
      <c r="AB136" s="12">
        <v>0.0</v>
      </c>
      <c r="AC136" s="12">
        <v>0.0</v>
      </c>
      <c r="AD136" s="12">
        <v>0.0</v>
      </c>
      <c r="AE136" s="12">
        <v>2.968E-4</v>
      </c>
      <c r="AF136" s="12">
        <v>3.327E-4</v>
      </c>
      <c r="AG136" s="12">
        <v>3.38E-5</v>
      </c>
      <c r="AH136" s="12">
        <v>0.0</v>
      </c>
      <c r="AI136" s="12">
        <v>0.0</v>
      </c>
      <c r="AJ136" s="12">
        <v>0.0</v>
      </c>
      <c r="AK136" s="12">
        <v>0.0</v>
      </c>
      <c r="AL136" s="12">
        <v>0.0</v>
      </c>
      <c r="AM136" s="12">
        <v>0.0</v>
      </c>
      <c r="AN136" s="12">
        <v>0.0</v>
      </c>
      <c r="AO136" s="12">
        <v>0.0</v>
      </c>
      <c r="AP136" s="13">
        <v>0.0</v>
      </c>
      <c r="AQ136" s="13">
        <v>0.0</v>
      </c>
      <c r="AR136" s="13">
        <v>0.0</v>
      </c>
      <c r="AS136" s="13">
        <v>0.0</v>
      </c>
      <c r="AT136" s="12">
        <f t="shared" si="14"/>
        <v>0.0009630681818</v>
      </c>
      <c r="AU136" s="12">
        <f t="shared" si="12"/>
        <v>0.001629807692</v>
      </c>
      <c r="AV136" s="14"/>
      <c r="AW136" s="15"/>
      <c r="AX136" s="15" t="str">
        <f t="shared" si="13"/>
        <v>#DIV/0!</v>
      </c>
    </row>
    <row r="137" ht="15.75" customHeight="1">
      <c r="A137" s="7">
        <v>240418.0</v>
      </c>
      <c r="B137" s="7">
        <v>79.0</v>
      </c>
      <c r="C137" s="7">
        <v>2.0</v>
      </c>
      <c r="D137" s="8" t="s">
        <v>152</v>
      </c>
      <c r="E137" s="7">
        <v>8.0</v>
      </c>
      <c r="F137" s="8" t="s">
        <v>48</v>
      </c>
      <c r="G137" s="8" t="s">
        <v>89</v>
      </c>
      <c r="H137" s="8" t="s">
        <v>50</v>
      </c>
      <c r="I137" s="8" t="s">
        <v>146</v>
      </c>
      <c r="J137" s="8" t="s">
        <v>52</v>
      </c>
      <c r="K137" s="11" t="s">
        <v>59</v>
      </c>
      <c r="L137" s="12">
        <v>9.554E-4</v>
      </c>
      <c r="M137" s="12">
        <v>0.0034561</v>
      </c>
      <c r="N137" s="12">
        <v>0.0023353</v>
      </c>
      <c r="O137" s="12">
        <v>2.298E-4</v>
      </c>
      <c r="P137" s="12">
        <v>1.893E-4</v>
      </c>
      <c r="Q137" s="12">
        <v>3.566E-4</v>
      </c>
      <c r="R137" s="12">
        <v>3.641E-4</v>
      </c>
      <c r="S137" s="12">
        <v>1.98E-4</v>
      </c>
      <c r="T137" s="12">
        <v>1.339E-4</v>
      </c>
      <c r="U137" s="12">
        <v>1.809E-4</v>
      </c>
      <c r="V137" s="12">
        <v>1.41E-4</v>
      </c>
      <c r="W137" s="12">
        <v>9.84E-5</v>
      </c>
      <c r="X137" s="12">
        <v>0.0</v>
      </c>
      <c r="Y137" s="12">
        <v>0.0</v>
      </c>
      <c r="Z137" s="12">
        <v>0.0</v>
      </c>
      <c r="AA137" s="12">
        <v>0.0</v>
      </c>
      <c r="AB137" s="12">
        <v>0.0</v>
      </c>
      <c r="AC137" s="12">
        <v>0.0</v>
      </c>
      <c r="AD137" s="12">
        <v>0.0</v>
      </c>
      <c r="AE137" s="12">
        <v>0.0</v>
      </c>
      <c r="AF137" s="12">
        <v>1.612E-4</v>
      </c>
      <c r="AG137" s="12">
        <v>1.602E-4</v>
      </c>
      <c r="AH137" s="12">
        <v>6.9E-6</v>
      </c>
      <c r="AI137" s="12">
        <v>7.2E-6</v>
      </c>
      <c r="AJ137" s="12">
        <v>0.0</v>
      </c>
      <c r="AK137" s="12">
        <v>0.0</v>
      </c>
      <c r="AL137" s="12">
        <v>0.0</v>
      </c>
      <c r="AM137" s="12">
        <v>0.0</v>
      </c>
      <c r="AN137" s="12">
        <v>0.0</v>
      </c>
      <c r="AO137" s="12">
        <v>0.0</v>
      </c>
      <c r="AP137" s="13">
        <v>0.0</v>
      </c>
      <c r="AQ137" s="13">
        <v>0.0</v>
      </c>
      <c r="AR137" s="13">
        <v>0.0</v>
      </c>
      <c r="AS137" s="13">
        <v>0.0</v>
      </c>
      <c r="AT137" s="12">
        <f>AVERAGE(L137:AI137)</f>
        <v>0.0003739291667</v>
      </c>
      <c r="AU137" s="12">
        <f t="shared" si="12"/>
        <v>0.00056089375</v>
      </c>
      <c r="AV137" s="14"/>
      <c r="AW137" s="15"/>
      <c r="AX137" s="15" t="str">
        <f t="shared" si="13"/>
        <v>#DIV/0!</v>
      </c>
    </row>
    <row r="138" ht="15.75" customHeight="1">
      <c r="A138" s="7">
        <v>240418.0</v>
      </c>
      <c r="B138" s="7">
        <v>79.0</v>
      </c>
      <c r="C138" s="7">
        <v>2.0</v>
      </c>
      <c r="D138" s="8" t="s">
        <v>153</v>
      </c>
      <c r="E138" s="7">
        <v>8.0</v>
      </c>
      <c r="F138" s="8" t="s">
        <v>48</v>
      </c>
      <c r="G138" s="8" t="s">
        <v>89</v>
      </c>
      <c r="H138" s="8" t="s">
        <v>63</v>
      </c>
      <c r="I138" s="8" t="s">
        <v>146</v>
      </c>
      <c r="J138" s="8" t="s">
        <v>52</v>
      </c>
      <c r="K138" s="11" t="s">
        <v>59</v>
      </c>
      <c r="L138" s="12">
        <v>1.708E-4</v>
      </c>
      <c r="M138" s="12">
        <v>4.88E-5</v>
      </c>
      <c r="N138" s="12">
        <v>3.732E-4</v>
      </c>
      <c r="O138" s="12">
        <v>3.8E-4</v>
      </c>
      <c r="P138" s="12">
        <v>3.23E-5</v>
      </c>
      <c r="Q138" s="12">
        <v>7.63E-5</v>
      </c>
      <c r="R138" s="12">
        <v>2.315E-4</v>
      </c>
      <c r="S138" s="12">
        <v>1.69E-4</v>
      </c>
      <c r="T138" s="12">
        <v>0.0</v>
      </c>
      <c r="U138" s="12">
        <v>0.0</v>
      </c>
      <c r="V138" s="12">
        <v>0.0</v>
      </c>
      <c r="W138" s="12">
        <v>0.0</v>
      </c>
      <c r="X138" s="12">
        <v>0.0</v>
      </c>
      <c r="Y138" s="12">
        <v>0.0</v>
      </c>
      <c r="Z138" s="12">
        <v>0.0</v>
      </c>
      <c r="AA138" s="12">
        <v>0.0</v>
      </c>
      <c r="AB138" s="12">
        <v>0.0</v>
      </c>
      <c r="AC138" s="12">
        <v>0.0</v>
      </c>
      <c r="AD138" s="12">
        <v>0.0</v>
      </c>
      <c r="AE138" s="12">
        <v>0.0</v>
      </c>
      <c r="AF138" s="12">
        <v>0.0</v>
      </c>
      <c r="AG138" s="12">
        <v>0.0</v>
      </c>
      <c r="AH138" s="12">
        <v>0.0</v>
      </c>
      <c r="AI138" s="12">
        <v>0.0</v>
      </c>
      <c r="AJ138" s="12">
        <v>0.0</v>
      </c>
      <c r="AK138" s="12">
        <v>0.0</v>
      </c>
      <c r="AL138" s="12">
        <v>0.0</v>
      </c>
      <c r="AM138" s="12">
        <v>0.0</v>
      </c>
      <c r="AN138" s="12">
        <v>0.0</v>
      </c>
      <c r="AO138" s="12">
        <v>0.0</v>
      </c>
      <c r="AP138" s="13">
        <v>0.0</v>
      </c>
      <c r="AQ138" s="13">
        <v>0.0</v>
      </c>
      <c r="AR138" s="13">
        <v>0.0</v>
      </c>
      <c r="AS138" s="13">
        <v>0.0</v>
      </c>
      <c r="AT138" s="12">
        <f>AVERAGE(L138:S138)</f>
        <v>0.0001852375</v>
      </c>
      <c r="AU138" s="12">
        <f t="shared" si="12"/>
        <v>0.0001852375</v>
      </c>
      <c r="AV138" s="14"/>
      <c r="AW138" s="15"/>
      <c r="AX138" s="15" t="str">
        <f t="shared" si="13"/>
        <v>#DIV/0!</v>
      </c>
    </row>
    <row r="139" ht="15.75" customHeight="1">
      <c r="A139" s="7">
        <v>240418.0</v>
      </c>
      <c r="B139" s="7">
        <v>79.0</v>
      </c>
      <c r="C139" s="7">
        <v>2.0</v>
      </c>
      <c r="D139" s="8" t="s">
        <v>154</v>
      </c>
      <c r="E139" s="7">
        <v>8.0</v>
      </c>
      <c r="F139" s="8" t="s">
        <v>48</v>
      </c>
      <c r="G139" s="8" t="s">
        <v>89</v>
      </c>
      <c r="H139" s="8" t="s">
        <v>65</v>
      </c>
      <c r="I139" s="8" t="s">
        <v>146</v>
      </c>
      <c r="J139" s="8" t="s">
        <v>52</v>
      </c>
      <c r="K139" s="11" t="s">
        <v>59</v>
      </c>
      <c r="L139" s="12">
        <v>0.0032352</v>
      </c>
      <c r="M139" s="12">
        <v>0.0010796</v>
      </c>
      <c r="N139" s="12">
        <v>9.8E-5</v>
      </c>
      <c r="O139" s="12">
        <v>2.747E-4</v>
      </c>
      <c r="P139" s="12">
        <v>3.853E-4</v>
      </c>
      <c r="Q139" s="12">
        <v>3.335E-4</v>
      </c>
      <c r="R139" s="12">
        <v>1.973E-4</v>
      </c>
      <c r="S139" s="12">
        <v>8.76E-5</v>
      </c>
      <c r="T139" s="12">
        <v>4.56E-5</v>
      </c>
      <c r="U139" s="12">
        <v>7.2E-6</v>
      </c>
      <c r="V139" s="12">
        <v>0.0</v>
      </c>
      <c r="W139" s="12">
        <v>0.0</v>
      </c>
      <c r="X139" s="12">
        <v>0.0</v>
      </c>
      <c r="Y139" s="12">
        <v>0.0</v>
      </c>
      <c r="Z139" s="12">
        <v>0.0</v>
      </c>
      <c r="AA139" s="12">
        <v>0.0</v>
      </c>
      <c r="AB139" s="12">
        <v>0.0</v>
      </c>
      <c r="AC139" s="12">
        <v>0.0</v>
      </c>
      <c r="AD139" s="12">
        <v>0.0</v>
      </c>
      <c r="AE139" s="12">
        <v>0.0</v>
      </c>
      <c r="AF139" s="12">
        <v>0.0</v>
      </c>
      <c r="AG139" s="12">
        <v>0.0</v>
      </c>
      <c r="AH139" s="12">
        <v>0.0</v>
      </c>
      <c r="AI139" s="12">
        <v>0.0</v>
      </c>
      <c r="AJ139" s="12">
        <v>0.0</v>
      </c>
      <c r="AK139" s="12">
        <v>0.0</v>
      </c>
      <c r="AL139" s="12">
        <v>0.0</v>
      </c>
      <c r="AM139" s="12">
        <v>0.0</v>
      </c>
      <c r="AN139" s="12">
        <v>0.0</v>
      </c>
      <c r="AO139" s="12">
        <v>0.0</v>
      </c>
      <c r="AP139" s="13">
        <v>0.0</v>
      </c>
      <c r="AQ139" s="13">
        <v>0.0</v>
      </c>
      <c r="AR139" s="13">
        <v>0.0</v>
      </c>
      <c r="AS139" s="13">
        <v>0.0</v>
      </c>
      <c r="AT139" s="12">
        <f>AVERAGE(L139:U139)</f>
        <v>0.0005744</v>
      </c>
      <c r="AU139" s="12">
        <f t="shared" si="12"/>
        <v>0.0005744</v>
      </c>
      <c r="AV139" s="14"/>
      <c r="AW139" s="15"/>
      <c r="AX139" s="15" t="str">
        <f t="shared" si="13"/>
        <v>#DIV/0!</v>
      </c>
    </row>
    <row r="140" ht="15.75" customHeight="1">
      <c r="A140" s="7">
        <v>240418.0</v>
      </c>
      <c r="B140" s="7">
        <v>79.0</v>
      </c>
      <c r="C140" s="7">
        <v>2.0</v>
      </c>
      <c r="D140" s="8" t="s">
        <v>155</v>
      </c>
      <c r="E140" s="7">
        <v>8.0</v>
      </c>
      <c r="F140" s="8" t="s">
        <v>48</v>
      </c>
      <c r="G140" s="8" t="s">
        <v>89</v>
      </c>
      <c r="H140" s="8" t="s">
        <v>61</v>
      </c>
      <c r="I140" s="8" t="s">
        <v>146</v>
      </c>
      <c r="J140" s="8" t="s">
        <v>52</v>
      </c>
      <c r="K140" s="11" t="s">
        <v>59</v>
      </c>
      <c r="L140" s="12">
        <v>5.023E-4</v>
      </c>
      <c r="M140" s="12">
        <v>4.764E-4</v>
      </c>
      <c r="N140" s="12">
        <v>4.029E-4</v>
      </c>
      <c r="O140" s="12">
        <v>5.088E-4</v>
      </c>
      <c r="P140" s="12">
        <v>4.651E-4</v>
      </c>
      <c r="Q140" s="12">
        <v>4.224E-4</v>
      </c>
      <c r="R140" s="12">
        <v>3.123E-4</v>
      </c>
      <c r="S140" s="12">
        <v>0.0</v>
      </c>
      <c r="T140" s="12">
        <v>0.0</v>
      </c>
      <c r="U140" s="12">
        <v>0.0</v>
      </c>
      <c r="V140" s="12">
        <v>0.0</v>
      </c>
      <c r="W140" s="12">
        <v>0.0</v>
      </c>
      <c r="X140" s="12">
        <v>0.0</v>
      </c>
      <c r="Y140" s="12">
        <v>0.0</v>
      </c>
      <c r="Z140" s="12">
        <v>0.0</v>
      </c>
      <c r="AA140" s="12">
        <v>0.0</v>
      </c>
      <c r="AB140" s="12">
        <v>0.0</v>
      </c>
      <c r="AC140" s="12">
        <v>0.0</v>
      </c>
      <c r="AD140" s="12">
        <v>0.0</v>
      </c>
      <c r="AE140" s="12">
        <v>0.0</v>
      </c>
      <c r="AF140" s="12">
        <v>0.0</v>
      </c>
      <c r="AG140" s="12">
        <v>0.0</v>
      </c>
      <c r="AH140" s="12">
        <v>0.0</v>
      </c>
      <c r="AI140" s="12">
        <v>0.0</v>
      </c>
      <c r="AJ140" s="12">
        <v>0.0</v>
      </c>
      <c r="AK140" s="12">
        <v>9.421E-4</v>
      </c>
      <c r="AL140" s="12">
        <v>0.0021227</v>
      </c>
      <c r="AM140" s="12">
        <v>0.0026257</v>
      </c>
      <c r="AN140" s="12">
        <v>0.0057489</v>
      </c>
      <c r="AO140" s="12">
        <v>0.0</v>
      </c>
      <c r="AP140" s="13">
        <v>0.0</v>
      </c>
      <c r="AQ140" s="13">
        <v>0.0</v>
      </c>
      <c r="AR140" s="13">
        <v>0.0</v>
      </c>
      <c r="AS140" s="13">
        <v>0.0</v>
      </c>
      <c r="AT140" s="12">
        <f>AVERAGE(L140:AN140)</f>
        <v>0.0005010206897</v>
      </c>
      <c r="AU140" s="12">
        <f t="shared" si="12"/>
        <v>0.001320872727</v>
      </c>
      <c r="AV140" s="14"/>
      <c r="AW140" s="15"/>
      <c r="AX140" s="15" t="str">
        <f t="shared" si="13"/>
        <v>#DIV/0!</v>
      </c>
    </row>
    <row r="141" ht="15.75" customHeight="1">
      <c r="A141" s="7">
        <v>240419.0</v>
      </c>
      <c r="B141" s="7">
        <v>79.0</v>
      </c>
      <c r="C141" s="7">
        <v>2.0</v>
      </c>
      <c r="D141" s="8" t="s">
        <v>156</v>
      </c>
      <c r="E141" s="7">
        <v>8.0</v>
      </c>
      <c r="F141" s="8" t="s">
        <v>48</v>
      </c>
      <c r="G141" s="8" t="s">
        <v>85</v>
      </c>
      <c r="H141" s="8" t="s">
        <v>63</v>
      </c>
      <c r="I141" s="8" t="s">
        <v>146</v>
      </c>
      <c r="J141" s="8" t="s">
        <v>52</v>
      </c>
      <c r="K141" s="11" t="s">
        <v>59</v>
      </c>
      <c r="L141" s="12">
        <v>9.787E-4</v>
      </c>
      <c r="M141" s="12">
        <v>5.491E-4</v>
      </c>
      <c r="N141" s="12">
        <v>1.87E-4</v>
      </c>
      <c r="O141" s="12">
        <v>0.0</v>
      </c>
      <c r="P141" s="12">
        <v>0.0</v>
      </c>
      <c r="Q141" s="12">
        <v>0.0</v>
      </c>
      <c r="R141" s="12">
        <v>0.0</v>
      </c>
      <c r="S141" s="12">
        <v>0.0</v>
      </c>
      <c r="T141" s="12">
        <v>7.74E-5</v>
      </c>
      <c r="U141" s="12">
        <v>2.7E-4</v>
      </c>
      <c r="V141" s="12">
        <v>1.946E-4</v>
      </c>
      <c r="W141" s="12">
        <v>0.0</v>
      </c>
      <c r="X141" s="12">
        <v>0.0</v>
      </c>
      <c r="Y141" s="12">
        <v>0.0</v>
      </c>
      <c r="Z141" s="12">
        <v>0.0</v>
      </c>
      <c r="AA141" s="12">
        <v>0.0</v>
      </c>
      <c r="AB141" s="12">
        <v>0.0</v>
      </c>
      <c r="AC141" s="12">
        <v>0.0</v>
      </c>
      <c r="AD141" s="12">
        <v>0.0</v>
      </c>
      <c r="AE141" s="12">
        <v>0.0</v>
      </c>
      <c r="AF141" s="12">
        <v>0.0</v>
      </c>
      <c r="AG141" s="12">
        <v>0.0</v>
      </c>
      <c r="AH141" s="12">
        <v>0.0</v>
      </c>
      <c r="AI141" s="12">
        <v>0.0</v>
      </c>
      <c r="AJ141" s="12">
        <v>0.0</v>
      </c>
      <c r="AK141" s="12">
        <v>0.0</v>
      </c>
      <c r="AL141" s="12">
        <v>0.0</v>
      </c>
      <c r="AM141" s="12">
        <v>0.0</v>
      </c>
      <c r="AN141" s="12">
        <v>0.0</v>
      </c>
      <c r="AO141" s="12">
        <v>0.0</v>
      </c>
      <c r="AP141" s="13">
        <v>0.0</v>
      </c>
      <c r="AQ141" s="13">
        <v>0.0</v>
      </c>
      <c r="AR141" s="13">
        <v>0.0</v>
      </c>
      <c r="AS141" s="13">
        <v>0.0</v>
      </c>
      <c r="AT141" s="12">
        <f>AVERAGE(L141:V141)</f>
        <v>0.0002051636364</v>
      </c>
      <c r="AU141" s="12">
        <f t="shared" si="12"/>
        <v>0.0003761333333</v>
      </c>
      <c r="AV141" s="14"/>
      <c r="AW141" s="15"/>
      <c r="AX141" s="15" t="str">
        <f t="shared" si="13"/>
        <v>#DIV/0!</v>
      </c>
    </row>
    <row r="142" ht="15.75" customHeight="1">
      <c r="A142" s="7">
        <v>240419.0</v>
      </c>
      <c r="B142" s="7">
        <v>79.0</v>
      </c>
      <c r="C142" s="7">
        <v>2.0</v>
      </c>
      <c r="D142" s="8" t="s">
        <v>157</v>
      </c>
      <c r="E142" s="7">
        <v>8.0</v>
      </c>
      <c r="F142" s="8" t="s">
        <v>48</v>
      </c>
      <c r="G142" s="8" t="s">
        <v>85</v>
      </c>
      <c r="H142" s="8" t="s">
        <v>50</v>
      </c>
      <c r="I142" s="8" t="s">
        <v>146</v>
      </c>
      <c r="J142" s="8" t="s">
        <v>52</v>
      </c>
      <c r="K142" s="11" t="s">
        <v>59</v>
      </c>
      <c r="L142" s="12">
        <v>0.0</v>
      </c>
      <c r="M142" s="12">
        <v>0.0</v>
      </c>
      <c r="N142" s="12">
        <v>1.301E-4</v>
      </c>
      <c r="O142" s="12">
        <v>1.188E-4</v>
      </c>
      <c r="P142" s="12">
        <v>0.0</v>
      </c>
      <c r="Q142" s="12">
        <v>0.0</v>
      </c>
      <c r="R142" s="12">
        <v>0.0</v>
      </c>
      <c r="S142" s="12">
        <v>1.032E-4</v>
      </c>
      <c r="T142" s="12">
        <v>1.051E-4</v>
      </c>
      <c r="U142" s="12">
        <v>0.0</v>
      </c>
      <c r="V142" s="12">
        <v>0.0</v>
      </c>
      <c r="W142" s="12">
        <v>0.0</v>
      </c>
      <c r="X142" s="12">
        <v>0.0</v>
      </c>
      <c r="Y142" s="12">
        <v>5.72E-5</v>
      </c>
      <c r="Z142" s="12">
        <v>5.61E-5</v>
      </c>
      <c r="AA142" s="12">
        <v>0.0</v>
      </c>
      <c r="AB142" s="12">
        <v>0.0</v>
      </c>
      <c r="AC142" s="12">
        <v>0.0</v>
      </c>
      <c r="AD142" s="12">
        <v>0.0</v>
      </c>
      <c r="AE142" s="12">
        <v>0.0</v>
      </c>
      <c r="AF142" s="12">
        <v>0.0</v>
      </c>
      <c r="AG142" s="12">
        <v>0.0</v>
      </c>
      <c r="AH142" s="12">
        <v>0.0</v>
      </c>
      <c r="AI142" s="12">
        <v>2.246E-4</v>
      </c>
      <c r="AJ142" s="12">
        <v>0.0012911</v>
      </c>
      <c r="AK142" s="12">
        <v>0.0029703</v>
      </c>
      <c r="AL142" s="12">
        <v>0.0027048</v>
      </c>
      <c r="AM142" s="12">
        <v>0.0</v>
      </c>
      <c r="AN142" s="12">
        <v>0.0</v>
      </c>
      <c r="AO142" s="12">
        <v>0.0</v>
      </c>
      <c r="AP142" s="13">
        <v>0.0</v>
      </c>
      <c r="AQ142" s="13">
        <v>0.0</v>
      </c>
      <c r="AR142" s="13">
        <v>0.0</v>
      </c>
      <c r="AS142" s="13">
        <v>0.0</v>
      </c>
      <c r="AT142" s="12">
        <f>AVERAGE(L142:AL142)</f>
        <v>0.0002874555556</v>
      </c>
      <c r="AU142" s="12">
        <f t="shared" si="12"/>
        <v>0.00077613</v>
      </c>
      <c r="AV142" s="14"/>
      <c r="AW142" s="15"/>
      <c r="AX142" s="15" t="str">
        <f t="shared" si="13"/>
        <v>#DIV/0!</v>
      </c>
    </row>
    <row r="143" ht="15.75" customHeight="1">
      <c r="A143" s="7">
        <v>240419.0</v>
      </c>
      <c r="B143" s="7">
        <v>79.0</v>
      </c>
      <c r="C143" s="7">
        <v>2.0</v>
      </c>
      <c r="D143" s="8" t="s">
        <v>158</v>
      </c>
      <c r="E143" s="7">
        <v>8.0</v>
      </c>
      <c r="F143" s="8" t="s">
        <v>48</v>
      </c>
      <c r="G143" s="8" t="s">
        <v>85</v>
      </c>
      <c r="H143" s="8" t="s">
        <v>61</v>
      </c>
      <c r="I143" s="8" t="s">
        <v>146</v>
      </c>
      <c r="J143" s="8" t="s">
        <v>52</v>
      </c>
      <c r="K143" s="11" t="s">
        <v>59</v>
      </c>
      <c r="L143" s="12">
        <v>0.0</v>
      </c>
      <c r="M143" s="12">
        <v>0.0</v>
      </c>
      <c r="N143" s="12">
        <v>0.0</v>
      </c>
      <c r="O143" s="12">
        <v>5.91E-5</v>
      </c>
      <c r="P143" s="12">
        <v>1.499E-4</v>
      </c>
      <c r="Q143" s="12">
        <v>9.13E-5</v>
      </c>
      <c r="R143" s="12">
        <v>9.63E-5</v>
      </c>
      <c r="S143" s="12">
        <v>1.903E-4</v>
      </c>
      <c r="T143" s="12">
        <v>2.319E-4</v>
      </c>
      <c r="U143" s="12">
        <v>2.167E-4</v>
      </c>
      <c r="V143" s="12">
        <v>7.98E-5</v>
      </c>
      <c r="W143" s="12">
        <v>0.0</v>
      </c>
      <c r="X143" s="12">
        <v>0.0</v>
      </c>
      <c r="Y143" s="12">
        <v>0.0</v>
      </c>
      <c r="Z143" s="12">
        <v>0.0</v>
      </c>
      <c r="AA143" s="12">
        <v>0.0</v>
      </c>
      <c r="AB143" s="12">
        <v>0.0</v>
      </c>
      <c r="AC143" s="12">
        <v>0.0</v>
      </c>
      <c r="AD143" s="12">
        <v>0.0</v>
      </c>
      <c r="AE143" s="12">
        <v>0.0</v>
      </c>
      <c r="AF143" s="12">
        <v>0.0</v>
      </c>
      <c r="AG143" s="12">
        <v>0.0</v>
      </c>
      <c r="AH143" s="12">
        <v>0.0</v>
      </c>
      <c r="AI143" s="12">
        <v>0.0</v>
      </c>
      <c r="AJ143" s="12">
        <v>0.0</v>
      </c>
      <c r="AK143" s="12">
        <v>0.0</v>
      </c>
      <c r="AL143" s="12">
        <v>0.0</v>
      </c>
      <c r="AM143" s="12">
        <v>0.0</v>
      </c>
      <c r="AN143" s="12">
        <v>0.0</v>
      </c>
      <c r="AO143" s="12">
        <v>0.0</v>
      </c>
      <c r="AP143" s="13">
        <v>0.0</v>
      </c>
      <c r="AQ143" s="13">
        <v>0.0</v>
      </c>
      <c r="AR143" s="13">
        <v>0.0</v>
      </c>
      <c r="AS143" s="13">
        <v>0.0</v>
      </c>
      <c r="AT143" s="12">
        <f>AVERAGE(L143:V143)</f>
        <v>0.0001013909091</v>
      </c>
      <c r="AU143" s="12">
        <f t="shared" si="12"/>
        <v>0.0001394125</v>
      </c>
      <c r="AV143" s="14"/>
      <c r="AW143" s="15"/>
      <c r="AX143" s="15" t="str">
        <f t="shared" si="13"/>
        <v>#DIV/0!</v>
      </c>
    </row>
    <row r="144" ht="15.75" customHeight="1">
      <c r="A144" s="7">
        <v>240419.0</v>
      </c>
      <c r="B144" s="7">
        <v>79.0</v>
      </c>
      <c r="C144" s="7">
        <v>2.0</v>
      </c>
      <c r="D144" s="8" t="s">
        <v>159</v>
      </c>
      <c r="E144" s="7">
        <v>8.0</v>
      </c>
      <c r="F144" s="8" t="s">
        <v>48</v>
      </c>
      <c r="G144" s="8" t="s">
        <v>85</v>
      </c>
      <c r="H144" s="8" t="s">
        <v>65</v>
      </c>
      <c r="I144" s="8" t="s">
        <v>146</v>
      </c>
      <c r="J144" s="8" t="s">
        <v>52</v>
      </c>
      <c r="K144" s="11" t="s">
        <v>59</v>
      </c>
      <c r="L144" s="12">
        <v>2.965E-4</v>
      </c>
      <c r="M144" s="12">
        <v>2.836E-4</v>
      </c>
      <c r="N144" s="12">
        <v>1.263E-4</v>
      </c>
      <c r="O144" s="12">
        <v>6.51E-5</v>
      </c>
      <c r="P144" s="12">
        <v>7.82E-5</v>
      </c>
      <c r="Q144" s="12">
        <v>3.037E-4</v>
      </c>
      <c r="R144" s="12">
        <v>3.979E-4</v>
      </c>
      <c r="S144" s="12">
        <v>1.306E-4</v>
      </c>
      <c r="T144" s="12">
        <v>3.173E-4</v>
      </c>
      <c r="U144" s="12">
        <v>3.604E-4</v>
      </c>
      <c r="V144" s="12">
        <v>9.04E-5</v>
      </c>
      <c r="W144" s="12">
        <v>0.0</v>
      </c>
      <c r="X144" s="12">
        <v>0.0</v>
      </c>
      <c r="Y144" s="12">
        <v>0.0</v>
      </c>
      <c r="Z144" s="12">
        <v>0.0</v>
      </c>
      <c r="AA144" s="12">
        <v>0.0</v>
      </c>
      <c r="AB144" s="12">
        <v>0.0</v>
      </c>
      <c r="AC144" s="12">
        <v>0.0</v>
      </c>
      <c r="AD144" s="12">
        <v>0.0</v>
      </c>
      <c r="AE144" s="12">
        <v>0.0</v>
      </c>
      <c r="AF144" s="12">
        <v>0.0</v>
      </c>
      <c r="AG144" s="12">
        <v>1.24E-5</v>
      </c>
      <c r="AH144" s="12">
        <v>8.15E-5</v>
      </c>
      <c r="AI144" s="12">
        <v>2.375E-4</v>
      </c>
      <c r="AJ144" s="12">
        <v>0.0011736</v>
      </c>
      <c r="AK144" s="12">
        <v>0.00697</v>
      </c>
      <c r="AL144" s="12">
        <v>0.013201</v>
      </c>
      <c r="AM144" s="12">
        <v>0.0066357</v>
      </c>
      <c r="AN144" s="12">
        <v>0.0</v>
      </c>
      <c r="AO144" s="12">
        <v>0.0</v>
      </c>
      <c r="AP144" s="13">
        <v>0.0</v>
      </c>
      <c r="AQ144" s="13">
        <v>0.0</v>
      </c>
      <c r="AR144" s="13">
        <v>0.0</v>
      </c>
      <c r="AS144" s="13">
        <v>0.0</v>
      </c>
      <c r="AT144" s="12">
        <f>AVERAGE(L144:AM144)</f>
        <v>0.001098632143</v>
      </c>
      <c r="AU144" s="12">
        <f t="shared" si="12"/>
        <v>0.001708983333</v>
      </c>
      <c r="AV144" s="14"/>
      <c r="AW144" s="15"/>
      <c r="AX144" s="15" t="str">
        <f t="shared" si="13"/>
        <v>#DIV/0!</v>
      </c>
    </row>
    <row r="145" ht="15.75" customHeight="1">
      <c r="A145" s="7">
        <v>240419.0</v>
      </c>
      <c r="B145" s="7">
        <v>79.0</v>
      </c>
      <c r="C145" s="7">
        <v>2.0</v>
      </c>
      <c r="D145" s="8" t="s">
        <v>160</v>
      </c>
      <c r="E145" s="7">
        <v>8.0</v>
      </c>
      <c r="F145" s="8" t="s">
        <v>56</v>
      </c>
      <c r="G145" s="8" t="s">
        <v>85</v>
      </c>
      <c r="H145" s="8" t="s">
        <v>50</v>
      </c>
      <c r="I145" s="8" t="s">
        <v>146</v>
      </c>
      <c r="J145" s="8" t="s">
        <v>52</v>
      </c>
      <c r="K145" s="11" t="s">
        <v>70</v>
      </c>
      <c r="L145" s="12">
        <v>0.0019484</v>
      </c>
      <c r="M145" s="12">
        <v>0.0016218</v>
      </c>
      <c r="N145" s="12">
        <v>8.296E-4</v>
      </c>
      <c r="O145" s="12">
        <v>9.52E-5</v>
      </c>
      <c r="P145" s="12">
        <v>0.0</v>
      </c>
      <c r="Q145" s="12">
        <v>0.0</v>
      </c>
      <c r="R145" s="12">
        <v>0.0</v>
      </c>
      <c r="S145" s="12">
        <v>0.0</v>
      </c>
      <c r="T145" s="12">
        <v>0.0</v>
      </c>
      <c r="U145" s="12">
        <v>0.0</v>
      </c>
      <c r="V145" s="12">
        <v>0.0</v>
      </c>
      <c r="W145" s="12">
        <v>0.0</v>
      </c>
      <c r="X145" s="12">
        <v>3.92E-5</v>
      </c>
      <c r="Y145" s="12">
        <v>1.212E-4</v>
      </c>
      <c r="Z145" s="12">
        <v>8.43E-5</v>
      </c>
      <c r="AA145" s="12">
        <v>0.0</v>
      </c>
      <c r="AB145" s="12">
        <v>0.0</v>
      </c>
      <c r="AC145" s="12">
        <v>0.0</v>
      </c>
      <c r="AD145" s="12">
        <v>0.0</v>
      </c>
      <c r="AE145" s="12">
        <v>0.0</v>
      </c>
      <c r="AF145" s="12">
        <v>0.0</v>
      </c>
      <c r="AG145" s="12">
        <v>0.0</v>
      </c>
      <c r="AH145" s="12">
        <v>0.0</v>
      </c>
      <c r="AI145" s="12">
        <v>0.0</v>
      </c>
      <c r="AJ145" s="12">
        <v>0.0</v>
      </c>
      <c r="AK145" s="12">
        <v>0.0</v>
      </c>
      <c r="AL145" s="12">
        <v>0.0</v>
      </c>
      <c r="AM145" s="12">
        <v>0.0</v>
      </c>
      <c r="AN145" s="12">
        <v>0.0</v>
      </c>
      <c r="AO145" s="12">
        <v>0.0</v>
      </c>
      <c r="AP145" s="13">
        <v>0.0</v>
      </c>
      <c r="AQ145" s="13">
        <v>0.0</v>
      </c>
      <c r="AR145" s="13">
        <v>0.0</v>
      </c>
      <c r="AS145" s="13">
        <v>0.0</v>
      </c>
      <c r="AT145" s="12">
        <f>AVERAGE(L145:Z145)</f>
        <v>0.00031598</v>
      </c>
      <c r="AU145" s="12">
        <f t="shared" si="12"/>
        <v>0.0006771</v>
      </c>
      <c r="AV145" s="14"/>
      <c r="AW145" s="15"/>
      <c r="AX145" s="15" t="str">
        <f t="shared" si="13"/>
        <v>#DIV/0!</v>
      </c>
    </row>
    <row r="146" ht="15.75" customHeight="1">
      <c r="A146" s="7">
        <v>240419.0</v>
      </c>
      <c r="B146" s="7">
        <v>79.0</v>
      </c>
      <c r="C146" s="7">
        <v>2.0</v>
      </c>
      <c r="D146" s="8" t="s">
        <v>161</v>
      </c>
      <c r="E146" s="7">
        <v>8.0</v>
      </c>
      <c r="F146" s="8" t="s">
        <v>56</v>
      </c>
      <c r="G146" s="8" t="s">
        <v>85</v>
      </c>
      <c r="H146" s="8" t="s">
        <v>63</v>
      </c>
      <c r="I146" s="8" t="s">
        <v>146</v>
      </c>
      <c r="J146" s="8" t="s">
        <v>52</v>
      </c>
      <c r="K146" s="11" t="s">
        <v>70</v>
      </c>
      <c r="L146" s="12">
        <v>0.0</v>
      </c>
      <c r="M146" s="12">
        <v>0.0</v>
      </c>
      <c r="N146" s="12">
        <v>1.038E-4</v>
      </c>
      <c r="O146" s="12">
        <v>9.51E-5</v>
      </c>
      <c r="P146" s="12">
        <v>0.0</v>
      </c>
      <c r="Q146" s="12">
        <v>0.0</v>
      </c>
      <c r="R146" s="12">
        <v>0.0</v>
      </c>
      <c r="S146" s="12">
        <v>0.0</v>
      </c>
      <c r="T146" s="12">
        <v>0.0</v>
      </c>
      <c r="U146" s="12">
        <v>7.04E-5</v>
      </c>
      <c r="V146" s="12">
        <v>6.96E-5</v>
      </c>
      <c r="W146" s="12">
        <v>0.0</v>
      </c>
      <c r="X146" s="12">
        <v>3.4E-5</v>
      </c>
      <c r="Y146" s="12">
        <v>1.392E-4</v>
      </c>
      <c r="Z146" s="12">
        <v>1.095E-4</v>
      </c>
      <c r="AA146" s="12">
        <v>0.0</v>
      </c>
      <c r="AB146" s="12">
        <v>0.0</v>
      </c>
      <c r="AC146" s="12">
        <v>0.0</v>
      </c>
      <c r="AD146" s="12">
        <v>0.0</v>
      </c>
      <c r="AE146" s="12">
        <v>3.1E-6</v>
      </c>
      <c r="AF146" s="12">
        <v>3.1E-6</v>
      </c>
      <c r="AG146" s="12">
        <v>0.0</v>
      </c>
      <c r="AH146" s="12">
        <v>0.0</v>
      </c>
      <c r="AI146" s="12">
        <v>0.0</v>
      </c>
      <c r="AJ146" s="12">
        <v>0.0</v>
      </c>
      <c r="AK146" s="12">
        <v>0.0</v>
      </c>
      <c r="AL146" s="12">
        <v>0.0</v>
      </c>
      <c r="AM146" s="12">
        <v>0.0</v>
      </c>
      <c r="AN146" s="12">
        <v>0.0</v>
      </c>
      <c r="AO146" s="12">
        <v>0.0</v>
      </c>
      <c r="AP146" s="13">
        <v>0.0</v>
      </c>
      <c r="AQ146" s="13">
        <v>0.0</v>
      </c>
      <c r="AR146" s="13">
        <v>0.0</v>
      </c>
      <c r="AS146" s="13">
        <v>0.0</v>
      </c>
      <c r="AT146" s="12">
        <f>AVERAGE(L146:AF146)</f>
        <v>0.0000298952381</v>
      </c>
      <c r="AU146" s="12">
        <f t="shared" si="12"/>
        <v>0.00006975555556</v>
      </c>
      <c r="AV146" s="14"/>
      <c r="AW146" s="15"/>
      <c r="AX146" s="15" t="str">
        <f t="shared" si="13"/>
        <v>#DIV/0!</v>
      </c>
    </row>
    <row r="147" ht="15.75" customHeight="1">
      <c r="A147" s="7">
        <v>240515.0</v>
      </c>
      <c r="B147" s="7">
        <v>79.0</v>
      </c>
      <c r="C147" s="7">
        <v>2.0</v>
      </c>
      <c r="D147" s="8" t="s">
        <v>162</v>
      </c>
      <c r="E147" s="7">
        <v>8.0</v>
      </c>
      <c r="F147" s="8" t="s">
        <v>56</v>
      </c>
      <c r="G147" s="8" t="s">
        <v>67</v>
      </c>
      <c r="H147" s="8" t="s">
        <v>50</v>
      </c>
      <c r="I147" s="8" t="s">
        <v>146</v>
      </c>
      <c r="J147" s="8" t="s">
        <v>52</v>
      </c>
      <c r="K147" s="11" t="s">
        <v>70</v>
      </c>
      <c r="L147" s="12">
        <v>0.0</v>
      </c>
      <c r="M147" s="12">
        <v>4.128E-4</v>
      </c>
      <c r="N147" s="12">
        <v>9.148E-4</v>
      </c>
      <c r="O147" s="12">
        <v>0.0027373</v>
      </c>
      <c r="P147" s="12">
        <v>0.0024532</v>
      </c>
      <c r="Q147" s="12">
        <v>5.09E-4</v>
      </c>
      <c r="R147" s="12">
        <v>1.162E-4</v>
      </c>
      <c r="S147" s="12">
        <v>1.287E-4</v>
      </c>
      <c r="T147" s="12">
        <v>1.303E-4</v>
      </c>
      <c r="U147" s="12">
        <v>1.15E-4</v>
      </c>
      <c r="V147" s="12">
        <v>8.77E-5</v>
      </c>
      <c r="W147" s="12">
        <v>2.71E-5</v>
      </c>
      <c r="X147" s="12">
        <v>0.0</v>
      </c>
      <c r="Y147" s="12">
        <v>0.0</v>
      </c>
      <c r="Z147" s="12">
        <v>0.0</v>
      </c>
      <c r="AA147" s="12">
        <v>0.0</v>
      </c>
      <c r="AB147" s="12">
        <v>0.0</v>
      </c>
      <c r="AC147" s="12">
        <v>0.0</v>
      </c>
      <c r="AD147" s="12">
        <v>0.0</v>
      </c>
      <c r="AE147" s="12">
        <v>0.0</v>
      </c>
      <c r="AF147" s="12">
        <v>0.0</v>
      </c>
      <c r="AG147" s="12">
        <v>0.0</v>
      </c>
      <c r="AH147" s="12">
        <v>0.0</v>
      </c>
      <c r="AI147" s="12">
        <v>0.0</v>
      </c>
      <c r="AJ147" s="12">
        <v>2.62E-5</v>
      </c>
      <c r="AK147" s="12">
        <v>3.99E-5</v>
      </c>
      <c r="AL147" s="12">
        <v>0.0</v>
      </c>
      <c r="AM147" s="12">
        <v>0.0</v>
      </c>
      <c r="AN147" s="12">
        <v>0.0</v>
      </c>
      <c r="AO147" s="12">
        <v>0.0</v>
      </c>
      <c r="AP147" s="13">
        <v>0.0</v>
      </c>
      <c r="AQ147" s="13">
        <v>0.0</v>
      </c>
      <c r="AR147" s="13">
        <v>0.0</v>
      </c>
      <c r="AS147" s="13">
        <v>0.0</v>
      </c>
      <c r="AT147" s="12">
        <f>AVERAGE(L147:AK147)</f>
        <v>0.0002960846154</v>
      </c>
      <c r="AU147" s="12">
        <f t="shared" si="12"/>
        <v>0.0005921692308</v>
      </c>
      <c r="AV147" s="14"/>
      <c r="AW147" s="15"/>
      <c r="AX147" s="15" t="str">
        <f t="shared" si="13"/>
        <v>#DIV/0!</v>
      </c>
    </row>
    <row r="148" ht="15.75" customHeight="1">
      <c r="A148" s="7">
        <v>240515.0</v>
      </c>
      <c r="B148" s="7">
        <v>79.0</v>
      </c>
      <c r="C148" s="7">
        <v>2.0</v>
      </c>
      <c r="D148" s="8" t="s">
        <v>163</v>
      </c>
      <c r="E148" s="7">
        <v>8.0</v>
      </c>
      <c r="F148" s="8" t="s">
        <v>56</v>
      </c>
      <c r="G148" s="8" t="s">
        <v>67</v>
      </c>
      <c r="H148" s="8" t="s">
        <v>61</v>
      </c>
      <c r="I148" s="8" t="s">
        <v>146</v>
      </c>
      <c r="J148" s="8" t="s">
        <v>52</v>
      </c>
      <c r="K148" s="11" t="s">
        <v>70</v>
      </c>
      <c r="L148" s="12">
        <v>0.0</v>
      </c>
      <c r="M148" s="12">
        <v>1.046E-4</v>
      </c>
      <c r="N148" s="12">
        <v>2.712E-4</v>
      </c>
      <c r="O148" s="12">
        <v>3.007E-4</v>
      </c>
      <c r="P148" s="12">
        <v>1.968E-4</v>
      </c>
      <c r="Q148" s="12">
        <v>1.678E-4</v>
      </c>
      <c r="R148" s="12">
        <v>1.947E-4</v>
      </c>
      <c r="S148" s="12">
        <v>2.084E-4</v>
      </c>
      <c r="T148" s="12">
        <v>1.025E-4</v>
      </c>
      <c r="U148" s="12">
        <v>0.0</v>
      </c>
      <c r="V148" s="12">
        <v>0.0</v>
      </c>
      <c r="W148" s="12">
        <v>2.47E-5</v>
      </c>
      <c r="X148" s="12">
        <v>2.42E-5</v>
      </c>
      <c r="Y148" s="12">
        <v>0.0</v>
      </c>
      <c r="Z148" s="12">
        <v>0.0</v>
      </c>
      <c r="AA148" s="12">
        <v>0.0</v>
      </c>
      <c r="AB148" s="12">
        <v>0.0</v>
      </c>
      <c r="AC148" s="12">
        <v>0.0</v>
      </c>
      <c r="AD148" s="12">
        <v>0.0</v>
      </c>
      <c r="AE148" s="12">
        <v>0.0</v>
      </c>
      <c r="AF148" s="12">
        <v>0.0</v>
      </c>
      <c r="AG148" s="12">
        <v>0.0</v>
      </c>
      <c r="AH148" s="12">
        <v>6.31E-5</v>
      </c>
      <c r="AI148" s="12">
        <v>8.332E-4</v>
      </c>
      <c r="AJ148" s="12">
        <v>0.0029811</v>
      </c>
      <c r="AK148" s="12">
        <v>0.0052108</v>
      </c>
      <c r="AL148" s="12">
        <v>0.0073214</v>
      </c>
      <c r="AM148" s="12">
        <v>0.0</v>
      </c>
      <c r="AN148" s="12">
        <v>0.0</v>
      </c>
      <c r="AO148" s="12">
        <v>0.0</v>
      </c>
      <c r="AP148" s="13">
        <v>0.0</v>
      </c>
      <c r="AQ148" s="13">
        <v>0.0</v>
      </c>
      <c r="AR148" s="13">
        <v>0.0</v>
      </c>
      <c r="AS148" s="13">
        <v>0.0</v>
      </c>
      <c r="AT148" s="12">
        <f>AVERAGE(L148:AL148)</f>
        <v>0.0006668592593</v>
      </c>
      <c r="AU148" s="12">
        <f t="shared" si="12"/>
        <v>0.001200346667</v>
      </c>
      <c r="AV148" s="14"/>
      <c r="AW148" s="15"/>
      <c r="AX148" s="15" t="str">
        <f t="shared" si="13"/>
        <v>#DIV/0!</v>
      </c>
    </row>
    <row r="149" ht="15.75" customHeight="1">
      <c r="A149" s="7">
        <v>240515.0</v>
      </c>
      <c r="B149" s="7">
        <v>79.0</v>
      </c>
      <c r="C149" s="7">
        <v>2.0</v>
      </c>
      <c r="D149" s="8" t="s">
        <v>164</v>
      </c>
      <c r="E149" s="7">
        <v>8.0</v>
      </c>
      <c r="F149" s="8" t="s">
        <v>56</v>
      </c>
      <c r="G149" s="8" t="s">
        <v>67</v>
      </c>
      <c r="H149" s="8" t="s">
        <v>65</v>
      </c>
      <c r="I149" s="8" t="s">
        <v>146</v>
      </c>
      <c r="J149" s="8" t="s">
        <v>52</v>
      </c>
      <c r="K149" s="11" t="s">
        <v>70</v>
      </c>
      <c r="L149" s="12">
        <v>0.0</v>
      </c>
      <c r="M149" s="12">
        <v>2.374E-4</v>
      </c>
      <c r="N149" s="12">
        <v>2.158E-4</v>
      </c>
      <c r="O149" s="12">
        <v>2.286E-4</v>
      </c>
      <c r="P149" s="12">
        <v>2.846E-4</v>
      </c>
      <c r="Q149" s="12">
        <v>2.727E-4</v>
      </c>
      <c r="R149" s="12">
        <v>1.588E-4</v>
      </c>
      <c r="S149" s="12">
        <v>2.2E-6</v>
      </c>
      <c r="T149" s="12">
        <v>0.0</v>
      </c>
      <c r="U149" s="12">
        <v>0.0</v>
      </c>
      <c r="V149" s="12">
        <v>0.0</v>
      </c>
      <c r="W149" s="12">
        <v>0.0</v>
      </c>
      <c r="X149" s="12">
        <v>0.0</v>
      </c>
      <c r="Y149" s="12">
        <v>0.0</v>
      </c>
      <c r="Z149" s="12">
        <v>0.0</v>
      </c>
      <c r="AA149" s="12">
        <v>0.0</v>
      </c>
      <c r="AB149" s="12">
        <v>0.0</v>
      </c>
      <c r="AC149" s="12">
        <v>0.0</v>
      </c>
      <c r="AD149" s="12">
        <v>0.0</v>
      </c>
      <c r="AE149" s="12">
        <v>0.0</v>
      </c>
      <c r="AF149" s="12">
        <v>0.0</v>
      </c>
      <c r="AG149" s="12">
        <v>0.0</v>
      </c>
      <c r="AH149" s="12">
        <v>2.745E-4</v>
      </c>
      <c r="AI149" s="12">
        <v>0.0012911</v>
      </c>
      <c r="AJ149" s="12">
        <v>0.0023793</v>
      </c>
      <c r="AK149" s="12">
        <v>0.0</v>
      </c>
      <c r="AL149" s="12">
        <v>0.0</v>
      </c>
      <c r="AM149" s="12">
        <v>0.0</v>
      </c>
      <c r="AN149" s="12">
        <v>0.0</v>
      </c>
      <c r="AO149" s="12">
        <v>0.0</v>
      </c>
      <c r="AP149" s="13">
        <v>0.0</v>
      </c>
      <c r="AQ149" s="13">
        <v>0.0</v>
      </c>
      <c r="AR149" s="13">
        <v>0.0</v>
      </c>
      <c r="AS149" s="13">
        <v>0.0</v>
      </c>
      <c r="AT149" s="12">
        <f>AVERAGE(L149:AJ149)</f>
        <v>0.0002138</v>
      </c>
      <c r="AU149" s="12">
        <f t="shared" si="12"/>
        <v>0.0005345</v>
      </c>
      <c r="AV149" s="14"/>
      <c r="AW149" s="15"/>
      <c r="AX149" s="15" t="str">
        <f t="shared" si="13"/>
        <v>#DIV/0!</v>
      </c>
    </row>
    <row r="150" ht="15.75" customHeight="1">
      <c r="A150" s="7">
        <v>240515.0</v>
      </c>
      <c r="B150" s="7">
        <v>79.0</v>
      </c>
      <c r="C150" s="7">
        <v>2.0</v>
      </c>
      <c r="D150" s="8" t="s">
        <v>165</v>
      </c>
      <c r="E150" s="7">
        <v>8.0</v>
      </c>
      <c r="F150" s="8" t="s">
        <v>56</v>
      </c>
      <c r="G150" s="8" t="s">
        <v>67</v>
      </c>
      <c r="H150" s="8" t="s">
        <v>63</v>
      </c>
      <c r="I150" s="8" t="s">
        <v>146</v>
      </c>
      <c r="J150" s="8" t="s">
        <v>52</v>
      </c>
      <c r="K150" s="11" t="s">
        <v>70</v>
      </c>
      <c r="L150" s="12">
        <v>0.0044921</v>
      </c>
      <c r="M150" s="12">
        <v>0.0019924</v>
      </c>
      <c r="N150" s="12">
        <v>6.06E-4</v>
      </c>
      <c r="O150" s="12">
        <v>4.322E-4</v>
      </c>
      <c r="P150" s="12">
        <v>2.261E-4</v>
      </c>
      <c r="Q150" s="12">
        <v>4.08E-5</v>
      </c>
      <c r="R150" s="12">
        <v>5.93E-5</v>
      </c>
      <c r="S150" s="12">
        <v>1.213E-4</v>
      </c>
      <c r="T150" s="12">
        <v>6.71E-5</v>
      </c>
      <c r="U150" s="12">
        <v>0.0</v>
      </c>
      <c r="V150" s="12">
        <v>0.0</v>
      </c>
      <c r="W150" s="12">
        <v>9.15E-5</v>
      </c>
      <c r="X150" s="12">
        <v>1.315E-4</v>
      </c>
      <c r="Y150" s="12">
        <v>9.54E-5</v>
      </c>
      <c r="Z150" s="12">
        <v>5.75E-5</v>
      </c>
      <c r="AA150" s="12">
        <v>5.3E-6</v>
      </c>
      <c r="AB150" s="12">
        <v>0.0</v>
      </c>
      <c r="AC150" s="12">
        <v>0.0</v>
      </c>
      <c r="AD150" s="12">
        <v>0.0</v>
      </c>
      <c r="AE150" s="12">
        <v>1.06E-5</v>
      </c>
      <c r="AF150" s="12">
        <v>1.08E-5</v>
      </c>
      <c r="AG150" s="12">
        <v>0.0</v>
      </c>
      <c r="AH150" s="12">
        <v>0.0</v>
      </c>
      <c r="AI150" s="12">
        <v>0.0</v>
      </c>
      <c r="AJ150" s="12">
        <v>1.577E-4</v>
      </c>
      <c r="AK150" s="12">
        <v>3.811E-4</v>
      </c>
      <c r="AL150" s="12">
        <v>4.244E-4</v>
      </c>
      <c r="AM150" s="12">
        <v>2.659E-4</v>
      </c>
      <c r="AN150" s="12">
        <v>8.94E-5</v>
      </c>
      <c r="AO150" s="12">
        <v>5.07E-5</v>
      </c>
      <c r="AP150" s="13">
        <v>0.0</v>
      </c>
      <c r="AQ150" s="13">
        <v>0.0</v>
      </c>
      <c r="AR150" s="13">
        <v>0.0</v>
      </c>
      <c r="AS150" s="13">
        <v>0.0</v>
      </c>
      <c r="AT150" s="12">
        <f>AVERAGE(L150:AO150)</f>
        <v>0.00032697</v>
      </c>
      <c r="AU150" s="12">
        <f t="shared" si="12"/>
        <v>0.0004458681818</v>
      </c>
      <c r="AV150" s="14"/>
      <c r="AW150" s="15"/>
      <c r="AX150" s="15" t="str">
        <f t="shared" si="13"/>
        <v>#DIV/0!</v>
      </c>
    </row>
    <row r="151" ht="15.75" customHeight="1">
      <c r="A151" s="7">
        <v>240515.0</v>
      </c>
      <c r="B151" s="7">
        <v>79.0</v>
      </c>
      <c r="C151" s="7">
        <v>2.0</v>
      </c>
      <c r="D151" s="8" t="s">
        <v>166</v>
      </c>
      <c r="E151" s="7">
        <v>8.0</v>
      </c>
      <c r="F151" s="8" t="s">
        <v>56</v>
      </c>
      <c r="G151" s="8" t="s">
        <v>49</v>
      </c>
      <c r="H151" s="8" t="s">
        <v>61</v>
      </c>
      <c r="I151" s="8" t="s">
        <v>146</v>
      </c>
      <c r="J151" s="8" t="s">
        <v>52</v>
      </c>
      <c r="K151" s="11" t="s">
        <v>70</v>
      </c>
      <c r="L151" s="12">
        <v>0.0</v>
      </c>
      <c r="M151" s="12">
        <v>0.0</v>
      </c>
      <c r="N151" s="12">
        <v>0.0</v>
      </c>
      <c r="O151" s="12">
        <v>1.129E-4</v>
      </c>
      <c r="P151" s="12">
        <v>1.567E-4</v>
      </c>
      <c r="Q151" s="12">
        <v>7.06E-5</v>
      </c>
      <c r="R151" s="12">
        <v>4.89E-5</v>
      </c>
      <c r="S151" s="12">
        <v>3.04E-5</v>
      </c>
      <c r="T151" s="12">
        <v>0.0</v>
      </c>
      <c r="U151" s="12">
        <v>3.41E-5</v>
      </c>
      <c r="V151" s="12">
        <v>4.79E-5</v>
      </c>
      <c r="W151" s="12">
        <v>1.4E-5</v>
      </c>
      <c r="X151" s="12">
        <v>0.0</v>
      </c>
      <c r="Y151" s="12">
        <v>0.0</v>
      </c>
      <c r="Z151" s="12">
        <v>0.0</v>
      </c>
      <c r="AA151" s="12">
        <v>0.0</v>
      </c>
      <c r="AB151" s="12">
        <v>0.0</v>
      </c>
      <c r="AC151" s="12">
        <v>0.0</v>
      </c>
      <c r="AD151" s="12">
        <v>0.0</v>
      </c>
      <c r="AE151" s="12">
        <v>7.2E-6</v>
      </c>
      <c r="AF151" s="12">
        <v>1.67E-5</v>
      </c>
      <c r="AG151" s="12">
        <v>9.7E-6</v>
      </c>
      <c r="AH151" s="12">
        <v>0.0</v>
      </c>
      <c r="AI151" s="12">
        <v>0.0</v>
      </c>
      <c r="AJ151" s="12">
        <v>0.0</v>
      </c>
      <c r="AK151" s="12">
        <v>0.0</v>
      </c>
      <c r="AL151" s="12">
        <v>0.0</v>
      </c>
      <c r="AM151" s="12">
        <v>0.0</v>
      </c>
      <c r="AN151" s="12">
        <v>0.0</v>
      </c>
      <c r="AO151" s="12">
        <v>0.0</v>
      </c>
      <c r="AP151" s="13">
        <v>0.0</v>
      </c>
      <c r="AQ151" s="13">
        <v>0.0</v>
      </c>
      <c r="AR151" s="13">
        <v>0.0</v>
      </c>
      <c r="AS151" s="13">
        <v>0.0</v>
      </c>
      <c r="AT151" s="12">
        <f>AVERAGE(L151:AG151)</f>
        <v>0.00002495909091</v>
      </c>
      <c r="AU151" s="12">
        <f t="shared" si="12"/>
        <v>0.00004991818182</v>
      </c>
      <c r="AV151" s="14"/>
      <c r="AW151" s="15"/>
      <c r="AX151" s="15" t="str">
        <f t="shared" si="13"/>
        <v>#DIV/0!</v>
      </c>
    </row>
    <row r="152" ht="15.75" customHeight="1">
      <c r="A152" s="7">
        <v>240515.0</v>
      </c>
      <c r="B152" s="7">
        <v>79.0</v>
      </c>
      <c r="C152" s="7">
        <v>2.0</v>
      </c>
      <c r="D152" s="8" t="s">
        <v>167</v>
      </c>
      <c r="E152" s="7">
        <v>8.0</v>
      </c>
      <c r="F152" s="8" t="s">
        <v>56</v>
      </c>
      <c r="G152" s="8" t="s">
        <v>49</v>
      </c>
      <c r="H152" s="8" t="s">
        <v>65</v>
      </c>
      <c r="I152" s="8" t="s">
        <v>146</v>
      </c>
      <c r="J152" s="8" t="s">
        <v>52</v>
      </c>
      <c r="K152" s="11" t="s">
        <v>70</v>
      </c>
      <c r="L152" s="12">
        <v>0.0</v>
      </c>
      <c r="M152" s="12">
        <v>0.0</v>
      </c>
      <c r="N152" s="12">
        <v>4.47E-5</v>
      </c>
      <c r="O152" s="12">
        <v>1.69E-4</v>
      </c>
      <c r="P152" s="12">
        <v>4.652E-4</v>
      </c>
      <c r="Q152" s="12">
        <v>4.292E-4</v>
      </c>
      <c r="R152" s="12">
        <v>1.925E-4</v>
      </c>
      <c r="S152" s="12">
        <v>1.928E-4</v>
      </c>
      <c r="T152" s="12">
        <v>2.183E-4</v>
      </c>
      <c r="U152" s="12">
        <v>2.214E-4</v>
      </c>
      <c r="V152" s="12">
        <v>1.0E-4</v>
      </c>
      <c r="W152" s="12">
        <v>0.0</v>
      </c>
      <c r="X152" s="12">
        <v>0.0</v>
      </c>
      <c r="Y152" s="12">
        <v>0.0</v>
      </c>
      <c r="Z152" s="12">
        <v>4.38E-5</v>
      </c>
      <c r="AA152" s="12">
        <v>6.719E-4</v>
      </c>
      <c r="AB152" s="12">
        <v>7.319E-4</v>
      </c>
      <c r="AC152" s="12">
        <v>1.171E-4</v>
      </c>
      <c r="AD152" s="12">
        <v>0.0</v>
      </c>
      <c r="AE152" s="12">
        <v>0.0</v>
      </c>
      <c r="AF152" s="12">
        <v>0.0</v>
      </c>
      <c r="AG152" s="12">
        <v>0.0</v>
      </c>
      <c r="AH152" s="12">
        <v>0.0</v>
      </c>
      <c r="AI152" s="12">
        <v>0.0014061</v>
      </c>
      <c r="AJ152" s="12">
        <v>0.0068298</v>
      </c>
      <c r="AK152" s="12">
        <v>0.0128321</v>
      </c>
      <c r="AL152" s="12">
        <v>0.0</v>
      </c>
      <c r="AM152" s="12">
        <v>0.0</v>
      </c>
      <c r="AN152" s="12">
        <v>0.0</v>
      </c>
      <c r="AO152" s="12">
        <v>0.0</v>
      </c>
      <c r="AP152" s="13">
        <v>0.0</v>
      </c>
      <c r="AQ152" s="13">
        <v>0.0</v>
      </c>
      <c r="AR152" s="13">
        <v>0.0</v>
      </c>
      <c r="AS152" s="13">
        <v>0.0</v>
      </c>
      <c r="AT152" s="12">
        <f>AVERAGE(L152:AK152)</f>
        <v>0.0009486846154</v>
      </c>
      <c r="AU152" s="12">
        <f t="shared" si="12"/>
        <v>0.0015416125</v>
      </c>
      <c r="AV152" s="14"/>
      <c r="AW152" s="15"/>
      <c r="AX152" s="15" t="str">
        <f t="shared" si="13"/>
        <v>#DIV/0!</v>
      </c>
    </row>
    <row r="153" ht="15.75" customHeight="1">
      <c r="A153" s="7">
        <v>240515.0</v>
      </c>
      <c r="B153" s="7">
        <v>79.0</v>
      </c>
      <c r="C153" s="7">
        <v>2.0</v>
      </c>
      <c r="D153" s="8" t="s">
        <v>168</v>
      </c>
      <c r="E153" s="7">
        <v>8.0</v>
      </c>
      <c r="F153" s="8" t="s">
        <v>56</v>
      </c>
      <c r="G153" s="8" t="s">
        <v>49</v>
      </c>
      <c r="H153" s="8" t="s">
        <v>63</v>
      </c>
      <c r="I153" s="8" t="s">
        <v>146</v>
      </c>
      <c r="J153" s="8" t="s">
        <v>52</v>
      </c>
      <c r="K153" s="11" t="s">
        <v>70</v>
      </c>
      <c r="L153" s="12">
        <v>0.0</v>
      </c>
      <c r="M153" s="12">
        <v>0.0</v>
      </c>
      <c r="N153" s="12">
        <v>1.69E-5</v>
      </c>
      <c r="O153" s="12">
        <v>1.48E-5</v>
      </c>
      <c r="P153" s="12">
        <v>0.0</v>
      </c>
      <c r="Q153" s="12">
        <v>0.0</v>
      </c>
      <c r="R153" s="12">
        <v>0.0</v>
      </c>
      <c r="S153" s="12">
        <v>0.0</v>
      </c>
      <c r="T153" s="12">
        <v>0.0</v>
      </c>
      <c r="U153" s="12">
        <v>0.0</v>
      </c>
      <c r="V153" s="12">
        <v>0.0</v>
      </c>
      <c r="W153" s="12">
        <v>0.0</v>
      </c>
      <c r="X153" s="12">
        <v>0.0</v>
      </c>
      <c r="Y153" s="12">
        <v>0.0</v>
      </c>
      <c r="Z153" s="12">
        <v>0.0</v>
      </c>
      <c r="AA153" s="12">
        <v>0.0</v>
      </c>
      <c r="AB153" s="12">
        <v>0.0</v>
      </c>
      <c r="AC153" s="12">
        <v>0.0</v>
      </c>
      <c r="AD153" s="12">
        <v>0.0</v>
      </c>
      <c r="AE153" s="12">
        <v>0.0</v>
      </c>
      <c r="AF153" s="12">
        <v>0.0</v>
      </c>
      <c r="AG153" s="12">
        <v>0.0</v>
      </c>
      <c r="AH153" s="12">
        <v>0.0</v>
      </c>
      <c r="AI153" s="12">
        <v>0.0</v>
      </c>
      <c r="AJ153" s="12">
        <v>0.0</v>
      </c>
      <c r="AK153" s="12">
        <v>0.0</v>
      </c>
      <c r="AL153" s="12">
        <v>0.0</v>
      </c>
      <c r="AM153" s="12">
        <v>0.0</v>
      </c>
      <c r="AN153" s="12">
        <v>0.0</v>
      </c>
      <c r="AO153" s="12">
        <v>0.0</v>
      </c>
      <c r="AP153" s="13">
        <v>0.0</v>
      </c>
      <c r="AQ153" s="13">
        <v>0.0</v>
      </c>
      <c r="AR153" s="13">
        <v>0.0</v>
      </c>
      <c r="AS153" s="13">
        <v>0.0</v>
      </c>
      <c r="AT153" s="12">
        <f>AVERAGE(L153:O153)</f>
        <v>0.000007925</v>
      </c>
      <c r="AU153" s="12">
        <f t="shared" si="12"/>
        <v>0.00001585</v>
      </c>
      <c r="AV153" s="14"/>
      <c r="AW153" s="15"/>
      <c r="AX153" s="15" t="str">
        <f t="shared" si="13"/>
        <v>#DIV/0!</v>
      </c>
    </row>
    <row r="154" ht="15.75" customHeight="1">
      <c r="A154" s="7">
        <v>230801.0</v>
      </c>
      <c r="B154" s="7">
        <v>53.0</v>
      </c>
      <c r="C154" s="7">
        <v>1.0</v>
      </c>
      <c r="D154" s="8" t="s">
        <v>147</v>
      </c>
      <c r="E154" s="7">
        <v>8.0</v>
      </c>
      <c r="F154" s="8" t="s">
        <v>56</v>
      </c>
      <c r="G154" s="16" t="s">
        <v>49</v>
      </c>
      <c r="H154" s="16" t="s">
        <v>50</v>
      </c>
      <c r="I154" s="8" t="s">
        <v>51</v>
      </c>
      <c r="J154" s="8" t="s">
        <v>52</v>
      </c>
      <c r="K154" s="11" t="s">
        <v>53</v>
      </c>
      <c r="L154" s="18">
        <v>0.018754</v>
      </c>
      <c r="M154" s="18">
        <v>0.020898</v>
      </c>
      <c r="N154" s="18">
        <v>0.0243</v>
      </c>
      <c r="O154" s="18">
        <v>0.027876</v>
      </c>
      <c r="P154" s="18">
        <v>0.028906</v>
      </c>
      <c r="Q154" s="18">
        <v>0.027542</v>
      </c>
      <c r="R154" s="18">
        <v>0.026941</v>
      </c>
      <c r="S154" s="18">
        <v>0.027274</v>
      </c>
      <c r="T154" s="18">
        <v>0.027868</v>
      </c>
      <c r="U154" s="18">
        <v>0.027874</v>
      </c>
      <c r="V154" s="18">
        <v>0.025913</v>
      </c>
      <c r="W154" s="18">
        <v>0.025487</v>
      </c>
      <c r="X154" s="18">
        <v>0.026795</v>
      </c>
      <c r="Y154" s="18">
        <v>0.022538</v>
      </c>
      <c r="Z154" s="18">
        <v>0.019721</v>
      </c>
      <c r="AA154" s="18">
        <v>0.022705</v>
      </c>
      <c r="AB154" s="18">
        <v>0.023735</v>
      </c>
      <c r="AC154" s="18">
        <v>0.023556</v>
      </c>
      <c r="AD154" s="18">
        <v>0.024733</v>
      </c>
      <c r="AE154" s="18">
        <v>0.027719</v>
      </c>
      <c r="AF154" s="18">
        <v>0.021029</v>
      </c>
      <c r="AG154" s="18">
        <v>0.009649</v>
      </c>
      <c r="AH154" s="18">
        <v>0.0</v>
      </c>
      <c r="AI154" s="2">
        <v>0.0</v>
      </c>
      <c r="AJ154" s="2">
        <v>0.0</v>
      </c>
      <c r="AK154" s="18">
        <v>0.0</v>
      </c>
      <c r="AL154" s="18">
        <v>0.0</v>
      </c>
      <c r="AM154" s="18">
        <v>0.0</v>
      </c>
      <c r="AN154" s="18">
        <v>0.0</v>
      </c>
      <c r="AO154" s="18">
        <v>0.0</v>
      </c>
      <c r="AP154" s="20">
        <v>0.0</v>
      </c>
      <c r="AQ154" s="20">
        <v>0.0</v>
      </c>
      <c r="AR154" s="20">
        <v>0.0</v>
      </c>
      <c r="AS154" s="20">
        <v>0.0</v>
      </c>
      <c r="AT154" s="12">
        <f>AVERAGE(L154:AG154)</f>
        <v>0.02417331818</v>
      </c>
      <c r="AU154" s="12">
        <f t="shared" si="12"/>
        <v>0.02417331818</v>
      </c>
      <c r="AV154" s="14"/>
      <c r="AW154" s="15"/>
      <c r="AX154" s="15" t="str">
        <f t="shared" si="13"/>
        <v>#DIV/0!</v>
      </c>
    </row>
    <row r="155" ht="15.75" customHeight="1">
      <c r="A155" s="7">
        <v>230801.0</v>
      </c>
      <c r="B155" s="7">
        <v>53.0</v>
      </c>
      <c r="C155" s="7">
        <v>1.0</v>
      </c>
      <c r="D155" s="8" t="s">
        <v>148</v>
      </c>
      <c r="E155" s="7">
        <v>8.0</v>
      </c>
      <c r="F155" s="8" t="s">
        <v>56</v>
      </c>
      <c r="G155" s="16" t="s">
        <v>49</v>
      </c>
      <c r="H155" s="16" t="s">
        <v>50</v>
      </c>
      <c r="I155" s="8" t="s">
        <v>51</v>
      </c>
      <c r="J155" s="8" t="s">
        <v>52</v>
      </c>
      <c r="K155" s="11" t="s">
        <v>53</v>
      </c>
      <c r="L155" s="18">
        <v>0.015669</v>
      </c>
      <c r="M155" s="18">
        <v>0.017663</v>
      </c>
      <c r="N155" s="18">
        <v>0.020434</v>
      </c>
      <c r="O155" s="18">
        <v>0.021745</v>
      </c>
      <c r="P155" s="18">
        <v>0.021687</v>
      </c>
      <c r="Q155" s="18">
        <v>0.020462</v>
      </c>
      <c r="R155" s="18">
        <v>0.019916</v>
      </c>
      <c r="S155" s="18">
        <v>0.020944</v>
      </c>
      <c r="T155" s="18">
        <v>0.02239</v>
      </c>
      <c r="U155" s="18">
        <v>0.023147</v>
      </c>
      <c r="V155" s="18">
        <v>0.022584</v>
      </c>
      <c r="W155" s="18">
        <v>0.020748</v>
      </c>
      <c r="X155" s="18">
        <v>0.020059</v>
      </c>
      <c r="Y155" s="18">
        <v>0.021444</v>
      </c>
      <c r="Z155" s="18">
        <v>0.020349</v>
      </c>
      <c r="AA155" s="18">
        <v>0.018926</v>
      </c>
      <c r="AB155" s="18">
        <v>0.019157</v>
      </c>
      <c r="AC155" s="18">
        <v>0.019321</v>
      </c>
      <c r="AD155" s="18">
        <v>0.020015</v>
      </c>
      <c r="AE155" s="18">
        <v>0.017211</v>
      </c>
      <c r="AF155" s="18">
        <v>0.014359</v>
      </c>
      <c r="AG155" s="18">
        <v>0.012583</v>
      </c>
      <c r="AH155" s="18">
        <v>0.009075</v>
      </c>
      <c r="AI155" s="18">
        <v>0.006734</v>
      </c>
      <c r="AJ155" s="2">
        <v>0.0</v>
      </c>
      <c r="AK155" s="18">
        <v>0.0</v>
      </c>
      <c r="AL155" s="18">
        <v>0.0</v>
      </c>
      <c r="AM155" s="18">
        <v>0.0</v>
      </c>
      <c r="AN155" s="18">
        <v>0.0</v>
      </c>
      <c r="AO155" s="18">
        <v>0.0</v>
      </c>
      <c r="AP155" s="20">
        <v>0.0</v>
      </c>
      <c r="AQ155" s="20">
        <v>0.0</v>
      </c>
      <c r="AR155" s="20">
        <v>0.0</v>
      </c>
      <c r="AS155" s="20">
        <v>0.0</v>
      </c>
      <c r="AT155" s="12">
        <f>AVERAGE(L155:AI155)</f>
        <v>0.01860925</v>
      </c>
      <c r="AU155" s="12">
        <f t="shared" si="12"/>
        <v>0.01860925</v>
      </c>
      <c r="AV155" s="14"/>
      <c r="AW155" s="15"/>
      <c r="AX155" s="15" t="str">
        <f t="shared" si="13"/>
        <v>#DIV/0!</v>
      </c>
    </row>
    <row r="156" ht="15.75" customHeight="1">
      <c r="A156" s="7">
        <v>230801.0</v>
      </c>
      <c r="B156" s="7">
        <v>53.0</v>
      </c>
      <c r="C156" s="7">
        <v>1.0</v>
      </c>
      <c r="D156" s="8" t="s">
        <v>149</v>
      </c>
      <c r="E156" s="7">
        <v>8.0</v>
      </c>
      <c r="F156" s="8" t="s">
        <v>56</v>
      </c>
      <c r="G156" s="16" t="s">
        <v>49</v>
      </c>
      <c r="H156" s="16" t="s">
        <v>50</v>
      </c>
      <c r="I156" s="8" t="s">
        <v>51</v>
      </c>
      <c r="J156" s="8" t="s">
        <v>52</v>
      </c>
      <c r="K156" s="11" t="s">
        <v>53</v>
      </c>
      <c r="L156" s="2">
        <v>0.0</v>
      </c>
      <c r="M156" s="18">
        <v>0.004826</v>
      </c>
      <c r="N156" s="18">
        <v>0.013535</v>
      </c>
      <c r="O156" s="18">
        <v>0.0158</v>
      </c>
      <c r="P156" s="18">
        <v>0.019899</v>
      </c>
      <c r="Q156" s="18">
        <v>0.023043</v>
      </c>
      <c r="R156" s="18">
        <v>0.025877</v>
      </c>
      <c r="S156" s="18">
        <v>0.029403</v>
      </c>
      <c r="T156" s="18">
        <v>0.027838</v>
      </c>
      <c r="U156" s="18">
        <v>0.024794</v>
      </c>
      <c r="V156" s="18">
        <v>0.023955</v>
      </c>
      <c r="W156" s="18">
        <v>0.026158</v>
      </c>
      <c r="X156" s="18">
        <v>0.028138</v>
      </c>
      <c r="Y156" s="18">
        <v>0.027959</v>
      </c>
      <c r="Z156" s="18">
        <v>0.026727</v>
      </c>
      <c r="AA156" s="18">
        <v>0.027015</v>
      </c>
      <c r="AB156" s="18">
        <v>0.028723</v>
      </c>
      <c r="AC156" s="18">
        <v>0.029639</v>
      </c>
      <c r="AD156" s="18">
        <v>0.029651</v>
      </c>
      <c r="AE156" s="18">
        <v>0.029583</v>
      </c>
      <c r="AF156" s="18">
        <v>0.029132</v>
      </c>
      <c r="AG156" s="18">
        <v>0.027606</v>
      </c>
      <c r="AH156" s="18">
        <v>0.026276</v>
      </c>
      <c r="AI156" s="18">
        <v>0.027273</v>
      </c>
      <c r="AJ156" s="18">
        <v>0.027597</v>
      </c>
      <c r="AK156" s="18">
        <v>0.018898</v>
      </c>
      <c r="AL156" s="18">
        <v>0.008539</v>
      </c>
      <c r="AM156" s="18">
        <v>0.010982</v>
      </c>
      <c r="AN156" s="2">
        <v>0.0</v>
      </c>
      <c r="AO156" s="2">
        <v>0.0</v>
      </c>
      <c r="AP156" s="20">
        <v>0.0</v>
      </c>
      <c r="AQ156" s="20">
        <v>0.0</v>
      </c>
      <c r="AR156" s="20">
        <v>0.0</v>
      </c>
      <c r="AS156" s="20">
        <v>0.0</v>
      </c>
      <c r="AT156" s="12">
        <f>AVERAGE(L156:AM156)</f>
        <v>0.02281664286</v>
      </c>
      <c r="AU156" s="12">
        <f t="shared" si="12"/>
        <v>0.0236617037</v>
      </c>
      <c r="AV156" s="14"/>
      <c r="AW156" s="15"/>
      <c r="AX156" s="15" t="str">
        <f t="shared" si="13"/>
        <v>#DIV/0!</v>
      </c>
    </row>
    <row r="157" ht="15.75" customHeight="1">
      <c r="A157" s="7">
        <v>230802.0</v>
      </c>
      <c r="B157" s="7">
        <v>53.0</v>
      </c>
      <c r="C157" s="7">
        <v>1.0</v>
      </c>
      <c r="D157" s="8" t="s">
        <v>150</v>
      </c>
      <c r="E157" s="7">
        <v>8.0</v>
      </c>
      <c r="F157" s="8" t="s">
        <v>48</v>
      </c>
      <c r="G157" s="16" t="s">
        <v>67</v>
      </c>
      <c r="H157" s="16" t="s">
        <v>50</v>
      </c>
      <c r="I157" s="8" t="s">
        <v>51</v>
      </c>
      <c r="J157" s="8" t="s">
        <v>52</v>
      </c>
      <c r="K157" s="11" t="s">
        <v>57</v>
      </c>
      <c r="L157" s="18">
        <v>0.024759</v>
      </c>
      <c r="M157" s="18">
        <v>0.021669</v>
      </c>
      <c r="N157" s="18">
        <v>0.021694</v>
      </c>
      <c r="O157" s="18">
        <v>0.025387</v>
      </c>
      <c r="P157" s="18">
        <v>0.027967</v>
      </c>
      <c r="Q157" s="18">
        <v>0.027708</v>
      </c>
      <c r="R157" s="18">
        <v>0.02584</v>
      </c>
      <c r="S157" s="18">
        <v>0.026579</v>
      </c>
      <c r="T157" s="18">
        <v>0.029248</v>
      </c>
      <c r="U157" s="18">
        <v>0.030897</v>
      </c>
      <c r="V157" s="18">
        <v>0.031326</v>
      </c>
      <c r="W157" s="18">
        <v>0.033989</v>
      </c>
      <c r="X157" s="18">
        <v>0.035762</v>
      </c>
      <c r="Y157" s="18">
        <v>0.035841</v>
      </c>
      <c r="Z157" s="18">
        <v>0.034974</v>
      </c>
      <c r="AA157" s="18">
        <v>0.035031</v>
      </c>
      <c r="AB157" s="18">
        <v>0.035742</v>
      </c>
      <c r="AC157" s="18">
        <v>0.036396</v>
      </c>
      <c r="AD157" s="18">
        <v>0.035617</v>
      </c>
      <c r="AE157" s="18">
        <v>0.032115</v>
      </c>
      <c r="AF157" s="18">
        <v>0.029643</v>
      </c>
      <c r="AG157" s="18">
        <v>0.025545</v>
      </c>
      <c r="AH157" s="18">
        <v>0.019067</v>
      </c>
      <c r="AI157" s="2">
        <v>0.0</v>
      </c>
      <c r="AJ157" s="2">
        <v>0.0</v>
      </c>
      <c r="AK157" s="18">
        <v>0.0</v>
      </c>
      <c r="AL157" s="18">
        <v>0.0</v>
      </c>
      <c r="AM157" s="18">
        <v>0.0</v>
      </c>
      <c r="AN157" s="18">
        <v>0.0</v>
      </c>
      <c r="AO157" s="18">
        <v>0.0</v>
      </c>
      <c r="AP157" s="20">
        <v>0.0</v>
      </c>
      <c r="AQ157" s="20">
        <v>0.0</v>
      </c>
      <c r="AR157" s="20">
        <v>0.0</v>
      </c>
      <c r="AS157" s="20">
        <v>0.0</v>
      </c>
      <c r="AT157" s="12">
        <f>AVERAGE(L157:AH157)</f>
        <v>0.02968678261</v>
      </c>
      <c r="AU157" s="12">
        <f t="shared" si="12"/>
        <v>0.02968678261</v>
      </c>
      <c r="AV157" s="14"/>
      <c r="AW157" s="15"/>
      <c r="AX157" s="15" t="str">
        <f t="shared" si="13"/>
        <v>#DIV/0!</v>
      </c>
    </row>
    <row r="158" ht="15.75" customHeight="1">
      <c r="A158" s="7">
        <v>230802.0</v>
      </c>
      <c r="B158" s="7">
        <v>53.0</v>
      </c>
      <c r="C158" s="7">
        <v>1.0</v>
      </c>
      <c r="D158" s="8" t="s">
        <v>151</v>
      </c>
      <c r="E158" s="7">
        <v>8.0</v>
      </c>
      <c r="F158" s="8" t="s">
        <v>48</v>
      </c>
      <c r="G158" s="16" t="s">
        <v>67</v>
      </c>
      <c r="H158" s="16" t="s">
        <v>50</v>
      </c>
      <c r="I158" s="8" t="s">
        <v>51</v>
      </c>
      <c r="J158" s="8" t="s">
        <v>52</v>
      </c>
      <c r="K158" s="11" t="s">
        <v>57</v>
      </c>
      <c r="L158" s="18">
        <v>0.0325</v>
      </c>
      <c r="M158" s="18">
        <v>0.032241</v>
      </c>
      <c r="N158" s="18">
        <v>0.033094</v>
      </c>
      <c r="O158" s="18">
        <v>0.034574</v>
      </c>
      <c r="P158" s="18">
        <v>0.034303</v>
      </c>
      <c r="Q158" s="18">
        <v>0.032765</v>
      </c>
      <c r="R158" s="18">
        <v>0.031917</v>
      </c>
      <c r="S158" s="18">
        <v>0.031328</v>
      </c>
      <c r="T158" s="18">
        <v>0.030168</v>
      </c>
      <c r="U158" s="18">
        <v>0.031586</v>
      </c>
      <c r="V158" s="18">
        <v>0.03398</v>
      </c>
      <c r="W158" s="18">
        <v>0.035278</v>
      </c>
      <c r="X158" s="18">
        <v>0.038013</v>
      </c>
      <c r="Y158" s="18">
        <v>0.039957</v>
      </c>
      <c r="Z158" s="18">
        <v>0.038182</v>
      </c>
      <c r="AA158" s="18">
        <v>0.037717</v>
      </c>
      <c r="AB158" s="18">
        <v>0.040054</v>
      </c>
      <c r="AC158" s="18">
        <v>0.041714</v>
      </c>
      <c r="AD158" s="18">
        <v>0.041265</v>
      </c>
      <c r="AE158" s="18">
        <v>0.033398</v>
      </c>
      <c r="AF158" s="18">
        <v>0.020034</v>
      </c>
      <c r="AG158" s="18">
        <v>0.011307</v>
      </c>
      <c r="AH158" s="18">
        <v>0.008059</v>
      </c>
      <c r="AI158" s="18">
        <v>0.007276</v>
      </c>
      <c r="AJ158" s="18">
        <v>0.014196</v>
      </c>
      <c r="AK158" s="18">
        <v>0.0</v>
      </c>
      <c r="AL158" s="18">
        <v>0.0</v>
      </c>
      <c r="AM158" s="18">
        <v>0.0</v>
      </c>
      <c r="AN158" s="18">
        <v>0.0</v>
      </c>
      <c r="AO158" s="18">
        <v>0.0</v>
      </c>
      <c r="AP158" s="20">
        <v>0.0</v>
      </c>
      <c r="AQ158" s="20">
        <v>0.0</v>
      </c>
      <c r="AR158" s="20">
        <v>0.0</v>
      </c>
      <c r="AS158" s="20">
        <v>0.0</v>
      </c>
      <c r="AT158" s="12">
        <f t="shared" ref="AT158:AT159" si="15">AVERAGE(L158:AJ158)</f>
        <v>0.03059624</v>
      </c>
      <c r="AU158" s="12">
        <f t="shared" si="12"/>
        <v>0.03059624</v>
      </c>
      <c r="AV158" s="14"/>
      <c r="AW158" s="15"/>
      <c r="AX158" s="15" t="str">
        <f t="shared" si="13"/>
        <v>#DIV/0!</v>
      </c>
    </row>
    <row r="159" ht="15.75" customHeight="1">
      <c r="A159" s="7">
        <v>240418.0</v>
      </c>
      <c r="B159" s="7">
        <v>79.0</v>
      </c>
      <c r="C159" s="7">
        <v>2.0</v>
      </c>
      <c r="D159" s="8" t="s">
        <v>152</v>
      </c>
      <c r="E159" s="7">
        <v>8.0</v>
      </c>
      <c r="F159" s="8" t="s">
        <v>48</v>
      </c>
      <c r="G159" s="8" t="s">
        <v>89</v>
      </c>
      <c r="H159" s="8" t="s">
        <v>50</v>
      </c>
      <c r="I159" s="8" t="s">
        <v>51</v>
      </c>
      <c r="J159" s="8" t="s">
        <v>52</v>
      </c>
      <c r="K159" s="11" t="s">
        <v>59</v>
      </c>
      <c r="L159" s="18">
        <v>0.02881</v>
      </c>
      <c r="M159" s="18">
        <v>0.031996</v>
      </c>
      <c r="N159" s="18">
        <v>0.029455</v>
      </c>
      <c r="O159" s="18">
        <v>0.025344</v>
      </c>
      <c r="P159" s="18">
        <v>0.024458</v>
      </c>
      <c r="Q159" s="18">
        <v>0.024802</v>
      </c>
      <c r="R159" s="18">
        <v>0.026615</v>
      </c>
      <c r="S159" s="18">
        <v>0.025943</v>
      </c>
      <c r="T159" s="18">
        <v>0.024819</v>
      </c>
      <c r="U159" s="18">
        <v>0.028528</v>
      </c>
      <c r="V159" s="18">
        <v>0.031579</v>
      </c>
      <c r="W159" s="18">
        <v>0.030484</v>
      </c>
      <c r="X159" s="18">
        <v>0.029993</v>
      </c>
      <c r="Y159" s="18">
        <v>0.032141</v>
      </c>
      <c r="Z159" s="18">
        <v>0.034518</v>
      </c>
      <c r="AA159" s="18">
        <v>0.036339</v>
      </c>
      <c r="AB159" s="18">
        <v>0.036128</v>
      </c>
      <c r="AC159" s="18">
        <v>0.035812</v>
      </c>
      <c r="AD159" s="18">
        <v>0.037228</v>
      </c>
      <c r="AE159" s="18">
        <v>0.037101</v>
      </c>
      <c r="AF159" s="18">
        <v>0.035063</v>
      </c>
      <c r="AG159" s="18">
        <v>0.032645</v>
      </c>
      <c r="AH159" s="18">
        <v>0.031428</v>
      </c>
      <c r="AI159" s="18">
        <v>0.021438</v>
      </c>
      <c r="AJ159" s="18">
        <v>0.00722</v>
      </c>
      <c r="AK159" s="18">
        <v>0.0</v>
      </c>
      <c r="AL159" s="18">
        <v>0.0</v>
      </c>
      <c r="AM159" s="2">
        <v>0.0</v>
      </c>
      <c r="AN159" s="2">
        <v>0.0</v>
      </c>
      <c r="AO159" s="2">
        <v>0.0</v>
      </c>
      <c r="AP159" s="20">
        <v>0.0</v>
      </c>
      <c r="AQ159" s="20">
        <v>0.0</v>
      </c>
      <c r="AR159" s="20">
        <v>0.0</v>
      </c>
      <c r="AS159" s="20">
        <v>0.0</v>
      </c>
      <c r="AT159" s="12">
        <f t="shared" si="15"/>
        <v>0.02959548</v>
      </c>
      <c r="AU159" s="12">
        <f t="shared" si="12"/>
        <v>0.02959548</v>
      </c>
      <c r="AV159" s="14"/>
      <c r="AW159" s="15"/>
      <c r="AX159" s="15" t="str">
        <f t="shared" si="13"/>
        <v>#DIV/0!</v>
      </c>
    </row>
    <row r="160" ht="15.75" customHeight="1">
      <c r="A160" s="7">
        <v>240418.0</v>
      </c>
      <c r="B160" s="7">
        <v>79.0</v>
      </c>
      <c r="C160" s="7">
        <v>2.0</v>
      </c>
      <c r="D160" s="8" t="s">
        <v>153</v>
      </c>
      <c r="E160" s="7">
        <v>8.0</v>
      </c>
      <c r="F160" s="8" t="s">
        <v>48</v>
      </c>
      <c r="G160" s="8" t="s">
        <v>89</v>
      </c>
      <c r="H160" s="8" t="s">
        <v>63</v>
      </c>
      <c r="I160" s="8" t="s">
        <v>51</v>
      </c>
      <c r="J160" s="8" t="s">
        <v>52</v>
      </c>
      <c r="K160" s="11" t="s">
        <v>59</v>
      </c>
      <c r="L160" s="18">
        <v>0.016249</v>
      </c>
      <c r="M160" s="18">
        <v>0.02314</v>
      </c>
      <c r="N160" s="18">
        <v>0.026971</v>
      </c>
      <c r="O160" s="18">
        <v>0.027452</v>
      </c>
      <c r="P160" s="18">
        <v>0.025805</v>
      </c>
      <c r="Q160" s="18">
        <v>0.025322</v>
      </c>
      <c r="R160" s="18">
        <v>0.024712</v>
      </c>
      <c r="S160" s="18">
        <v>0.022309</v>
      </c>
      <c r="T160" s="18">
        <v>0.022849</v>
      </c>
      <c r="U160" s="18">
        <v>0.024187</v>
      </c>
      <c r="V160" s="18">
        <v>0.02405</v>
      </c>
      <c r="W160" s="18">
        <v>0.026741</v>
      </c>
      <c r="X160" s="18">
        <v>0.031331</v>
      </c>
      <c r="Y160" s="18">
        <v>0.033184</v>
      </c>
      <c r="Z160" s="18">
        <v>0.031679</v>
      </c>
      <c r="AA160" s="18">
        <v>0.033341</v>
      </c>
      <c r="AB160" s="18">
        <v>0.035066</v>
      </c>
      <c r="AC160" s="18">
        <v>0.032323</v>
      </c>
      <c r="AD160" s="18">
        <v>0.028386</v>
      </c>
      <c r="AE160" s="18">
        <v>0.024702</v>
      </c>
      <c r="AF160" s="18">
        <v>0.021061</v>
      </c>
      <c r="AG160" s="18">
        <v>0.014817</v>
      </c>
      <c r="AH160" s="18">
        <v>0.008142</v>
      </c>
      <c r="AI160" s="18">
        <v>0.003946</v>
      </c>
      <c r="AJ160" s="18">
        <v>0.0</v>
      </c>
      <c r="AK160" s="18">
        <v>0.0</v>
      </c>
      <c r="AL160" s="2">
        <v>0.0</v>
      </c>
      <c r="AM160" s="2">
        <v>0.0</v>
      </c>
      <c r="AN160" s="2">
        <v>0.0</v>
      </c>
      <c r="AO160" s="2">
        <v>0.0</v>
      </c>
      <c r="AP160" s="20">
        <v>0.0</v>
      </c>
      <c r="AQ160" s="20">
        <v>0.0</v>
      </c>
      <c r="AR160" s="20">
        <v>0.0</v>
      </c>
      <c r="AS160" s="20">
        <v>0.0</v>
      </c>
      <c r="AT160" s="12">
        <f>AVERAGE(L160:AI160)</f>
        <v>0.02449020833</v>
      </c>
      <c r="AU160" s="12">
        <f t="shared" si="12"/>
        <v>0.02449020833</v>
      </c>
      <c r="AV160" s="14"/>
      <c r="AW160" s="15"/>
      <c r="AX160" s="15" t="str">
        <f t="shared" si="13"/>
        <v>#DIV/0!</v>
      </c>
    </row>
    <row r="161" ht="15.75" customHeight="1">
      <c r="A161" s="7">
        <v>240418.0</v>
      </c>
      <c r="B161" s="7">
        <v>79.0</v>
      </c>
      <c r="C161" s="7">
        <v>2.0</v>
      </c>
      <c r="D161" s="8" t="s">
        <v>154</v>
      </c>
      <c r="E161" s="7">
        <v>8.0</v>
      </c>
      <c r="F161" s="8" t="s">
        <v>48</v>
      </c>
      <c r="G161" s="8" t="s">
        <v>89</v>
      </c>
      <c r="H161" s="8" t="s">
        <v>65</v>
      </c>
      <c r="I161" s="8" t="s">
        <v>51</v>
      </c>
      <c r="J161" s="8" t="s">
        <v>52</v>
      </c>
      <c r="K161" s="11" t="s">
        <v>59</v>
      </c>
      <c r="L161" s="18">
        <v>0.014952</v>
      </c>
      <c r="M161" s="18">
        <v>0.018302</v>
      </c>
      <c r="N161" s="18">
        <v>0.020629</v>
      </c>
      <c r="O161" s="18">
        <v>0.023762</v>
      </c>
      <c r="P161" s="18">
        <v>0.026012</v>
      </c>
      <c r="Q161" s="18">
        <v>0.023369</v>
      </c>
      <c r="R161" s="18">
        <v>0.020972</v>
      </c>
      <c r="S161" s="18">
        <v>0.019718</v>
      </c>
      <c r="T161" s="18">
        <v>0.019812</v>
      </c>
      <c r="U161" s="18">
        <v>0.023815</v>
      </c>
      <c r="V161" s="18">
        <v>0.026404</v>
      </c>
      <c r="W161" s="18">
        <v>0.028741</v>
      </c>
      <c r="X161" s="18">
        <v>0.030457</v>
      </c>
      <c r="Y161" s="18">
        <v>0.02918</v>
      </c>
      <c r="Z161" s="18">
        <v>0.028739</v>
      </c>
      <c r="AA161" s="18">
        <v>0.028527</v>
      </c>
      <c r="AB161" s="18">
        <v>0.026184</v>
      </c>
      <c r="AC161" s="18">
        <v>0.023726</v>
      </c>
      <c r="AD161" s="18">
        <v>0.022022</v>
      </c>
      <c r="AE161" s="18">
        <v>0.019854</v>
      </c>
      <c r="AF161" s="18">
        <v>0.015466</v>
      </c>
      <c r="AG161" s="18">
        <v>0.007691</v>
      </c>
      <c r="AH161" s="18">
        <v>0.001547</v>
      </c>
      <c r="AI161" s="18">
        <v>1.4E-4</v>
      </c>
      <c r="AJ161" s="18">
        <v>7.77E-5</v>
      </c>
      <c r="AK161" s="18">
        <v>0.0</v>
      </c>
      <c r="AL161" s="2">
        <v>0.0</v>
      </c>
      <c r="AM161" s="2">
        <v>0.0</v>
      </c>
      <c r="AN161" s="2">
        <v>0.0</v>
      </c>
      <c r="AO161" s="2">
        <v>0.0</v>
      </c>
      <c r="AP161" s="20">
        <v>0.0</v>
      </c>
      <c r="AQ161" s="20">
        <v>0.0</v>
      </c>
      <c r="AR161" s="20">
        <v>0.0</v>
      </c>
      <c r="AS161" s="20">
        <v>0.0</v>
      </c>
      <c r="AT161" s="12">
        <f>AVERAGE(L161:AJ161)</f>
        <v>0.020003948</v>
      </c>
      <c r="AU161" s="12">
        <f t="shared" si="12"/>
        <v>0.020003948</v>
      </c>
      <c r="AV161" s="14"/>
      <c r="AW161" s="15"/>
      <c r="AX161" s="15" t="str">
        <f t="shared" si="13"/>
        <v>#DIV/0!</v>
      </c>
    </row>
    <row r="162" ht="15.75" customHeight="1">
      <c r="A162" s="7">
        <v>240418.0</v>
      </c>
      <c r="B162" s="7">
        <v>79.0</v>
      </c>
      <c r="C162" s="7">
        <v>2.0</v>
      </c>
      <c r="D162" s="8" t="s">
        <v>155</v>
      </c>
      <c r="E162" s="7">
        <v>8.0</v>
      </c>
      <c r="F162" s="8" t="s">
        <v>48</v>
      </c>
      <c r="G162" s="8" t="s">
        <v>89</v>
      </c>
      <c r="H162" s="8" t="s">
        <v>61</v>
      </c>
      <c r="I162" s="8" t="s">
        <v>51</v>
      </c>
      <c r="J162" s="8" t="s">
        <v>52</v>
      </c>
      <c r="K162" s="11" t="s">
        <v>59</v>
      </c>
      <c r="L162" s="18">
        <v>0.025308</v>
      </c>
      <c r="M162" s="18">
        <v>0.025875</v>
      </c>
      <c r="N162" s="18">
        <v>0.026772</v>
      </c>
      <c r="O162" s="18">
        <v>0.026423</v>
      </c>
      <c r="P162" s="18">
        <v>0.026432</v>
      </c>
      <c r="Q162" s="18">
        <v>0.027199</v>
      </c>
      <c r="R162" s="18">
        <v>0.025125</v>
      </c>
      <c r="S162" s="18">
        <v>0.023518</v>
      </c>
      <c r="T162" s="18">
        <v>0.025185</v>
      </c>
      <c r="U162" s="18">
        <v>0.024623</v>
      </c>
      <c r="V162" s="18">
        <v>0.024127</v>
      </c>
      <c r="W162" s="18">
        <v>0.02676</v>
      </c>
      <c r="X162" s="18">
        <v>0.029301</v>
      </c>
      <c r="Y162" s="18">
        <v>0.031049</v>
      </c>
      <c r="Z162" s="18">
        <v>0.034024</v>
      </c>
      <c r="AA162" s="18">
        <v>0.036407</v>
      </c>
      <c r="AB162" s="18">
        <v>0.036241</v>
      </c>
      <c r="AC162" s="18">
        <v>0.033836</v>
      </c>
      <c r="AD162" s="18">
        <v>0.031297</v>
      </c>
      <c r="AE162" s="18">
        <v>0.030619</v>
      </c>
      <c r="AF162" s="18">
        <v>0.031272</v>
      </c>
      <c r="AG162" s="18">
        <v>0.031307</v>
      </c>
      <c r="AH162" s="18">
        <v>0.019957</v>
      </c>
      <c r="AI162" s="18">
        <v>0.006182</v>
      </c>
      <c r="AJ162" s="18">
        <v>0.003027</v>
      </c>
      <c r="AK162" s="18">
        <v>0.00345</v>
      </c>
      <c r="AL162" s="18">
        <v>0.007175</v>
      </c>
      <c r="AM162" s="18">
        <v>0.011917</v>
      </c>
      <c r="AN162" s="18">
        <v>0.018113</v>
      </c>
      <c r="AO162" s="2">
        <v>0.0</v>
      </c>
      <c r="AP162" s="20">
        <v>0.0</v>
      </c>
      <c r="AQ162" s="20">
        <v>0.0</v>
      </c>
      <c r="AR162" s="20">
        <v>0.0</v>
      </c>
      <c r="AS162" s="20">
        <v>0.0</v>
      </c>
      <c r="AT162" s="12">
        <f>AVERAGE(L162:AM162)</f>
        <v>0.02444314286</v>
      </c>
      <c r="AU162" s="12">
        <f t="shared" si="12"/>
        <v>0.02422486207</v>
      </c>
      <c r="AV162" s="14"/>
      <c r="AW162" s="15"/>
      <c r="AX162" s="15" t="str">
        <f t="shared" si="13"/>
        <v>#DIV/0!</v>
      </c>
    </row>
    <row r="163" ht="15.75" customHeight="1">
      <c r="A163" s="7">
        <v>240419.0</v>
      </c>
      <c r="B163" s="7">
        <v>79.0</v>
      </c>
      <c r="C163" s="7">
        <v>2.0</v>
      </c>
      <c r="D163" s="8" t="s">
        <v>156</v>
      </c>
      <c r="E163" s="7">
        <v>8.0</v>
      </c>
      <c r="F163" s="8" t="s">
        <v>48</v>
      </c>
      <c r="G163" s="8" t="s">
        <v>85</v>
      </c>
      <c r="H163" s="8" t="s">
        <v>63</v>
      </c>
      <c r="I163" s="8" t="s">
        <v>51</v>
      </c>
      <c r="J163" s="8" t="s">
        <v>52</v>
      </c>
      <c r="K163" s="11" t="s">
        <v>59</v>
      </c>
      <c r="L163" s="18">
        <v>0.029463</v>
      </c>
      <c r="M163" s="18">
        <v>0.024627</v>
      </c>
      <c r="N163" s="18">
        <v>0.023365</v>
      </c>
      <c r="O163" s="18">
        <v>0.023051</v>
      </c>
      <c r="P163" s="18">
        <v>0.022453</v>
      </c>
      <c r="Q163" s="18">
        <v>0.024038</v>
      </c>
      <c r="R163" s="18">
        <v>0.026092</v>
      </c>
      <c r="S163" s="18">
        <v>0.027807</v>
      </c>
      <c r="T163" s="18">
        <v>0.027788</v>
      </c>
      <c r="U163" s="18">
        <v>0.025697</v>
      </c>
      <c r="V163" s="18">
        <v>0.023469</v>
      </c>
      <c r="W163" s="18">
        <v>0.021585</v>
      </c>
      <c r="X163" s="18">
        <v>0.021254</v>
      </c>
      <c r="Y163" s="18">
        <v>0.024155</v>
      </c>
      <c r="Z163" s="18">
        <v>0.028208</v>
      </c>
      <c r="AA163" s="18">
        <v>0.02926</v>
      </c>
      <c r="AB163" s="18">
        <v>0.026703</v>
      </c>
      <c r="AC163" s="18">
        <v>0.026105</v>
      </c>
      <c r="AD163" s="18">
        <v>0.027576</v>
      </c>
      <c r="AE163" s="18">
        <v>0.028035</v>
      </c>
      <c r="AF163" s="18">
        <v>0.028415</v>
      </c>
      <c r="AG163" s="18">
        <v>0.028172</v>
      </c>
      <c r="AH163" s="18">
        <v>0.026714</v>
      </c>
      <c r="AI163" s="18">
        <v>0.023814</v>
      </c>
      <c r="AJ163" s="18">
        <v>0.019369</v>
      </c>
      <c r="AK163" s="18">
        <v>0.015701</v>
      </c>
      <c r="AL163" s="18">
        <v>0.015673</v>
      </c>
      <c r="AM163" s="18">
        <v>0.015915</v>
      </c>
      <c r="AN163" s="18">
        <v>0.013721</v>
      </c>
      <c r="AO163" s="18">
        <v>0.00838</v>
      </c>
      <c r="AP163" s="20">
        <v>0.0</v>
      </c>
      <c r="AQ163" s="20">
        <v>0.0</v>
      </c>
      <c r="AR163" s="20">
        <v>0.0</v>
      </c>
      <c r="AS163" s="20">
        <v>0.0</v>
      </c>
      <c r="AT163" s="12">
        <f>AVERAGE(L163:AO163)</f>
        <v>0.0235535</v>
      </c>
      <c r="AU163" s="12">
        <f t="shared" si="12"/>
        <v>0.0235535</v>
      </c>
      <c r="AV163" s="14"/>
      <c r="AW163" s="15"/>
      <c r="AX163" s="15" t="str">
        <f t="shared" si="13"/>
        <v>#DIV/0!</v>
      </c>
    </row>
    <row r="164" ht="15.75" customHeight="1">
      <c r="A164" s="7">
        <v>240419.0</v>
      </c>
      <c r="B164" s="7">
        <v>79.0</v>
      </c>
      <c r="C164" s="7">
        <v>2.0</v>
      </c>
      <c r="D164" s="8" t="s">
        <v>157</v>
      </c>
      <c r="E164" s="7">
        <v>8.0</v>
      </c>
      <c r="F164" s="8" t="s">
        <v>48</v>
      </c>
      <c r="G164" s="8" t="s">
        <v>85</v>
      </c>
      <c r="H164" s="8" t="s">
        <v>50</v>
      </c>
      <c r="I164" s="8" t="s">
        <v>51</v>
      </c>
      <c r="J164" s="8" t="s">
        <v>52</v>
      </c>
      <c r="K164" s="11" t="s">
        <v>59</v>
      </c>
      <c r="L164" s="18">
        <v>0.01642</v>
      </c>
      <c r="M164" s="18">
        <v>0.016106</v>
      </c>
      <c r="N164" s="18">
        <v>0.017303</v>
      </c>
      <c r="O164" s="18">
        <v>0.019425</v>
      </c>
      <c r="P164" s="18">
        <v>0.019975</v>
      </c>
      <c r="Q164" s="18">
        <v>0.02058</v>
      </c>
      <c r="R164" s="18">
        <v>0.023095</v>
      </c>
      <c r="S164" s="18">
        <v>0.024458</v>
      </c>
      <c r="T164" s="18">
        <v>0.02456</v>
      </c>
      <c r="U164" s="18">
        <v>0.024237</v>
      </c>
      <c r="V164" s="18">
        <v>0.026473</v>
      </c>
      <c r="W164" s="18">
        <v>0.029166</v>
      </c>
      <c r="X164" s="18">
        <v>0.027976</v>
      </c>
      <c r="Y164" s="18">
        <v>0.027093</v>
      </c>
      <c r="Z164" s="18">
        <v>0.027505</v>
      </c>
      <c r="AA164" s="18">
        <v>0.026999</v>
      </c>
      <c r="AB164" s="18">
        <v>0.027678</v>
      </c>
      <c r="AC164" s="18">
        <v>0.02804</v>
      </c>
      <c r="AD164" s="18">
        <v>0.027871</v>
      </c>
      <c r="AE164" s="18">
        <v>0.029135</v>
      </c>
      <c r="AF164" s="18">
        <v>0.028279</v>
      </c>
      <c r="AG164" s="18">
        <v>0.026072</v>
      </c>
      <c r="AH164" s="18">
        <v>0.023659</v>
      </c>
      <c r="AI164" s="18">
        <v>0.022315</v>
      </c>
      <c r="AJ164" s="18">
        <v>0.020697</v>
      </c>
      <c r="AK164" s="18">
        <v>0.013858</v>
      </c>
      <c r="AL164" s="18">
        <v>0.0</v>
      </c>
      <c r="AM164" s="2">
        <v>0.0</v>
      </c>
      <c r="AN164" s="2">
        <v>0.0</v>
      </c>
      <c r="AO164" s="2">
        <v>0.0</v>
      </c>
      <c r="AP164" s="20">
        <v>0.0</v>
      </c>
      <c r="AQ164" s="20">
        <v>0.0</v>
      </c>
      <c r="AR164" s="20">
        <v>0.0</v>
      </c>
      <c r="AS164" s="20">
        <v>0.0</v>
      </c>
      <c r="AT164" s="12">
        <f>AVERAGE(L164:AK164)</f>
        <v>0.02380673077</v>
      </c>
      <c r="AU164" s="12">
        <f t="shared" si="12"/>
        <v>0.02380673077</v>
      </c>
      <c r="AV164" s="14"/>
      <c r="AW164" s="15"/>
      <c r="AX164" s="15" t="str">
        <f t="shared" si="13"/>
        <v>#DIV/0!</v>
      </c>
    </row>
    <row r="165" ht="15.75" customHeight="1">
      <c r="A165" s="7">
        <v>240419.0</v>
      </c>
      <c r="B165" s="7">
        <v>79.0</v>
      </c>
      <c r="C165" s="7">
        <v>2.0</v>
      </c>
      <c r="D165" s="8" t="s">
        <v>158</v>
      </c>
      <c r="E165" s="7">
        <v>8.0</v>
      </c>
      <c r="F165" s="8" t="s">
        <v>48</v>
      </c>
      <c r="G165" s="8" t="s">
        <v>85</v>
      </c>
      <c r="H165" s="8" t="s">
        <v>61</v>
      </c>
      <c r="I165" s="8" t="s">
        <v>51</v>
      </c>
      <c r="J165" s="8" t="s">
        <v>52</v>
      </c>
      <c r="K165" s="11" t="s">
        <v>59</v>
      </c>
      <c r="L165" s="18">
        <v>0.024579</v>
      </c>
      <c r="M165" s="18">
        <v>0.021852</v>
      </c>
      <c r="N165" s="18">
        <v>0.020731</v>
      </c>
      <c r="O165" s="18">
        <v>0.023524</v>
      </c>
      <c r="P165" s="18">
        <v>0.025518</v>
      </c>
      <c r="Q165" s="18">
        <v>0.024322</v>
      </c>
      <c r="R165" s="18">
        <v>0.02365</v>
      </c>
      <c r="S165" s="18">
        <v>0.024225</v>
      </c>
      <c r="T165" s="18">
        <v>0.024498</v>
      </c>
      <c r="U165" s="18">
        <v>0.024406</v>
      </c>
      <c r="V165" s="18">
        <v>0.025451</v>
      </c>
      <c r="W165" s="18">
        <v>0.025378</v>
      </c>
      <c r="X165" s="18">
        <v>0.025274</v>
      </c>
      <c r="Y165" s="18">
        <v>0.027852</v>
      </c>
      <c r="Z165" s="18">
        <v>0.029447</v>
      </c>
      <c r="AA165" s="18">
        <v>0.030063</v>
      </c>
      <c r="AB165" s="18">
        <v>0.030286</v>
      </c>
      <c r="AC165" s="18">
        <v>0.030969</v>
      </c>
      <c r="AD165" s="18">
        <v>0.032054</v>
      </c>
      <c r="AE165" s="18">
        <v>0.032614</v>
      </c>
      <c r="AF165" s="18">
        <v>0.031386</v>
      </c>
      <c r="AG165" s="18">
        <v>0.029466</v>
      </c>
      <c r="AH165" s="18">
        <v>0.027232</v>
      </c>
      <c r="AI165" s="18">
        <v>0.023229</v>
      </c>
      <c r="AJ165" s="18">
        <v>0.020465</v>
      </c>
      <c r="AK165" s="18">
        <v>0.022294</v>
      </c>
      <c r="AL165" s="18">
        <v>0.024993</v>
      </c>
      <c r="AM165" s="18">
        <v>0.015993</v>
      </c>
      <c r="AN165" s="18">
        <v>0.021048</v>
      </c>
      <c r="AO165" s="18">
        <v>0.041319</v>
      </c>
      <c r="AP165" s="20">
        <v>0.0</v>
      </c>
      <c r="AQ165" s="20">
        <v>0.0</v>
      </c>
      <c r="AR165" s="20">
        <v>0.0</v>
      </c>
      <c r="AS165" s="20">
        <v>0.0</v>
      </c>
      <c r="AT165" s="12">
        <f>AVERAGE(L165:AO165)</f>
        <v>0.02613726667</v>
      </c>
      <c r="AU165" s="12">
        <f t="shared" si="12"/>
        <v>0.02613726667</v>
      </c>
      <c r="AV165" s="14"/>
      <c r="AW165" s="15"/>
      <c r="AX165" s="15" t="str">
        <f t="shared" si="13"/>
        <v>#DIV/0!</v>
      </c>
    </row>
    <row r="166" ht="15.75" customHeight="1">
      <c r="A166" s="7">
        <v>240419.0</v>
      </c>
      <c r="B166" s="7">
        <v>79.0</v>
      </c>
      <c r="C166" s="7">
        <v>2.0</v>
      </c>
      <c r="D166" s="8" t="s">
        <v>159</v>
      </c>
      <c r="E166" s="7">
        <v>8.0</v>
      </c>
      <c r="F166" s="8" t="s">
        <v>48</v>
      </c>
      <c r="G166" s="8" t="s">
        <v>85</v>
      </c>
      <c r="H166" s="8" t="s">
        <v>65</v>
      </c>
      <c r="I166" s="8" t="s">
        <v>51</v>
      </c>
      <c r="J166" s="8" t="s">
        <v>52</v>
      </c>
      <c r="K166" s="11" t="s">
        <v>59</v>
      </c>
      <c r="L166" s="18">
        <v>0.024464</v>
      </c>
      <c r="M166" s="18">
        <v>0.02509</v>
      </c>
      <c r="N166" s="18">
        <v>0.026234</v>
      </c>
      <c r="O166" s="18">
        <v>0.025937</v>
      </c>
      <c r="P166" s="18">
        <v>0.023919</v>
      </c>
      <c r="Q166" s="18">
        <v>0.023785</v>
      </c>
      <c r="R166" s="18">
        <v>0.025</v>
      </c>
      <c r="S166" s="18">
        <v>0.024347</v>
      </c>
      <c r="T166" s="18">
        <v>0.024672</v>
      </c>
      <c r="U166" s="18">
        <v>0.02465</v>
      </c>
      <c r="V166" s="18">
        <v>0.024432</v>
      </c>
      <c r="W166" s="18">
        <v>0.026322</v>
      </c>
      <c r="X166" s="18">
        <v>0.029591</v>
      </c>
      <c r="Y166" s="18">
        <v>0.032287</v>
      </c>
      <c r="Z166" s="18">
        <v>0.032353</v>
      </c>
      <c r="AA166" s="18">
        <v>0.031234</v>
      </c>
      <c r="AB166" s="18">
        <v>0.031396</v>
      </c>
      <c r="AC166" s="18">
        <v>0.030693</v>
      </c>
      <c r="AD166" s="18">
        <v>0.025855</v>
      </c>
      <c r="AE166" s="18">
        <v>0.02422</v>
      </c>
      <c r="AF166" s="18">
        <v>0.024669</v>
      </c>
      <c r="AG166" s="18">
        <v>0.021154</v>
      </c>
      <c r="AH166" s="18">
        <v>0.012731</v>
      </c>
      <c r="AI166" s="18">
        <v>0.004106</v>
      </c>
      <c r="AJ166" s="18">
        <v>0.001157</v>
      </c>
      <c r="AK166" s="18">
        <v>0.001639</v>
      </c>
      <c r="AL166" s="18">
        <v>0.002795</v>
      </c>
      <c r="AM166" s="18">
        <v>0.003771</v>
      </c>
      <c r="AN166" s="2">
        <v>0.0</v>
      </c>
      <c r="AO166" s="2">
        <v>0.0</v>
      </c>
      <c r="AP166" s="20">
        <v>0.0</v>
      </c>
      <c r="AQ166" s="20">
        <v>0.0</v>
      </c>
      <c r="AR166" s="20">
        <v>0.0</v>
      </c>
      <c r="AS166" s="20">
        <v>0.0</v>
      </c>
      <c r="AT166" s="12">
        <f t="shared" ref="AT166:AT167" si="16">AVERAGE(L166:AM166)</f>
        <v>0.02173225</v>
      </c>
      <c r="AU166" s="12">
        <f t="shared" si="12"/>
        <v>0.02173225</v>
      </c>
      <c r="AV166" s="14"/>
      <c r="AW166" s="15"/>
      <c r="AX166" s="15" t="str">
        <f t="shared" si="13"/>
        <v>#DIV/0!</v>
      </c>
    </row>
    <row r="167" ht="15.75" customHeight="1">
      <c r="A167" s="7">
        <v>240419.0</v>
      </c>
      <c r="B167" s="7">
        <v>79.0</v>
      </c>
      <c r="C167" s="7">
        <v>2.0</v>
      </c>
      <c r="D167" s="8" t="s">
        <v>160</v>
      </c>
      <c r="E167" s="7">
        <v>8.0</v>
      </c>
      <c r="F167" s="8" t="s">
        <v>56</v>
      </c>
      <c r="G167" s="8" t="s">
        <v>85</v>
      </c>
      <c r="H167" s="8" t="s">
        <v>50</v>
      </c>
      <c r="I167" s="8" t="s">
        <v>51</v>
      </c>
      <c r="J167" s="8" t="s">
        <v>52</v>
      </c>
      <c r="K167" s="11" t="s">
        <v>70</v>
      </c>
      <c r="L167" s="18">
        <v>0.018049</v>
      </c>
      <c r="M167" s="18">
        <v>0.021245</v>
      </c>
      <c r="N167" s="18">
        <v>0.025204</v>
      </c>
      <c r="O167" s="18">
        <v>0.026974</v>
      </c>
      <c r="P167" s="18">
        <v>0.025185</v>
      </c>
      <c r="Q167" s="18">
        <v>0.023979</v>
      </c>
      <c r="R167" s="18">
        <v>0.024908</v>
      </c>
      <c r="S167" s="18">
        <v>0.027715</v>
      </c>
      <c r="T167" s="18">
        <v>0.029602</v>
      </c>
      <c r="U167" s="18">
        <v>0.029485</v>
      </c>
      <c r="V167" s="18">
        <v>0.030144</v>
      </c>
      <c r="W167" s="18">
        <v>0.031393</v>
      </c>
      <c r="X167" s="18">
        <v>0.031523</v>
      </c>
      <c r="Y167" s="18">
        <v>0.032366</v>
      </c>
      <c r="Z167" s="18">
        <v>0.033055</v>
      </c>
      <c r="AA167" s="18">
        <v>0.033408</v>
      </c>
      <c r="AB167" s="18">
        <v>0.032218</v>
      </c>
      <c r="AC167" s="18">
        <v>0.031291</v>
      </c>
      <c r="AD167" s="18">
        <v>0.032169</v>
      </c>
      <c r="AE167" s="18">
        <v>0.031674</v>
      </c>
      <c r="AF167" s="18">
        <v>0.032846</v>
      </c>
      <c r="AG167" s="18">
        <v>0.032757</v>
      </c>
      <c r="AH167" s="18">
        <v>0.03106</v>
      </c>
      <c r="AI167" s="18">
        <v>0.025219</v>
      </c>
      <c r="AJ167" s="18">
        <v>0.015272</v>
      </c>
      <c r="AK167" s="18">
        <v>0.006835</v>
      </c>
      <c r="AL167" s="18">
        <v>0.001576</v>
      </c>
      <c r="AM167" s="18">
        <v>1.44E-5</v>
      </c>
      <c r="AN167" s="2">
        <v>0.0</v>
      </c>
      <c r="AO167" s="2">
        <v>0.0</v>
      </c>
      <c r="AP167" s="20">
        <v>0.0</v>
      </c>
      <c r="AQ167" s="20">
        <v>0.0</v>
      </c>
      <c r="AR167" s="20">
        <v>0.0</v>
      </c>
      <c r="AS167" s="20">
        <v>0.0</v>
      </c>
      <c r="AT167" s="12">
        <f t="shared" si="16"/>
        <v>0.02561308571</v>
      </c>
      <c r="AU167" s="12">
        <f t="shared" si="12"/>
        <v>0.02561308571</v>
      </c>
      <c r="AV167" s="14"/>
      <c r="AW167" s="15"/>
      <c r="AX167" s="15" t="str">
        <f t="shared" si="13"/>
        <v>#DIV/0!</v>
      </c>
    </row>
    <row r="168" ht="15.75" customHeight="1">
      <c r="A168" s="7">
        <v>240419.0</v>
      </c>
      <c r="B168" s="7">
        <v>79.0</v>
      </c>
      <c r="C168" s="7">
        <v>2.0</v>
      </c>
      <c r="D168" s="8" t="s">
        <v>161</v>
      </c>
      <c r="E168" s="7">
        <v>8.0</v>
      </c>
      <c r="F168" s="8" t="s">
        <v>56</v>
      </c>
      <c r="G168" s="8" t="s">
        <v>85</v>
      </c>
      <c r="H168" s="8" t="s">
        <v>63</v>
      </c>
      <c r="I168" s="8" t="s">
        <v>51</v>
      </c>
      <c r="J168" s="8" t="s">
        <v>52</v>
      </c>
      <c r="K168" s="11" t="s">
        <v>70</v>
      </c>
      <c r="L168" s="18">
        <v>0.018749</v>
      </c>
      <c r="M168" s="18">
        <v>0.019946</v>
      </c>
      <c r="N168" s="18">
        <v>0.022219</v>
      </c>
      <c r="O168" s="18">
        <v>0.024702</v>
      </c>
      <c r="P168" s="18">
        <v>0.02568</v>
      </c>
      <c r="Q168" s="18">
        <v>0.028102</v>
      </c>
      <c r="R168" s="18">
        <v>0.029988</v>
      </c>
      <c r="S168" s="18">
        <v>0.032224</v>
      </c>
      <c r="T168" s="18">
        <v>0.03425</v>
      </c>
      <c r="U168" s="18">
        <v>0.034009</v>
      </c>
      <c r="V168" s="18">
        <v>0.032496</v>
      </c>
      <c r="W168" s="18">
        <v>0.03137</v>
      </c>
      <c r="X168" s="18">
        <v>0.0321</v>
      </c>
      <c r="Y168" s="18">
        <v>0.03389</v>
      </c>
      <c r="Z168" s="18">
        <v>0.035596</v>
      </c>
      <c r="AA168" s="18">
        <v>0.036209</v>
      </c>
      <c r="AB168" s="18">
        <v>0.036335</v>
      </c>
      <c r="AC168" s="18">
        <v>0.035419</v>
      </c>
      <c r="AD168" s="18">
        <v>0.032551</v>
      </c>
      <c r="AE168" s="18">
        <v>0.024454</v>
      </c>
      <c r="AF168" s="18">
        <v>0.010588</v>
      </c>
      <c r="AG168" s="18">
        <v>0.001084</v>
      </c>
      <c r="AH168" s="18">
        <v>0.0</v>
      </c>
      <c r="AI168" s="18">
        <v>0.0</v>
      </c>
      <c r="AJ168" s="18">
        <v>0.0</v>
      </c>
      <c r="AK168" s="18">
        <v>0.0</v>
      </c>
      <c r="AL168" s="2">
        <v>0.0</v>
      </c>
      <c r="AM168" s="2">
        <v>0.0</v>
      </c>
      <c r="AN168" s="2">
        <v>0.0</v>
      </c>
      <c r="AO168" s="2">
        <v>0.0</v>
      </c>
      <c r="AP168" s="20">
        <v>0.0</v>
      </c>
      <c r="AQ168" s="20">
        <v>0.0</v>
      </c>
      <c r="AR168" s="20">
        <v>0.0</v>
      </c>
      <c r="AS168" s="20">
        <v>0.0</v>
      </c>
      <c r="AT168" s="12">
        <f>AVERAGE(L168:AG168)</f>
        <v>0.02781640909</v>
      </c>
      <c r="AU168" s="12">
        <f t="shared" si="12"/>
        <v>0.02781640909</v>
      </c>
      <c r="AV168" s="14"/>
      <c r="AW168" s="15"/>
      <c r="AX168" s="15" t="str">
        <f t="shared" si="13"/>
        <v>#DIV/0!</v>
      </c>
    </row>
    <row r="169" ht="15.75" customHeight="1">
      <c r="A169" s="7">
        <v>240515.0</v>
      </c>
      <c r="B169" s="7">
        <v>79.0</v>
      </c>
      <c r="C169" s="7">
        <v>2.0</v>
      </c>
      <c r="D169" s="8" t="s">
        <v>162</v>
      </c>
      <c r="E169" s="7">
        <v>8.0</v>
      </c>
      <c r="F169" s="8" t="s">
        <v>56</v>
      </c>
      <c r="G169" s="8" t="s">
        <v>67</v>
      </c>
      <c r="H169" s="8" t="s">
        <v>50</v>
      </c>
      <c r="I169" s="8" t="s">
        <v>51</v>
      </c>
      <c r="J169" s="8" t="s">
        <v>52</v>
      </c>
      <c r="K169" s="11" t="s">
        <v>70</v>
      </c>
      <c r="L169" s="18">
        <v>0.033728</v>
      </c>
      <c r="M169" s="18">
        <v>0.033583</v>
      </c>
      <c r="N169" s="18">
        <v>0.029377</v>
      </c>
      <c r="O169" s="18">
        <v>0.024407</v>
      </c>
      <c r="P169" s="18">
        <v>0.028417</v>
      </c>
      <c r="Q169" s="18">
        <v>0.033337</v>
      </c>
      <c r="R169" s="18">
        <v>0.034217</v>
      </c>
      <c r="S169" s="18">
        <v>0.036179</v>
      </c>
      <c r="T169" s="18">
        <v>0.037217</v>
      </c>
      <c r="U169" s="18">
        <v>0.034305</v>
      </c>
      <c r="V169" s="18">
        <v>0.032132</v>
      </c>
      <c r="W169" s="18">
        <v>0.031843</v>
      </c>
      <c r="X169" s="18">
        <v>0.032691</v>
      </c>
      <c r="Y169" s="18">
        <v>0.038082</v>
      </c>
      <c r="Z169" s="18">
        <v>0.040379</v>
      </c>
      <c r="AA169" s="18">
        <v>0.038541</v>
      </c>
      <c r="AB169" s="18">
        <v>0.03828</v>
      </c>
      <c r="AC169" s="18">
        <v>0.039777</v>
      </c>
      <c r="AD169" s="18">
        <v>0.039498</v>
      </c>
      <c r="AE169" s="18">
        <v>0.04075</v>
      </c>
      <c r="AF169" s="18">
        <v>0.042765</v>
      </c>
      <c r="AG169" s="18">
        <v>0.04121</v>
      </c>
      <c r="AH169" s="18">
        <v>0.03874</v>
      </c>
      <c r="AI169" s="18">
        <v>0.037984</v>
      </c>
      <c r="AJ169" s="18">
        <v>0.033613</v>
      </c>
      <c r="AK169" s="18">
        <v>0.020571</v>
      </c>
      <c r="AL169" s="18">
        <v>0.004735</v>
      </c>
      <c r="AM169" s="18">
        <v>0.002159</v>
      </c>
      <c r="AN169" s="18">
        <v>0.0</v>
      </c>
      <c r="AO169" s="2">
        <v>0.0</v>
      </c>
      <c r="AP169" s="20">
        <v>0.0</v>
      </c>
      <c r="AQ169" s="20">
        <v>0.0</v>
      </c>
      <c r="AR169" s="20">
        <v>0.0</v>
      </c>
      <c r="AS169" s="20">
        <v>0.0</v>
      </c>
      <c r="AT169" s="12">
        <f>AVERAGE(L169:AM169)</f>
        <v>0.03280417857</v>
      </c>
      <c r="AU169" s="12">
        <f t="shared" si="12"/>
        <v>0.03280417857</v>
      </c>
      <c r="AV169" s="14"/>
      <c r="AW169" s="15"/>
      <c r="AX169" s="15" t="str">
        <f t="shared" si="13"/>
        <v>#DIV/0!</v>
      </c>
    </row>
    <row r="170" ht="15.75" customHeight="1">
      <c r="A170" s="7">
        <v>240515.0</v>
      </c>
      <c r="B170" s="7">
        <v>79.0</v>
      </c>
      <c r="C170" s="7">
        <v>2.0</v>
      </c>
      <c r="D170" s="8" t="s">
        <v>163</v>
      </c>
      <c r="E170" s="7">
        <v>8.0</v>
      </c>
      <c r="F170" s="8" t="s">
        <v>56</v>
      </c>
      <c r="G170" s="8" t="s">
        <v>67</v>
      </c>
      <c r="H170" s="8" t="s">
        <v>61</v>
      </c>
      <c r="I170" s="8" t="s">
        <v>51</v>
      </c>
      <c r="J170" s="8" t="s">
        <v>52</v>
      </c>
      <c r="K170" s="11" t="s">
        <v>70</v>
      </c>
      <c r="L170" s="18">
        <v>0.028894</v>
      </c>
      <c r="M170" s="18">
        <v>0.028565</v>
      </c>
      <c r="N170" s="18">
        <v>0.028014</v>
      </c>
      <c r="O170" s="18">
        <v>0.02809</v>
      </c>
      <c r="P170" s="18">
        <v>0.028785</v>
      </c>
      <c r="Q170" s="18">
        <v>0.030632</v>
      </c>
      <c r="R170" s="18">
        <v>0.033494</v>
      </c>
      <c r="S170" s="18">
        <v>0.034365</v>
      </c>
      <c r="T170" s="18">
        <v>0.033034</v>
      </c>
      <c r="U170" s="18">
        <v>0.03161</v>
      </c>
      <c r="V170" s="18">
        <v>0.034843</v>
      </c>
      <c r="W170" s="18">
        <v>0.037611</v>
      </c>
      <c r="X170" s="18">
        <v>0.037394</v>
      </c>
      <c r="Y170" s="18">
        <v>0.038056</v>
      </c>
      <c r="Z170" s="18">
        <v>0.036346</v>
      </c>
      <c r="AA170" s="18">
        <v>0.035799</v>
      </c>
      <c r="AB170" s="18">
        <v>0.036568</v>
      </c>
      <c r="AC170" s="18">
        <v>0.036302</v>
      </c>
      <c r="AD170" s="18">
        <v>0.035969</v>
      </c>
      <c r="AE170" s="18">
        <v>0.034937</v>
      </c>
      <c r="AF170" s="18">
        <v>0.02854</v>
      </c>
      <c r="AG170" s="18">
        <v>0.015612</v>
      </c>
      <c r="AH170" s="18">
        <v>0.011318</v>
      </c>
      <c r="AI170" s="18">
        <v>0.010527</v>
      </c>
      <c r="AJ170" s="18">
        <v>0.009516</v>
      </c>
      <c r="AK170" s="18">
        <v>0.013868</v>
      </c>
      <c r="AL170" s="18">
        <v>0.01486</v>
      </c>
      <c r="AM170" s="2">
        <v>0.0</v>
      </c>
      <c r="AN170" s="2">
        <v>0.0</v>
      </c>
      <c r="AO170" s="2">
        <v>0.0</v>
      </c>
      <c r="AP170" s="20">
        <v>0.0</v>
      </c>
      <c r="AQ170" s="20">
        <v>0.0</v>
      </c>
      <c r="AR170" s="20">
        <v>0.0</v>
      </c>
      <c r="AS170" s="20">
        <v>0.0</v>
      </c>
      <c r="AT170" s="12">
        <f>AVERAGE(L170:AL170)</f>
        <v>0.02864996296</v>
      </c>
      <c r="AU170" s="12">
        <f t="shared" si="12"/>
        <v>0.02864996296</v>
      </c>
      <c r="AV170" s="14"/>
      <c r="AW170" s="15"/>
      <c r="AX170" s="15" t="str">
        <f t="shared" si="13"/>
        <v>#DIV/0!</v>
      </c>
    </row>
    <row r="171" ht="15.75" customHeight="1">
      <c r="A171" s="7">
        <v>240515.0</v>
      </c>
      <c r="B171" s="7">
        <v>79.0</v>
      </c>
      <c r="C171" s="7">
        <v>2.0</v>
      </c>
      <c r="D171" s="8" t="s">
        <v>164</v>
      </c>
      <c r="E171" s="7">
        <v>8.0</v>
      </c>
      <c r="F171" s="8" t="s">
        <v>56</v>
      </c>
      <c r="G171" s="8" t="s">
        <v>67</v>
      </c>
      <c r="H171" s="8" t="s">
        <v>65</v>
      </c>
      <c r="I171" s="8" t="s">
        <v>51</v>
      </c>
      <c r="J171" s="8" t="s">
        <v>52</v>
      </c>
      <c r="K171" s="11" t="s">
        <v>70</v>
      </c>
      <c r="L171" s="18">
        <v>0.025231</v>
      </c>
      <c r="M171" s="18">
        <v>0.025253</v>
      </c>
      <c r="N171" s="18">
        <v>0.0258</v>
      </c>
      <c r="O171" s="18">
        <v>0.026957</v>
      </c>
      <c r="P171" s="18">
        <v>0.026277</v>
      </c>
      <c r="Q171" s="18">
        <v>0.024867</v>
      </c>
      <c r="R171" s="18">
        <v>0.025539</v>
      </c>
      <c r="S171" s="18">
        <v>0.029119</v>
      </c>
      <c r="T171" s="18">
        <v>0.033612</v>
      </c>
      <c r="U171" s="18">
        <v>0.035507</v>
      </c>
      <c r="V171" s="18">
        <v>0.036341</v>
      </c>
      <c r="W171" s="18">
        <v>0.036556</v>
      </c>
      <c r="X171" s="18">
        <v>0.034659</v>
      </c>
      <c r="Y171" s="18">
        <v>0.030528</v>
      </c>
      <c r="Z171" s="18">
        <v>0.028023</v>
      </c>
      <c r="AA171" s="18">
        <v>0.028632</v>
      </c>
      <c r="AB171" s="18">
        <v>0.025167</v>
      </c>
      <c r="AC171" s="18">
        <v>0.016099</v>
      </c>
      <c r="AD171" s="18">
        <v>0.009559</v>
      </c>
      <c r="AE171" s="18">
        <v>0.007099</v>
      </c>
      <c r="AF171" s="18">
        <v>0.004936</v>
      </c>
      <c r="AG171" s="18">
        <v>0.003529</v>
      </c>
      <c r="AH171" s="18">
        <v>0.003549</v>
      </c>
      <c r="AI171" s="18">
        <v>0.003479</v>
      </c>
      <c r="AJ171" s="18">
        <v>0.0</v>
      </c>
      <c r="AK171" s="18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0">
        <v>0.0</v>
      </c>
      <c r="AQ171" s="20">
        <v>0.0</v>
      </c>
      <c r="AR171" s="20">
        <v>0.0</v>
      </c>
      <c r="AS171" s="20">
        <v>0.0</v>
      </c>
      <c r="AT171" s="12">
        <f>AVERAGE(L171:AI171)</f>
        <v>0.02276325</v>
      </c>
      <c r="AU171" s="12">
        <f t="shared" si="12"/>
        <v>0.02276325</v>
      </c>
      <c r="AV171" s="14"/>
      <c r="AW171" s="15"/>
      <c r="AX171" s="15" t="str">
        <f t="shared" si="13"/>
        <v>#DIV/0!</v>
      </c>
    </row>
    <row r="172" ht="15.75" customHeight="1">
      <c r="A172" s="7">
        <v>240515.0</v>
      </c>
      <c r="B172" s="7">
        <v>79.0</v>
      </c>
      <c r="C172" s="7">
        <v>2.0</v>
      </c>
      <c r="D172" s="8" t="s">
        <v>165</v>
      </c>
      <c r="E172" s="7">
        <v>8.0</v>
      </c>
      <c r="F172" s="8" t="s">
        <v>56</v>
      </c>
      <c r="G172" s="8" t="s">
        <v>67</v>
      </c>
      <c r="H172" s="8" t="s">
        <v>63</v>
      </c>
      <c r="I172" s="8" t="s">
        <v>51</v>
      </c>
      <c r="J172" s="8" t="s">
        <v>52</v>
      </c>
      <c r="K172" s="11" t="s">
        <v>70</v>
      </c>
      <c r="L172" s="18">
        <v>0.02997</v>
      </c>
      <c r="M172" s="18">
        <v>0.028187</v>
      </c>
      <c r="N172" s="18">
        <v>0.023589</v>
      </c>
      <c r="O172" s="18">
        <v>0.022529</v>
      </c>
      <c r="P172" s="18">
        <v>0.028668</v>
      </c>
      <c r="Q172" s="18">
        <v>0.032949</v>
      </c>
      <c r="R172" s="18">
        <v>0.031597</v>
      </c>
      <c r="S172" s="18">
        <v>0.030347</v>
      </c>
      <c r="T172" s="18">
        <v>0.029999</v>
      </c>
      <c r="U172" s="18">
        <v>0.030565</v>
      </c>
      <c r="V172" s="18">
        <v>0.033268</v>
      </c>
      <c r="W172" s="18">
        <v>0.032918</v>
      </c>
      <c r="X172" s="18">
        <v>0.032202</v>
      </c>
      <c r="Y172" s="18">
        <v>0.033482</v>
      </c>
      <c r="Z172" s="18">
        <v>0.035413</v>
      </c>
      <c r="AA172" s="18">
        <v>0.037727</v>
      </c>
      <c r="AB172" s="18">
        <v>0.038554</v>
      </c>
      <c r="AC172" s="18">
        <v>0.03752</v>
      </c>
      <c r="AD172" s="18">
        <v>0.03423</v>
      </c>
      <c r="AE172" s="18">
        <v>0.032133</v>
      </c>
      <c r="AF172" s="18">
        <v>0.033163</v>
      </c>
      <c r="AG172" s="18">
        <v>0.03328</v>
      </c>
      <c r="AH172" s="18">
        <v>0.026863</v>
      </c>
      <c r="AI172" s="18">
        <v>0.016056</v>
      </c>
      <c r="AJ172" s="18">
        <v>0.00766</v>
      </c>
      <c r="AK172" s="18">
        <v>0.003628</v>
      </c>
      <c r="AL172" s="18">
        <v>0.002344</v>
      </c>
      <c r="AM172" s="18">
        <v>7.0E-4</v>
      </c>
      <c r="AN172" s="18">
        <v>0.0</v>
      </c>
      <c r="AO172" s="18">
        <v>0.0</v>
      </c>
      <c r="AP172" s="20">
        <v>0.0</v>
      </c>
      <c r="AQ172" s="20">
        <v>0.0</v>
      </c>
      <c r="AR172" s="20">
        <v>0.0</v>
      </c>
      <c r="AS172" s="20">
        <v>0.0</v>
      </c>
      <c r="AT172" s="12">
        <f>AVERAGE(L172:AM172)</f>
        <v>0.02712646429</v>
      </c>
      <c r="AU172" s="12">
        <f t="shared" si="12"/>
        <v>0.02712646429</v>
      </c>
      <c r="AV172" s="14"/>
      <c r="AW172" s="15"/>
      <c r="AX172" s="15" t="str">
        <f t="shared" si="13"/>
        <v>#DIV/0!</v>
      </c>
    </row>
    <row r="173" ht="15.75" customHeight="1">
      <c r="A173" s="7">
        <v>240515.0</v>
      </c>
      <c r="B173" s="7">
        <v>79.0</v>
      </c>
      <c r="C173" s="7">
        <v>2.0</v>
      </c>
      <c r="D173" s="8" t="s">
        <v>166</v>
      </c>
      <c r="E173" s="7">
        <v>8.0</v>
      </c>
      <c r="F173" s="8" t="s">
        <v>56</v>
      </c>
      <c r="G173" s="8" t="s">
        <v>49</v>
      </c>
      <c r="H173" s="8" t="s">
        <v>61</v>
      </c>
      <c r="I173" s="8" t="s">
        <v>51</v>
      </c>
      <c r="J173" s="8" t="s">
        <v>52</v>
      </c>
      <c r="K173" s="11" t="s">
        <v>70</v>
      </c>
      <c r="L173" s="18">
        <v>0.017092</v>
      </c>
      <c r="M173" s="18">
        <v>0.020327</v>
      </c>
      <c r="N173" s="18">
        <v>0.025375</v>
      </c>
      <c r="O173" s="18">
        <v>0.028616</v>
      </c>
      <c r="P173" s="18">
        <v>0.028733</v>
      </c>
      <c r="Q173" s="18">
        <v>0.029819</v>
      </c>
      <c r="R173" s="18">
        <v>0.028449</v>
      </c>
      <c r="S173" s="18">
        <v>0.02734</v>
      </c>
      <c r="T173" s="18">
        <v>0.028466</v>
      </c>
      <c r="U173" s="18">
        <v>0.029436</v>
      </c>
      <c r="V173" s="18">
        <v>0.030098</v>
      </c>
      <c r="W173" s="18">
        <v>0.029034</v>
      </c>
      <c r="X173" s="18">
        <v>0.027469</v>
      </c>
      <c r="Y173" s="18">
        <v>0.028473</v>
      </c>
      <c r="Z173" s="18">
        <v>0.031679</v>
      </c>
      <c r="AA173" s="18">
        <v>0.033104</v>
      </c>
      <c r="AB173" s="18">
        <v>0.032987</v>
      </c>
      <c r="AC173" s="18">
        <v>0.031453</v>
      </c>
      <c r="AD173" s="18">
        <v>0.030285</v>
      </c>
      <c r="AE173" s="18">
        <v>0.029619</v>
      </c>
      <c r="AF173" s="18">
        <v>0.028137</v>
      </c>
      <c r="AG173" s="18">
        <v>0.022076</v>
      </c>
      <c r="AH173" s="18">
        <v>0.010448</v>
      </c>
      <c r="AI173" s="18">
        <v>0.003431</v>
      </c>
      <c r="AJ173" s="18">
        <v>0.002468</v>
      </c>
      <c r="AK173" s="18">
        <v>0.0</v>
      </c>
      <c r="AL173" s="2">
        <v>0.0</v>
      </c>
      <c r="AM173" s="2">
        <v>0.0</v>
      </c>
      <c r="AN173" s="2">
        <v>0.0</v>
      </c>
      <c r="AO173" s="2">
        <v>0.0</v>
      </c>
      <c r="AP173" s="20">
        <v>0.0</v>
      </c>
      <c r="AQ173" s="20">
        <v>0.0</v>
      </c>
      <c r="AR173" s="20">
        <v>0.0</v>
      </c>
      <c r="AS173" s="20">
        <v>0.0</v>
      </c>
      <c r="AT173" s="12">
        <f>AVERAGE(L173:AJ173)</f>
        <v>0.02537656</v>
      </c>
      <c r="AU173" s="12">
        <f t="shared" si="12"/>
        <v>0.02537656</v>
      </c>
      <c r="AV173" s="14"/>
      <c r="AW173" s="15"/>
      <c r="AX173" s="15" t="str">
        <f t="shared" si="13"/>
        <v>#DIV/0!</v>
      </c>
    </row>
    <row r="174" ht="15.75" customHeight="1">
      <c r="A174" s="7">
        <v>240515.0</v>
      </c>
      <c r="B174" s="7">
        <v>79.0</v>
      </c>
      <c r="C174" s="7">
        <v>2.0</v>
      </c>
      <c r="D174" s="8" t="s">
        <v>167</v>
      </c>
      <c r="E174" s="7">
        <v>8.0</v>
      </c>
      <c r="F174" s="8" t="s">
        <v>56</v>
      </c>
      <c r="G174" s="8" t="s">
        <v>49</v>
      </c>
      <c r="H174" s="8" t="s">
        <v>65</v>
      </c>
      <c r="I174" s="8" t="s">
        <v>51</v>
      </c>
      <c r="J174" s="8" t="s">
        <v>52</v>
      </c>
      <c r="K174" s="11" t="s">
        <v>70</v>
      </c>
      <c r="L174" s="18">
        <v>0.017957</v>
      </c>
      <c r="M174" s="18">
        <v>0.01687</v>
      </c>
      <c r="N174" s="18">
        <v>0.016292</v>
      </c>
      <c r="O174" s="18">
        <v>0.018747</v>
      </c>
      <c r="P174" s="18">
        <v>0.02422</v>
      </c>
      <c r="Q174" s="18">
        <v>0.023865</v>
      </c>
      <c r="R174" s="18">
        <v>0.022253</v>
      </c>
      <c r="S174" s="18">
        <v>0.026423</v>
      </c>
      <c r="T174" s="18">
        <v>0.02935</v>
      </c>
      <c r="U174" s="18">
        <v>0.030374</v>
      </c>
      <c r="V174" s="18">
        <v>0.030436</v>
      </c>
      <c r="W174" s="18">
        <v>0.031675</v>
      </c>
      <c r="X174" s="18">
        <v>0.033623</v>
      </c>
      <c r="Y174" s="18">
        <v>0.034314</v>
      </c>
      <c r="Z174" s="18">
        <v>0.034055</v>
      </c>
      <c r="AA174" s="18">
        <v>0.033778</v>
      </c>
      <c r="AB174" s="18">
        <v>0.032383</v>
      </c>
      <c r="AC174" s="18">
        <v>0.031946</v>
      </c>
      <c r="AD174" s="18">
        <v>0.033191</v>
      </c>
      <c r="AE174" s="18">
        <v>0.027217</v>
      </c>
      <c r="AF174" s="18">
        <v>0.013168</v>
      </c>
      <c r="AG174" s="18">
        <v>0.00281</v>
      </c>
      <c r="AH174" s="18">
        <v>1.08E-4</v>
      </c>
      <c r="AI174" s="18">
        <v>1.31E-4</v>
      </c>
      <c r="AJ174" s="18">
        <v>0.0</v>
      </c>
      <c r="AK174" s="18">
        <v>0.0</v>
      </c>
      <c r="AL174" s="18">
        <v>0.0</v>
      </c>
      <c r="AM174" s="2">
        <v>0.0</v>
      </c>
      <c r="AN174" s="2">
        <v>0.0</v>
      </c>
      <c r="AO174" s="2">
        <v>0.0</v>
      </c>
      <c r="AP174" s="20">
        <v>0.0</v>
      </c>
      <c r="AQ174" s="20">
        <v>0.0</v>
      </c>
      <c r="AR174" s="20">
        <v>0.0</v>
      </c>
      <c r="AS174" s="20">
        <v>0.0</v>
      </c>
      <c r="AT174" s="12">
        <f>AVERAGE(L174:AI174)</f>
        <v>0.02354941667</v>
      </c>
      <c r="AU174" s="12">
        <f t="shared" si="12"/>
        <v>0.02354941667</v>
      </c>
      <c r="AV174" s="14"/>
      <c r="AW174" s="15"/>
      <c r="AX174" s="15" t="str">
        <f t="shared" si="13"/>
        <v>#DIV/0!</v>
      </c>
    </row>
    <row r="175" ht="15.75" customHeight="1">
      <c r="A175" s="7">
        <v>240515.0</v>
      </c>
      <c r="B175" s="7">
        <v>79.0</v>
      </c>
      <c r="C175" s="7">
        <v>2.0</v>
      </c>
      <c r="D175" s="8" t="s">
        <v>168</v>
      </c>
      <c r="E175" s="7">
        <v>8.0</v>
      </c>
      <c r="F175" s="8" t="s">
        <v>56</v>
      </c>
      <c r="G175" s="8" t="s">
        <v>49</v>
      </c>
      <c r="H175" s="8" t="s">
        <v>63</v>
      </c>
      <c r="I175" s="8" t="s">
        <v>51</v>
      </c>
      <c r="J175" s="8" t="s">
        <v>52</v>
      </c>
      <c r="K175" s="11" t="s">
        <v>70</v>
      </c>
      <c r="L175" s="18">
        <v>0.019424</v>
      </c>
      <c r="M175" s="18">
        <v>0.020872</v>
      </c>
      <c r="N175" s="18">
        <v>0.023041</v>
      </c>
      <c r="O175" s="18">
        <v>0.025252</v>
      </c>
      <c r="P175" s="18">
        <v>0.023732</v>
      </c>
      <c r="Q175" s="18">
        <v>0.024354</v>
      </c>
      <c r="R175" s="18">
        <v>0.026774</v>
      </c>
      <c r="S175" s="18">
        <v>0.025624</v>
      </c>
      <c r="T175" s="18">
        <v>0.026566</v>
      </c>
      <c r="U175" s="18">
        <v>0.027719</v>
      </c>
      <c r="V175" s="18">
        <v>0.028018</v>
      </c>
      <c r="W175" s="18">
        <v>0.030048</v>
      </c>
      <c r="X175" s="18">
        <v>0.032698</v>
      </c>
      <c r="Y175" s="18">
        <v>0.033574</v>
      </c>
      <c r="Z175" s="18">
        <v>0.034073</v>
      </c>
      <c r="AA175" s="18">
        <v>0.03365</v>
      </c>
      <c r="AB175" s="18">
        <v>0.033145</v>
      </c>
      <c r="AC175" s="18">
        <v>0.032875</v>
      </c>
      <c r="AD175" s="18">
        <v>0.031642</v>
      </c>
      <c r="AE175" s="18">
        <v>0.027178</v>
      </c>
      <c r="AF175" s="18">
        <v>0.01991</v>
      </c>
      <c r="AG175" s="18">
        <v>0.014497</v>
      </c>
      <c r="AH175" s="18">
        <v>0.011677</v>
      </c>
      <c r="AI175" s="18">
        <v>0.01058</v>
      </c>
      <c r="AJ175" s="18">
        <v>0.011931</v>
      </c>
      <c r="AK175" s="18">
        <v>0.014265</v>
      </c>
      <c r="AL175" s="18">
        <v>0.0</v>
      </c>
      <c r="AM175" s="2">
        <v>0.0</v>
      </c>
      <c r="AN175" s="2">
        <v>0.0</v>
      </c>
      <c r="AO175" s="2">
        <v>0.0</v>
      </c>
      <c r="AP175" s="20">
        <v>0.0</v>
      </c>
      <c r="AQ175" s="20">
        <v>0.0</v>
      </c>
      <c r="AR175" s="20">
        <v>0.0</v>
      </c>
      <c r="AS175" s="20">
        <v>0.0</v>
      </c>
      <c r="AT175" s="12">
        <f>AVERAGE(L175:AK175)</f>
        <v>0.02473534615</v>
      </c>
      <c r="AU175" s="12">
        <f t="shared" si="12"/>
        <v>0.02473534615</v>
      </c>
      <c r="AV175" s="14"/>
      <c r="AW175" s="15"/>
      <c r="AX175" s="15" t="str">
        <f t="shared" si="13"/>
        <v>#DIV/0!</v>
      </c>
    </row>
    <row r="176" ht="15.75" customHeight="1"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3"/>
      <c r="AQ176" s="13"/>
      <c r="AR176" s="13"/>
      <c r="AS176" s="13"/>
      <c r="AT176" s="12"/>
      <c r="AU176" s="12"/>
      <c r="AV176" s="14"/>
      <c r="AW176" s="15"/>
      <c r="AX176" s="15"/>
    </row>
    <row r="177" ht="15.75" customHeight="1">
      <c r="A177" s="7">
        <v>230830.0</v>
      </c>
      <c r="B177" s="7">
        <v>60.0</v>
      </c>
      <c r="C177" s="7">
        <v>1.0</v>
      </c>
      <c r="D177" s="8" t="s">
        <v>169</v>
      </c>
      <c r="E177" s="7">
        <v>9.0</v>
      </c>
      <c r="F177" s="8" t="s">
        <v>56</v>
      </c>
      <c r="G177" s="16" t="s">
        <v>49</v>
      </c>
      <c r="H177" s="8" t="s">
        <v>50</v>
      </c>
      <c r="I177" s="11" t="s">
        <v>146</v>
      </c>
      <c r="J177" s="8" t="s">
        <v>52</v>
      </c>
      <c r="K177" s="11" t="s">
        <v>53</v>
      </c>
      <c r="L177" s="18">
        <v>0.001265</v>
      </c>
      <c r="M177" s="18">
        <v>0.001766</v>
      </c>
      <c r="N177" s="18">
        <v>0.003906</v>
      </c>
      <c r="O177" s="18">
        <v>0.008147</v>
      </c>
      <c r="P177" s="18">
        <v>0.010078</v>
      </c>
      <c r="Q177" s="18">
        <v>0.009485</v>
      </c>
      <c r="R177" s="18">
        <v>0.010031</v>
      </c>
      <c r="S177" s="18">
        <v>0.009791</v>
      </c>
      <c r="T177" s="18">
        <v>0.009231</v>
      </c>
      <c r="U177" s="18">
        <v>0.008232</v>
      </c>
      <c r="V177" s="18">
        <v>0.007148</v>
      </c>
      <c r="W177" s="18">
        <v>0.008172</v>
      </c>
      <c r="X177" s="18">
        <v>0.008828</v>
      </c>
      <c r="Y177" s="18">
        <v>0.007587</v>
      </c>
      <c r="Z177" s="18">
        <v>0.007409</v>
      </c>
      <c r="AA177" s="18">
        <v>0.007329</v>
      </c>
      <c r="AB177" s="18">
        <v>0.004134</v>
      </c>
      <c r="AC177" s="18">
        <v>0.00181</v>
      </c>
      <c r="AD177" s="18">
        <v>0.001552</v>
      </c>
      <c r="AE177" s="18">
        <v>0.001117</v>
      </c>
      <c r="AF177" s="18">
        <v>0.001006</v>
      </c>
      <c r="AG177" s="18">
        <v>0.001029</v>
      </c>
      <c r="AH177" s="18">
        <v>5.03E-4</v>
      </c>
      <c r="AI177" s="18">
        <v>1.45E-4</v>
      </c>
      <c r="AJ177" s="18">
        <v>5.13E-5</v>
      </c>
      <c r="AK177" s="18">
        <v>3.6E-4</v>
      </c>
      <c r="AL177" s="18">
        <v>4.25E-4</v>
      </c>
      <c r="AM177" s="18">
        <v>0.0</v>
      </c>
      <c r="AN177" s="2">
        <v>0.0</v>
      </c>
      <c r="AO177" s="2">
        <v>0.0</v>
      </c>
      <c r="AP177" s="20">
        <v>0.0</v>
      </c>
      <c r="AQ177" s="20">
        <v>0.0</v>
      </c>
      <c r="AR177" s="20">
        <v>0.0</v>
      </c>
      <c r="AS177" s="20">
        <v>0.0</v>
      </c>
      <c r="AT177" s="2">
        <f>AVERAGE(L177:AL177)</f>
        <v>0.004834714815</v>
      </c>
      <c r="AU177" s="12">
        <f t="shared" ref="AU177:AU224" si="17">AVERAGEIF(L177:AS177, "&gt;0")
</f>
        <v>0.004834714815</v>
      </c>
      <c r="AV177" s="14"/>
      <c r="AW177" s="15"/>
      <c r="AX177" s="15"/>
    </row>
    <row r="178" ht="15.75" customHeight="1">
      <c r="A178" s="7">
        <v>230830.0</v>
      </c>
      <c r="B178" s="7">
        <v>60.0</v>
      </c>
      <c r="C178" s="7">
        <v>1.0</v>
      </c>
      <c r="D178" s="8" t="s">
        <v>170</v>
      </c>
      <c r="E178" s="7">
        <v>9.0</v>
      </c>
      <c r="F178" s="8" t="s">
        <v>56</v>
      </c>
      <c r="G178" s="16" t="s">
        <v>49</v>
      </c>
      <c r="H178" s="8" t="s">
        <v>65</v>
      </c>
      <c r="I178" s="11" t="s">
        <v>146</v>
      </c>
      <c r="J178" s="8" t="s">
        <v>52</v>
      </c>
      <c r="K178" s="11" t="s">
        <v>53</v>
      </c>
      <c r="L178" s="18">
        <v>0.00137</v>
      </c>
      <c r="M178" s="18">
        <v>0.001437</v>
      </c>
      <c r="N178" s="18">
        <v>0.003067</v>
      </c>
      <c r="O178" s="18">
        <v>0.005384</v>
      </c>
      <c r="P178" s="18">
        <v>0.007894</v>
      </c>
      <c r="Q178" s="18">
        <v>0.008393</v>
      </c>
      <c r="R178" s="18">
        <v>0.005677</v>
      </c>
      <c r="S178" s="18">
        <v>0.003811</v>
      </c>
      <c r="T178" s="18">
        <v>0.003758</v>
      </c>
      <c r="U178" s="18">
        <v>0.002811</v>
      </c>
      <c r="V178" s="18">
        <v>0.001243</v>
      </c>
      <c r="W178" s="18">
        <v>5.23E-4</v>
      </c>
      <c r="X178" s="18">
        <v>1.31E-4</v>
      </c>
      <c r="Y178" s="18">
        <v>0.0</v>
      </c>
      <c r="Z178" s="18">
        <v>0.0</v>
      </c>
      <c r="AA178" s="18">
        <v>3.72E-5</v>
      </c>
      <c r="AB178" s="18">
        <v>4.26E-5</v>
      </c>
      <c r="AC178" s="18">
        <v>4.18E-5</v>
      </c>
      <c r="AD178" s="18">
        <v>3.52E-5</v>
      </c>
      <c r="AE178" s="18">
        <v>0.0</v>
      </c>
      <c r="AF178" s="18">
        <v>0.0</v>
      </c>
      <c r="AG178" s="18">
        <v>1.21E-4</v>
      </c>
      <c r="AH178" s="18">
        <v>1.83E-4</v>
      </c>
      <c r="AI178" s="18">
        <v>1.72E-4</v>
      </c>
      <c r="AJ178" s="18">
        <v>1.14E-4</v>
      </c>
      <c r="AK178" s="18">
        <v>0.0</v>
      </c>
      <c r="AL178" s="18">
        <v>2.26E-4</v>
      </c>
      <c r="AM178" s="18">
        <v>0.001511</v>
      </c>
      <c r="AN178" s="18">
        <v>0.002698</v>
      </c>
      <c r="AO178" s="18">
        <v>0.001885</v>
      </c>
      <c r="AP178" s="20">
        <v>0.0</v>
      </c>
      <c r="AQ178" s="20">
        <v>0.0</v>
      </c>
      <c r="AR178" s="20">
        <v>0.0</v>
      </c>
      <c r="AS178" s="20">
        <v>0.0</v>
      </c>
      <c r="AT178" s="2">
        <f>AVERAGE(L178:AO178)</f>
        <v>0.001752193333</v>
      </c>
      <c r="AU178" s="12">
        <f t="shared" si="17"/>
        <v>0.002102632</v>
      </c>
      <c r="AV178" s="14"/>
      <c r="AW178" s="15"/>
      <c r="AX178" s="15"/>
    </row>
    <row r="179" ht="15.75" customHeight="1">
      <c r="A179" s="7">
        <v>230830.0</v>
      </c>
      <c r="B179" s="7">
        <v>60.0</v>
      </c>
      <c r="C179" s="7">
        <v>1.0</v>
      </c>
      <c r="D179" s="8" t="s">
        <v>171</v>
      </c>
      <c r="E179" s="7">
        <v>9.0</v>
      </c>
      <c r="F179" s="8" t="s">
        <v>56</v>
      </c>
      <c r="G179" s="16" t="s">
        <v>49</v>
      </c>
      <c r="H179" s="16" t="s">
        <v>50</v>
      </c>
      <c r="I179" s="11" t="s">
        <v>146</v>
      </c>
      <c r="J179" s="8" t="s">
        <v>52</v>
      </c>
      <c r="K179" s="11" t="s">
        <v>53</v>
      </c>
      <c r="L179" s="18">
        <v>0.014852</v>
      </c>
      <c r="M179" s="18">
        <v>0.010132</v>
      </c>
      <c r="N179" s="18">
        <v>0.005688</v>
      </c>
      <c r="O179" s="18">
        <v>0.003815</v>
      </c>
      <c r="P179" s="18">
        <v>0.003464</v>
      </c>
      <c r="Q179" s="18">
        <v>0.004311</v>
      </c>
      <c r="R179" s="18">
        <v>0.005577</v>
      </c>
      <c r="S179" s="18">
        <v>0.006058</v>
      </c>
      <c r="T179" s="18">
        <v>0.005695</v>
      </c>
      <c r="U179" s="18">
        <v>0.006069</v>
      </c>
      <c r="V179" s="18">
        <v>0.007612</v>
      </c>
      <c r="W179" s="18">
        <v>0.006497</v>
      </c>
      <c r="X179" s="18">
        <v>0.003721</v>
      </c>
      <c r="Y179" s="18">
        <v>0.001102</v>
      </c>
      <c r="Z179" s="18">
        <v>2.08E-4</v>
      </c>
      <c r="AA179" s="18">
        <v>1.71E-4</v>
      </c>
      <c r="AB179" s="18">
        <v>6.46E-5</v>
      </c>
      <c r="AC179" s="18">
        <v>0.0</v>
      </c>
      <c r="AD179" s="18">
        <v>0.0</v>
      </c>
      <c r="AE179" s="18">
        <v>0.0</v>
      </c>
      <c r="AF179" s="18">
        <v>0.0</v>
      </c>
      <c r="AG179" s="18">
        <v>0.0</v>
      </c>
      <c r="AH179" s="18">
        <v>0.0</v>
      </c>
      <c r="AI179" s="18">
        <v>0.0</v>
      </c>
      <c r="AJ179" s="18">
        <v>0.002404</v>
      </c>
      <c r="AK179" s="18">
        <v>0.003179</v>
      </c>
      <c r="AL179" s="18">
        <v>6.97E-4</v>
      </c>
      <c r="AM179" s="18">
        <v>0.0</v>
      </c>
      <c r="AN179" s="18">
        <v>0.0</v>
      </c>
      <c r="AO179" s="18">
        <v>0.0</v>
      </c>
      <c r="AP179" s="20">
        <v>0.0</v>
      </c>
      <c r="AQ179" s="20">
        <v>0.0</v>
      </c>
      <c r="AR179" s="20">
        <v>0.0</v>
      </c>
      <c r="AS179" s="20">
        <v>0.0</v>
      </c>
      <c r="AT179" s="2">
        <f t="shared" ref="AT179:AT180" si="18">AVERAGE(L179:AL179)</f>
        <v>0.003382096296</v>
      </c>
      <c r="AU179" s="12">
        <f t="shared" si="17"/>
        <v>0.00456583</v>
      </c>
      <c r="AV179" s="14"/>
      <c r="AW179" s="15"/>
      <c r="AX179" s="15"/>
    </row>
    <row r="180" ht="15.75" customHeight="1">
      <c r="A180" s="7">
        <v>230830.0</v>
      </c>
      <c r="B180" s="7">
        <v>60.0</v>
      </c>
      <c r="C180" s="7">
        <v>1.0</v>
      </c>
      <c r="D180" s="8" t="s">
        <v>172</v>
      </c>
      <c r="E180" s="7">
        <v>9.0</v>
      </c>
      <c r="F180" s="8" t="s">
        <v>56</v>
      </c>
      <c r="G180" s="16" t="s">
        <v>49</v>
      </c>
      <c r="H180" s="16" t="s">
        <v>50</v>
      </c>
      <c r="I180" s="11" t="s">
        <v>146</v>
      </c>
      <c r="J180" s="8" t="s">
        <v>52</v>
      </c>
      <c r="K180" s="11" t="s">
        <v>53</v>
      </c>
      <c r="L180" s="18">
        <v>0.012189</v>
      </c>
      <c r="M180" s="18">
        <v>0.011301</v>
      </c>
      <c r="N180" s="18">
        <v>0.007907</v>
      </c>
      <c r="O180" s="18">
        <v>0.004346</v>
      </c>
      <c r="P180" s="18">
        <v>0.004304</v>
      </c>
      <c r="Q180" s="18">
        <v>0.005408</v>
      </c>
      <c r="R180" s="18">
        <v>0.006638</v>
      </c>
      <c r="S180" s="18">
        <v>0.007135</v>
      </c>
      <c r="T180" s="18">
        <v>0.00591</v>
      </c>
      <c r="U180" s="18">
        <v>0.005572</v>
      </c>
      <c r="V180" s="18">
        <v>0.006501</v>
      </c>
      <c r="W180" s="18">
        <v>0.004685</v>
      </c>
      <c r="X180" s="18">
        <v>0.002893</v>
      </c>
      <c r="Y180" s="18">
        <v>0.002596</v>
      </c>
      <c r="Z180" s="18">
        <v>0.001476</v>
      </c>
      <c r="AA180" s="18">
        <v>0.001532</v>
      </c>
      <c r="AB180" s="18">
        <v>0.001751</v>
      </c>
      <c r="AC180" s="18">
        <v>9.47E-4</v>
      </c>
      <c r="AD180" s="18">
        <v>4.53E-4</v>
      </c>
      <c r="AE180" s="18">
        <v>1.96E-4</v>
      </c>
      <c r="AF180" s="18">
        <v>0.0</v>
      </c>
      <c r="AG180" s="18">
        <v>0.0</v>
      </c>
      <c r="AH180" s="18">
        <v>0.0</v>
      </c>
      <c r="AI180" s="18">
        <v>0.0</v>
      </c>
      <c r="AJ180" s="18">
        <v>0.0</v>
      </c>
      <c r="AK180" s="18">
        <v>2.16E-5</v>
      </c>
      <c r="AL180" s="18">
        <v>2.35E-5</v>
      </c>
      <c r="AM180" s="18">
        <v>0.0</v>
      </c>
      <c r="AN180" s="18">
        <v>0.0</v>
      </c>
      <c r="AO180" s="18">
        <v>0.0</v>
      </c>
      <c r="AP180" s="20">
        <v>0.0</v>
      </c>
      <c r="AQ180" s="20">
        <v>0.0</v>
      </c>
      <c r="AR180" s="20">
        <v>0.0</v>
      </c>
      <c r="AS180" s="20">
        <v>0.0</v>
      </c>
      <c r="AT180" s="2">
        <f t="shared" si="18"/>
        <v>0.003473522222</v>
      </c>
      <c r="AU180" s="12">
        <f t="shared" si="17"/>
        <v>0.004262959091</v>
      </c>
      <c r="AV180" s="14"/>
      <c r="AW180" s="15"/>
      <c r="AX180" s="15"/>
    </row>
    <row r="181" ht="15.75" customHeight="1">
      <c r="A181" s="7">
        <v>230831.0</v>
      </c>
      <c r="B181" s="7">
        <v>60.0</v>
      </c>
      <c r="C181" s="7">
        <v>1.0</v>
      </c>
      <c r="D181" s="8" t="s">
        <v>173</v>
      </c>
      <c r="E181" s="7">
        <v>9.0</v>
      </c>
      <c r="F181" s="8" t="s">
        <v>56</v>
      </c>
      <c r="G181" s="16" t="s">
        <v>49</v>
      </c>
      <c r="H181" s="8" t="s">
        <v>50</v>
      </c>
      <c r="I181" s="11" t="s">
        <v>146</v>
      </c>
      <c r="J181" s="8" t="s">
        <v>52</v>
      </c>
      <c r="K181" s="11" t="s">
        <v>53</v>
      </c>
      <c r="L181" s="18">
        <v>3.7E-4</v>
      </c>
      <c r="M181" s="18">
        <v>8.99E-4</v>
      </c>
      <c r="N181" s="18">
        <v>8.65E-4</v>
      </c>
      <c r="O181" s="18">
        <v>7.63E-4</v>
      </c>
      <c r="P181" s="18">
        <v>0.001968</v>
      </c>
      <c r="Q181" s="18">
        <v>0.003225</v>
      </c>
      <c r="R181" s="18">
        <v>0.004079</v>
      </c>
      <c r="S181" s="18">
        <v>0.004964</v>
      </c>
      <c r="T181" s="18">
        <v>0.004038</v>
      </c>
      <c r="U181" s="18">
        <v>0.002066</v>
      </c>
      <c r="V181" s="18">
        <v>0.001806</v>
      </c>
      <c r="W181" s="18">
        <v>0.002095</v>
      </c>
      <c r="X181" s="18">
        <v>9.95E-4</v>
      </c>
      <c r="Y181" s="18">
        <v>2.43E-4</v>
      </c>
      <c r="Z181" s="18">
        <v>1.24E-4</v>
      </c>
      <c r="AA181" s="18">
        <v>5.05E-4</v>
      </c>
      <c r="AB181" s="18">
        <v>0.001495</v>
      </c>
      <c r="AC181" s="18">
        <v>0.001061</v>
      </c>
      <c r="AD181" s="18">
        <v>8.37E-5</v>
      </c>
      <c r="AE181" s="18">
        <v>2.26E-4</v>
      </c>
      <c r="AF181" s="18">
        <v>6.32E-4</v>
      </c>
      <c r="AG181" s="18">
        <v>5.7E-4</v>
      </c>
      <c r="AH181" s="18">
        <v>2.68E-4</v>
      </c>
      <c r="AI181" s="18">
        <v>2.31E-4</v>
      </c>
      <c r="AJ181" s="18">
        <v>2.76E-4</v>
      </c>
      <c r="AK181" s="18">
        <v>1.51E-4</v>
      </c>
      <c r="AL181" s="18">
        <v>0.0</v>
      </c>
      <c r="AM181" s="18">
        <v>1.82E-5</v>
      </c>
      <c r="AN181" s="18">
        <v>2.41E-4</v>
      </c>
      <c r="AO181" s="18">
        <v>0.001031</v>
      </c>
      <c r="AP181" s="20">
        <v>0.0</v>
      </c>
      <c r="AQ181" s="20">
        <v>0.0</v>
      </c>
      <c r="AR181" s="20">
        <v>0.0</v>
      </c>
      <c r="AS181" s="20">
        <v>0.0</v>
      </c>
      <c r="AT181" s="2">
        <f t="shared" ref="AT181:AT185" si="19">AVERAGE(L181:AO181)</f>
        <v>0.001176296667</v>
      </c>
      <c r="AU181" s="12">
        <f t="shared" si="17"/>
        <v>0.001216858621</v>
      </c>
      <c r="AV181" s="14"/>
      <c r="AW181" s="15"/>
      <c r="AX181" s="15"/>
    </row>
    <row r="182" ht="15.75" customHeight="1">
      <c r="A182" s="7">
        <v>230831.0</v>
      </c>
      <c r="B182" s="7">
        <v>60.0</v>
      </c>
      <c r="C182" s="7">
        <v>1.0</v>
      </c>
      <c r="D182" s="8" t="s">
        <v>174</v>
      </c>
      <c r="E182" s="7">
        <v>9.0</v>
      </c>
      <c r="F182" s="8" t="s">
        <v>56</v>
      </c>
      <c r="G182" s="16" t="s">
        <v>49</v>
      </c>
      <c r="H182" s="16" t="s">
        <v>50</v>
      </c>
      <c r="I182" s="11" t="s">
        <v>146</v>
      </c>
      <c r="J182" s="8" t="s">
        <v>52</v>
      </c>
      <c r="K182" s="11" t="s">
        <v>53</v>
      </c>
      <c r="L182" s="18">
        <v>0.0045</v>
      </c>
      <c r="M182" s="18">
        <v>0.002428</v>
      </c>
      <c r="N182" s="18">
        <v>0.002322</v>
      </c>
      <c r="O182" s="18">
        <v>0.005194</v>
      </c>
      <c r="P182" s="18">
        <v>0.011469</v>
      </c>
      <c r="Q182" s="18">
        <v>0.014857</v>
      </c>
      <c r="R182" s="18">
        <v>0.014093</v>
      </c>
      <c r="S182" s="18">
        <v>0.012803</v>
      </c>
      <c r="T182" s="18">
        <v>0.011018</v>
      </c>
      <c r="U182" s="18">
        <v>0.009698</v>
      </c>
      <c r="V182" s="18">
        <v>0.008512</v>
      </c>
      <c r="W182" s="18">
        <v>0.006593</v>
      </c>
      <c r="X182" s="18">
        <v>0.00675</v>
      </c>
      <c r="Y182" s="18">
        <v>0.010379</v>
      </c>
      <c r="Z182" s="18">
        <v>0.008596</v>
      </c>
      <c r="AA182" s="18">
        <v>0.003982</v>
      </c>
      <c r="AB182" s="18">
        <v>0.001554</v>
      </c>
      <c r="AC182" s="18">
        <v>4.86E-4</v>
      </c>
      <c r="AD182" s="18">
        <v>9.83E-5</v>
      </c>
      <c r="AE182" s="18">
        <v>0.0</v>
      </c>
      <c r="AF182" s="18">
        <v>0.0</v>
      </c>
      <c r="AG182" s="18">
        <v>0.0</v>
      </c>
      <c r="AH182" s="18">
        <v>0.0</v>
      </c>
      <c r="AI182" s="18">
        <v>1.38E-4</v>
      </c>
      <c r="AJ182" s="18">
        <v>1.39E-4</v>
      </c>
      <c r="AK182" s="18">
        <v>5.32E-5</v>
      </c>
      <c r="AL182" s="18">
        <v>2.52E-4</v>
      </c>
      <c r="AM182" s="18">
        <v>5.7E-4</v>
      </c>
      <c r="AN182" s="18">
        <v>0.00119</v>
      </c>
      <c r="AO182" s="18">
        <v>0.00219</v>
      </c>
      <c r="AP182" s="20">
        <v>0.0</v>
      </c>
      <c r="AQ182" s="20">
        <v>0.0</v>
      </c>
      <c r="AR182" s="20">
        <v>0.0</v>
      </c>
      <c r="AS182" s="20">
        <v>0.0</v>
      </c>
      <c r="AT182" s="2">
        <f t="shared" si="19"/>
        <v>0.00466215</v>
      </c>
      <c r="AU182" s="12">
        <f t="shared" si="17"/>
        <v>0.005379403846</v>
      </c>
      <c r="AV182" s="14"/>
      <c r="AW182" s="15"/>
      <c r="AX182" s="15"/>
    </row>
    <row r="183" ht="15.75" customHeight="1">
      <c r="A183" s="7">
        <v>230831.0</v>
      </c>
      <c r="B183" s="7">
        <v>60.0</v>
      </c>
      <c r="C183" s="7">
        <v>1.0</v>
      </c>
      <c r="D183" s="8" t="s">
        <v>175</v>
      </c>
      <c r="E183" s="7">
        <v>9.0</v>
      </c>
      <c r="F183" s="8" t="s">
        <v>48</v>
      </c>
      <c r="G183" s="16" t="s">
        <v>49</v>
      </c>
      <c r="H183" s="8" t="s">
        <v>50</v>
      </c>
      <c r="I183" s="11" t="s">
        <v>146</v>
      </c>
      <c r="J183" s="8" t="s">
        <v>52</v>
      </c>
      <c r="K183" s="11" t="s">
        <v>53</v>
      </c>
      <c r="L183" s="18">
        <v>0.003744</v>
      </c>
      <c r="M183" s="18">
        <v>0.002905</v>
      </c>
      <c r="N183" s="18">
        <v>0.002022</v>
      </c>
      <c r="O183" s="18">
        <v>0.002608</v>
      </c>
      <c r="P183" s="18">
        <v>0.003143</v>
      </c>
      <c r="Q183" s="18">
        <v>0.002558</v>
      </c>
      <c r="R183" s="18">
        <v>0.003112</v>
      </c>
      <c r="S183" s="18">
        <v>0.003626</v>
      </c>
      <c r="T183" s="18">
        <v>0.003955</v>
      </c>
      <c r="U183" s="18">
        <v>0.004826</v>
      </c>
      <c r="V183" s="18">
        <v>0.004648</v>
      </c>
      <c r="W183" s="18">
        <v>0.004776</v>
      </c>
      <c r="X183" s="18">
        <v>0.003728</v>
      </c>
      <c r="Y183" s="18">
        <v>0.001353</v>
      </c>
      <c r="Z183" s="18">
        <v>5.26E-4</v>
      </c>
      <c r="AA183" s="18">
        <v>0.001239</v>
      </c>
      <c r="AB183" s="18">
        <v>0.00199</v>
      </c>
      <c r="AC183" s="18">
        <v>0.00161</v>
      </c>
      <c r="AD183" s="18">
        <v>7.02E-4</v>
      </c>
      <c r="AE183" s="18">
        <v>2.66E-4</v>
      </c>
      <c r="AF183" s="18">
        <v>2.56E-4</v>
      </c>
      <c r="AG183" s="18">
        <v>1.0E-4</v>
      </c>
      <c r="AH183" s="18">
        <v>3.7E-5</v>
      </c>
      <c r="AI183" s="18">
        <v>1.29E-4</v>
      </c>
      <c r="AJ183" s="18">
        <v>1.19E-4</v>
      </c>
      <c r="AK183" s="18">
        <v>9.2E-5</v>
      </c>
      <c r="AL183" s="18">
        <v>6.03E-4</v>
      </c>
      <c r="AM183" s="18">
        <v>8.58E-4</v>
      </c>
      <c r="AN183" s="18">
        <v>8.73E-4</v>
      </c>
      <c r="AO183" s="18">
        <v>0.001602</v>
      </c>
      <c r="AP183" s="20">
        <v>0.0</v>
      </c>
      <c r="AQ183" s="20">
        <v>0.0</v>
      </c>
      <c r="AR183" s="20">
        <v>0.0</v>
      </c>
      <c r="AS183" s="20">
        <v>0.0</v>
      </c>
      <c r="AT183" s="2">
        <f t="shared" si="19"/>
        <v>0.001933533333</v>
      </c>
      <c r="AU183" s="12">
        <f t="shared" si="17"/>
        <v>0.001933533333</v>
      </c>
      <c r="AV183" s="14"/>
      <c r="AW183" s="15"/>
      <c r="AX183" s="15"/>
    </row>
    <row r="184" ht="15.75" customHeight="1">
      <c r="A184" s="7">
        <v>231104.0</v>
      </c>
      <c r="B184" s="7">
        <v>66.0</v>
      </c>
      <c r="C184" s="7">
        <v>2.0</v>
      </c>
      <c r="D184" s="8" t="s">
        <v>176</v>
      </c>
      <c r="E184" s="7">
        <v>9.0</v>
      </c>
      <c r="F184" s="8" t="s">
        <v>56</v>
      </c>
      <c r="G184" s="8" t="s">
        <v>49</v>
      </c>
      <c r="H184" s="8" t="s">
        <v>63</v>
      </c>
      <c r="I184" s="11" t="s">
        <v>146</v>
      </c>
      <c r="J184" s="8" t="s">
        <v>52</v>
      </c>
      <c r="K184" s="11" t="s">
        <v>57</v>
      </c>
      <c r="L184" s="18">
        <v>0.020603</v>
      </c>
      <c r="M184" s="18">
        <v>0.019298</v>
      </c>
      <c r="N184" s="18">
        <v>0.019342</v>
      </c>
      <c r="O184" s="18">
        <v>0.01859</v>
      </c>
      <c r="P184" s="18">
        <v>0.018367</v>
      </c>
      <c r="Q184" s="18">
        <v>0.023438</v>
      </c>
      <c r="R184" s="18">
        <v>0.024683</v>
      </c>
      <c r="S184" s="18">
        <v>0.022794</v>
      </c>
      <c r="T184" s="18">
        <v>0.023687</v>
      </c>
      <c r="U184" s="18">
        <v>0.025734</v>
      </c>
      <c r="V184" s="18">
        <v>0.027117</v>
      </c>
      <c r="W184" s="18">
        <v>0.027311</v>
      </c>
      <c r="X184" s="18">
        <v>0.025155</v>
      </c>
      <c r="Y184" s="18">
        <v>0.022786</v>
      </c>
      <c r="Z184" s="18">
        <v>0.020453</v>
      </c>
      <c r="AA184" s="18">
        <v>0.017147</v>
      </c>
      <c r="AB184" s="18">
        <v>0.015138</v>
      </c>
      <c r="AC184" s="18">
        <v>0.014313</v>
      </c>
      <c r="AD184" s="18">
        <v>0.014697</v>
      </c>
      <c r="AE184" s="18">
        <v>0.014663</v>
      </c>
      <c r="AF184" s="18">
        <v>0.010573</v>
      </c>
      <c r="AG184" s="18">
        <v>0.006346</v>
      </c>
      <c r="AH184" s="18">
        <v>0.004314</v>
      </c>
      <c r="AI184" s="18">
        <v>0.003023</v>
      </c>
      <c r="AJ184" s="18">
        <v>0.002012</v>
      </c>
      <c r="AK184" s="18">
        <v>0.001233</v>
      </c>
      <c r="AL184" s="18">
        <v>8.17E-4</v>
      </c>
      <c r="AM184" s="18">
        <v>0.001146</v>
      </c>
      <c r="AN184" s="18">
        <v>0.002347</v>
      </c>
      <c r="AO184" s="18">
        <v>0.003148</v>
      </c>
      <c r="AP184" s="20">
        <v>0.0</v>
      </c>
      <c r="AQ184" s="20">
        <v>0.0</v>
      </c>
      <c r="AR184" s="20">
        <v>0.0</v>
      </c>
      <c r="AS184" s="20">
        <v>0.0</v>
      </c>
      <c r="AT184" s="2">
        <f t="shared" si="19"/>
        <v>0.01500916667</v>
      </c>
      <c r="AU184" s="12">
        <f t="shared" si="17"/>
        <v>0.01500916667</v>
      </c>
      <c r="AV184" s="14"/>
      <c r="AW184" s="15"/>
      <c r="AX184" s="15"/>
    </row>
    <row r="185" ht="15.75" customHeight="1">
      <c r="A185" s="7">
        <v>231104.0</v>
      </c>
      <c r="B185" s="7">
        <v>66.0</v>
      </c>
      <c r="C185" s="7">
        <v>2.0</v>
      </c>
      <c r="D185" s="8" t="s">
        <v>177</v>
      </c>
      <c r="E185" s="7">
        <v>9.0</v>
      </c>
      <c r="F185" s="8" t="s">
        <v>56</v>
      </c>
      <c r="G185" s="8" t="s">
        <v>49</v>
      </c>
      <c r="H185" s="8" t="s">
        <v>61</v>
      </c>
      <c r="I185" s="11" t="s">
        <v>146</v>
      </c>
      <c r="J185" s="8" t="s">
        <v>52</v>
      </c>
      <c r="K185" s="11" t="s">
        <v>57</v>
      </c>
      <c r="L185" s="18">
        <v>0.025111</v>
      </c>
      <c r="M185" s="18">
        <v>0.020837</v>
      </c>
      <c r="N185" s="18">
        <v>0.01754</v>
      </c>
      <c r="O185" s="18">
        <v>0.016587</v>
      </c>
      <c r="P185" s="18">
        <v>0.018196</v>
      </c>
      <c r="Q185" s="18">
        <v>0.018036</v>
      </c>
      <c r="R185" s="18">
        <v>0.016794</v>
      </c>
      <c r="S185" s="18">
        <v>0.016801</v>
      </c>
      <c r="T185" s="18">
        <v>0.017047</v>
      </c>
      <c r="U185" s="18">
        <v>0.015518</v>
      </c>
      <c r="V185" s="18">
        <v>0.012832</v>
      </c>
      <c r="W185" s="18">
        <v>0.015077</v>
      </c>
      <c r="X185" s="18">
        <v>0.017526</v>
      </c>
      <c r="Y185" s="18">
        <v>0.015453</v>
      </c>
      <c r="Z185" s="18">
        <v>0.014409</v>
      </c>
      <c r="AA185" s="18">
        <v>0.014381</v>
      </c>
      <c r="AB185" s="18">
        <v>0.012972</v>
      </c>
      <c r="AC185" s="18">
        <v>0.008862</v>
      </c>
      <c r="AD185" s="18">
        <v>0.006018</v>
      </c>
      <c r="AE185" s="18">
        <v>0.003914</v>
      </c>
      <c r="AF185" s="18">
        <v>0.002096</v>
      </c>
      <c r="AG185" s="18">
        <v>0.00206</v>
      </c>
      <c r="AH185" s="18">
        <v>0.001248</v>
      </c>
      <c r="AI185" s="18">
        <v>5.84E-4</v>
      </c>
      <c r="AJ185" s="18">
        <v>5.09E-4</v>
      </c>
      <c r="AK185" s="18">
        <v>6.91E-4</v>
      </c>
      <c r="AL185" s="18">
        <v>9.81E-4</v>
      </c>
      <c r="AM185" s="18">
        <v>0.002809</v>
      </c>
      <c r="AN185" s="18">
        <v>0.004969</v>
      </c>
      <c r="AO185" s="18">
        <v>0.005877</v>
      </c>
      <c r="AP185" s="20">
        <v>0.0</v>
      </c>
      <c r="AQ185" s="20">
        <v>0.0</v>
      </c>
      <c r="AR185" s="20">
        <v>0.0</v>
      </c>
      <c r="AS185" s="20">
        <v>0.0</v>
      </c>
      <c r="AT185" s="2">
        <f t="shared" si="19"/>
        <v>0.01085783333</v>
      </c>
      <c r="AU185" s="12">
        <f t="shared" si="17"/>
        <v>0.01085783333</v>
      </c>
      <c r="AV185" s="14"/>
      <c r="AW185" s="15"/>
      <c r="AX185" s="15"/>
    </row>
    <row r="186" ht="15.75" customHeight="1">
      <c r="A186" s="7">
        <v>231104.0</v>
      </c>
      <c r="B186" s="7">
        <v>66.0</v>
      </c>
      <c r="C186" s="7">
        <v>2.0</v>
      </c>
      <c r="D186" s="8" t="s">
        <v>178</v>
      </c>
      <c r="E186" s="7">
        <v>9.0</v>
      </c>
      <c r="F186" s="8" t="s">
        <v>56</v>
      </c>
      <c r="G186" s="8" t="s">
        <v>49</v>
      </c>
      <c r="H186" s="8" t="s">
        <v>50</v>
      </c>
      <c r="I186" s="11" t="s">
        <v>146</v>
      </c>
      <c r="J186" s="8" t="s">
        <v>52</v>
      </c>
      <c r="K186" s="11" t="s">
        <v>57</v>
      </c>
      <c r="L186" s="18">
        <v>0.021837</v>
      </c>
      <c r="M186" s="18">
        <v>0.021145</v>
      </c>
      <c r="N186" s="18">
        <v>0.020268</v>
      </c>
      <c r="O186" s="18">
        <v>0.020672</v>
      </c>
      <c r="P186" s="18">
        <v>0.022387</v>
      </c>
      <c r="Q186" s="18">
        <v>0.02277</v>
      </c>
      <c r="R186" s="18">
        <v>0.023549</v>
      </c>
      <c r="S186" s="18">
        <v>0.026274</v>
      </c>
      <c r="T186" s="18">
        <v>0.027072</v>
      </c>
      <c r="U186" s="18">
        <v>0.02674</v>
      </c>
      <c r="V186" s="18">
        <v>0.027002</v>
      </c>
      <c r="W186" s="18">
        <v>0.026564</v>
      </c>
      <c r="X186" s="18">
        <v>0.026597</v>
      </c>
      <c r="Y186" s="18">
        <v>0.027239</v>
      </c>
      <c r="Z186" s="18">
        <v>0.026914</v>
      </c>
      <c r="AA186" s="18">
        <v>0.024876</v>
      </c>
      <c r="AB186" s="18">
        <v>0.024506</v>
      </c>
      <c r="AC186" s="18">
        <v>0.027343</v>
      </c>
      <c r="AD186" s="18">
        <v>0.026572</v>
      </c>
      <c r="AE186" s="18">
        <v>0.022551</v>
      </c>
      <c r="AF186" s="18">
        <v>0.018665</v>
      </c>
      <c r="AG186" s="18">
        <v>0.013031</v>
      </c>
      <c r="AH186" s="18">
        <v>0.006588</v>
      </c>
      <c r="AI186" s="18">
        <v>0.002013</v>
      </c>
      <c r="AJ186" s="18">
        <v>3.24E-4</v>
      </c>
      <c r="AK186" s="18">
        <v>8.09E-5</v>
      </c>
      <c r="AL186" s="18">
        <v>1.9E-4</v>
      </c>
      <c r="AM186" s="18">
        <v>2.51E-4</v>
      </c>
      <c r="AN186" s="18">
        <v>3.03E-4</v>
      </c>
      <c r="AO186" s="18">
        <v>0.0</v>
      </c>
      <c r="AP186" s="20">
        <v>0.0</v>
      </c>
      <c r="AQ186" s="20">
        <v>0.0</v>
      </c>
      <c r="AR186" s="20">
        <v>0.0</v>
      </c>
      <c r="AS186" s="20">
        <v>0.0</v>
      </c>
      <c r="AT186" s="2">
        <f t="shared" ref="AT186:AT187" si="20">AVERAGE(L186:AN186)</f>
        <v>0.01842496207</v>
      </c>
      <c r="AU186" s="12">
        <f t="shared" si="17"/>
        <v>0.01842496207</v>
      </c>
      <c r="AV186" s="14"/>
      <c r="AW186" s="15"/>
      <c r="AX186" s="15"/>
    </row>
    <row r="187" ht="15.75" customHeight="1">
      <c r="A187" s="7">
        <v>231108.0</v>
      </c>
      <c r="B187" s="7">
        <v>66.0</v>
      </c>
      <c r="C187" s="7">
        <v>2.0</v>
      </c>
      <c r="D187" s="8" t="s">
        <v>179</v>
      </c>
      <c r="E187" s="7">
        <v>9.0</v>
      </c>
      <c r="F187" s="8" t="s">
        <v>48</v>
      </c>
      <c r="G187" s="8" t="s">
        <v>89</v>
      </c>
      <c r="H187" s="8" t="s">
        <v>61</v>
      </c>
      <c r="I187" s="11" t="s">
        <v>146</v>
      </c>
      <c r="J187" s="8" t="s">
        <v>52</v>
      </c>
      <c r="K187" s="11" t="s">
        <v>59</v>
      </c>
      <c r="L187" s="18">
        <v>0.022848</v>
      </c>
      <c r="M187" s="18">
        <v>0.018145</v>
      </c>
      <c r="N187" s="18">
        <v>0.017192</v>
      </c>
      <c r="O187" s="18">
        <v>0.018029</v>
      </c>
      <c r="P187" s="18">
        <v>0.019245</v>
      </c>
      <c r="Q187" s="18">
        <v>0.018326</v>
      </c>
      <c r="R187" s="18">
        <v>0.015678</v>
      </c>
      <c r="S187" s="18">
        <v>0.014362</v>
      </c>
      <c r="T187" s="18">
        <v>0.013053</v>
      </c>
      <c r="U187" s="18">
        <v>0.011722</v>
      </c>
      <c r="V187" s="18">
        <v>0.011082</v>
      </c>
      <c r="W187" s="18">
        <v>0.011666</v>
      </c>
      <c r="X187" s="18">
        <v>0.010639</v>
      </c>
      <c r="Y187" s="18">
        <v>0.008423</v>
      </c>
      <c r="Z187" s="18">
        <v>0.005796</v>
      </c>
      <c r="AA187" s="18">
        <v>0.004725</v>
      </c>
      <c r="AB187" s="18">
        <v>0.003866</v>
      </c>
      <c r="AC187" s="18">
        <v>0.001921</v>
      </c>
      <c r="AD187" s="18">
        <v>9.72E-4</v>
      </c>
      <c r="AE187" s="18">
        <v>3.49E-4</v>
      </c>
      <c r="AF187" s="18">
        <v>0.0</v>
      </c>
      <c r="AG187" s="18">
        <v>0.0</v>
      </c>
      <c r="AH187" s="18">
        <v>0.0</v>
      </c>
      <c r="AI187" s="18">
        <v>0.0</v>
      </c>
      <c r="AJ187" s="18">
        <v>0.0</v>
      </c>
      <c r="AK187" s="18">
        <v>0.0</v>
      </c>
      <c r="AL187" s="18">
        <v>0.001297</v>
      </c>
      <c r="AM187" s="18">
        <v>0.002953</v>
      </c>
      <c r="AN187" s="18">
        <v>0.004052</v>
      </c>
      <c r="AO187" s="18">
        <v>0.0</v>
      </c>
      <c r="AP187" s="20">
        <v>0.0</v>
      </c>
      <c r="AQ187" s="20">
        <v>0.0</v>
      </c>
      <c r="AR187" s="20">
        <v>0.0</v>
      </c>
      <c r="AS187" s="20">
        <v>0.0</v>
      </c>
      <c r="AT187" s="2">
        <f t="shared" si="20"/>
        <v>0.008149689655</v>
      </c>
      <c r="AU187" s="12">
        <f t="shared" si="17"/>
        <v>0.01027569565</v>
      </c>
      <c r="AV187" s="14"/>
      <c r="AW187" s="15"/>
      <c r="AX187" s="15"/>
    </row>
    <row r="188" ht="15.75" customHeight="1">
      <c r="A188" s="7">
        <v>231108.0</v>
      </c>
      <c r="B188" s="7">
        <v>66.0</v>
      </c>
      <c r="C188" s="7">
        <v>2.0</v>
      </c>
      <c r="D188" s="8" t="s">
        <v>180</v>
      </c>
      <c r="E188" s="7">
        <v>9.0</v>
      </c>
      <c r="F188" s="8" t="s">
        <v>48</v>
      </c>
      <c r="G188" s="8" t="s">
        <v>89</v>
      </c>
      <c r="H188" s="8" t="s">
        <v>65</v>
      </c>
      <c r="I188" s="11" t="s">
        <v>146</v>
      </c>
      <c r="J188" s="8" t="s">
        <v>52</v>
      </c>
      <c r="K188" s="11" t="s">
        <v>59</v>
      </c>
      <c r="L188" s="18">
        <v>0.019422</v>
      </c>
      <c r="M188" s="18">
        <v>0.01931</v>
      </c>
      <c r="N188" s="18">
        <v>0.019127</v>
      </c>
      <c r="O188" s="18">
        <v>0.019409</v>
      </c>
      <c r="P188" s="18">
        <v>0.018981</v>
      </c>
      <c r="Q188" s="18">
        <v>0.016367</v>
      </c>
      <c r="R188" s="18">
        <v>0.01369</v>
      </c>
      <c r="S188" s="18">
        <v>0.013456</v>
      </c>
      <c r="T188" s="18">
        <v>0.013952</v>
      </c>
      <c r="U188" s="18">
        <v>0.0128</v>
      </c>
      <c r="V188" s="18">
        <v>0.010388</v>
      </c>
      <c r="W188" s="18">
        <v>0.007694</v>
      </c>
      <c r="X188" s="18">
        <v>0.005805</v>
      </c>
      <c r="Y188" s="18">
        <v>0.004287</v>
      </c>
      <c r="Z188" s="18">
        <v>0.002437</v>
      </c>
      <c r="AA188" s="18">
        <v>0.001111</v>
      </c>
      <c r="AB188" s="18">
        <v>2.41E-4</v>
      </c>
      <c r="AC188" s="18">
        <v>0.0</v>
      </c>
      <c r="AD188" s="18">
        <v>0.0</v>
      </c>
      <c r="AE188" s="18">
        <v>4.51E-5</v>
      </c>
      <c r="AF188" s="18">
        <v>1.04E-4</v>
      </c>
      <c r="AG188" s="18">
        <v>7.8E-5</v>
      </c>
      <c r="AH188" s="18">
        <v>1.56E-4</v>
      </c>
      <c r="AI188" s="18">
        <v>1.39E-4</v>
      </c>
      <c r="AJ188" s="18">
        <v>0.0</v>
      </c>
      <c r="AK188" s="18">
        <v>0.0</v>
      </c>
      <c r="AL188" s="18">
        <v>0.001202</v>
      </c>
      <c r="AM188" s="18">
        <v>0.002671</v>
      </c>
      <c r="AN188" s="18">
        <v>0.0</v>
      </c>
      <c r="AO188" s="2">
        <v>0.0</v>
      </c>
      <c r="AP188" s="20">
        <v>0.0</v>
      </c>
      <c r="AQ188" s="20">
        <v>0.0</v>
      </c>
      <c r="AR188" s="20">
        <v>0.0</v>
      </c>
      <c r="AS188" s="20">
        <v>0.0</v>
      </c>
      <c r="AT188" s="2">
        <f t="shared" ref="AT188:AT189" si="21">AVERAGE(L188:AM188)</f>
        <v>0.007245432143</v>
      </c>
      <c r="AU188" s="12">
        <f t="shared" si="17"/>
        <v>0.008453004167</v>
      </c>
      <c r="AV188" s="14"/>
      <c r="AW188" s="15"/>
      <c r="AX188" s="15"/>
    </row>
    <row r="189" ht="15.75" customHeight="1">
      <c r="A189" s="7">
        <v>231108.0</v>
      </c>
      <c r="B189" s="7">
        <v>66.0</v>
      </c>
      <c r="C189" s="7">
        <v>2.0</v>
      </c>
      <c r="D189" s="8" t="s">
        <v>181</v>
      </c>
      <c r="E189" s="7">
        <v>9.0</v>
      </c>
      <c r="F189" s="8" t="s">
        <v>48</v>
      </c>
      <c r="G189" s="8" t="s">
        <v>89</v>
      </c>
      <c r="H189" s="8" t="s">
        <v>63</v>
      </c>
      <c r="I189" s="11" t="s">
        <v>146</v>
      </c>
      <c r="J189" s="8" t="s">
        <v>52</v>
      </c>
      <c r="K189" s="11" t="s">
        <v>59</v>
      </c>
      <c r="L189" s="18">
        <v>0.017552</v>
      </c>
      <c r="M189" s="18">
        <v>0.01957</v>
      </c>
      <c r="N189" s="18">
        <v>0.022819</v>
      </c>
      <c r="O189" s="18">
        <v>0.026001</v>
      </c>
      <c r="P189" s="18">
        <v>0.027269</v>
      </c>
      <c r="Q189" s="18">
        <v>0.027849</v>
      </c>
      <c r="R189" s="18">
        <v>0.024462</v>
      </c>
      <c r="S189" s="18">
        <v>0.021425</v>
      </c>
      <c r="T189" s="18">
        <v>0.02395</v>
      </c>
      <c r="U189" s="18">
        <v>0.025706</v>
      </c>
      <c r="V189" s="18">
        <v>0.025519</v>
      </c>
      <c r="W189" s="18">
        <v>0.023192</v>
      </c>
      <c r="X189" s="18">
        <v>0.019381</v>
      </c>
      <c r="Y189" s="18">
        <v>0.017797</v>
      </c>
      <c r="Z189" s="18">
        <v>0.016697</v>
      </c>
      <c r="AA189" s="18">
        <v>0.016918</v>
      </c>
      <c r="AB189" s="18">
        <v>0.016453</v>
      </c>
      <c r="AC189" s="18">
        <v>0.011634</v>
      </c>
      <c r="AD189" s="18">
        <v>0.006367</v>
      </c>
      <c r="AE189" s="18">
        <v>0.003266</v>
      </c>
      <c r="AF189" s="18">
        <v>0.001344</v>
      </c>
      <c r="AG189" s="18">
        <v>2.48E-4</v>
      </c>
      <c r="AH189" s="18">
        <v>3.29E-5</v>
      </c>
      <c r="AI189" s="18">
        <v>0.0</v>
      </c>
      <c r="AJ189" s="18">
        <v>1.32E-4</v>
      </c>
      <c r="AK189" s="18">
        <v>0.005062</v>
      </c>
      <c r="AL189" s="18">
        <v>0.009498</v>
      </c>
      <c r="AM189" s="18">
        <v>5.22E-4</v>
      </c>
      <c r="AN189" s="18">
        <v>0.0</v>
      </c>
      <c r="AO189" s="2">
        <v>0.0</v>
      </c>
      <c r="AP189" s="20">
        <v>0.0</v>
      </c>
      <c r="AQ189" s="20">
        <v>0.0</v>
      </c>
      <c r="AR189" s="20">
        <v>0.0</v>
      </c>
      <c r="AS189" s="20">
        <v>0.0</v>
      </c>
      <c r="AT189" s="2">
        <f t="shared" si="21"/>
        <v>0.01466663929</v>
      </c>
      <c r="AU189" s="12">
        <f t="shared" si="17"/>
        <v>0.01520984815</v>
      </c>
      <c r="AV189" s="14"/>
      <c r="AW189" s="15"/>
      <c r="AX189" s="15"/>
    </row>
    <row r="190" ht="15.75" customHeight="1">
      <c r="A190" s="7">
        <v>231108.0</v>
      </c>
      <c r="B190" s="7">
        <v>66.0</v>
      </c>
      <c r="C190" s="7">
        <v>2.0</v>
      </c>
      <c r="D190" s="8" t="s">
        <v>182</v>
      </c>
      <c r="E190" s="7">
        <v>9.0</v>
      </c>
      <c r="F190" s="8" t="s">
        <v>48</v>
      </c>
      <c r="G190" s="8" t="s">
        <v>89</v>
      </c>
      <c r="H190" s="8" t="s">
        <v>50</v>
      </c>
      <c r="I190" s="11" t="s">
        <v>146</v>
      </c>
      <c r="J190" s="8" t="s">
        <v>52</v>
      </c>
      <c r="K190" s="11" t="s">
        <v>59</v>
      </c>
      <c r="L190" s="18">
        <v>0.026681</v>
      </c>
      <c r="M190" s="18">
        <v>0.022489</v>
      </c>
      <c r="N190" s="18">
        <v>0.020384</v>
      </c>
      <c r="O190" s="18">
        <v>0.02122</v>
      </c>
      <c r="P190" s="18">
        <v>0.022951</v>
      </c>
      <c r="Q190" s="18">
        <v>0.02297</v>
      </c>
      <c r="R190" s="18">
        <v>0.023889</v>
      </c>
      <c r="S190" s="18">
        <v>0.02704</v>
      </c>
      <c r="T190" s="18">
        <v>0.026839</v>
      </c>
      <c r="U190" s="18">
        <v>0.024877</v>
      </c>
      <c r="V190" s="18">
        <v>0.026902</v>
      </c>
      <c r="W190" s="18">
        <v>0.027671</v>
      </c>
      <c r="X190" s="18">
        <v>0.026121</v>
      </c>
      <c r="Y190" s="18">
        <v>0.025689</v>
      </c>
      <c r="Z190" s="18">
        <v>0.022056</v>
      </c>
      <c r="AA190" s="18">
        <v>0.019249</v>
      </c>
      <c r="AB190" s="18">
        <v>0.016291</v>
      </c>
      <c r="AC190" s="18">
        <v>0.012574</v>
      </c>
      <c r="AD190" s="18">
        <v>0.010522</v>
      </c>
      <c r="AE190" s="18">
        <v>0.008259</v>
      </c>
      <c r="AF190" s="18">
        <v>0.004866</v>
      </c>
      <c r="AG190" s="18">
        <v>0.001476</v>
      </c>
      <c r="AH190" s="18">
        <v>3.69E-4</v>
      </c>
      <c r="AI190" s="18">
        <v>6.45E-5</v>
      </c>
      <c r="AJ190" s="18">
        <v>6.5E-5</v>
      </c>
      <c r="AK190" s="18">
        <v>0.00315</v>
      </c>
      <c r="AL190" s="18">
        <v>0.008391</v>
      </c>
      <c r="AM190" s="18">
        <v>0.011752</v>
      </c>
      <c r="AN190" s="18">
        <v>0.00972</v>
      </c>
      <c r="AO190" s="18">
        <v>0.0</v>
      </c>
      <c r="AP190" s="20">
        <v>0.0</v>
      </c>
      <c r="AQ190" s="20">
        <v>0.0</v>
      </c>
      <c r="AR190" s="20">
        <v>0.0</v>
      </c>
      <c r="AS190" s="20">
        <v>0.0</v>
      </c>
      <c r="AT190" s="2">
        <f>AVERAGE(L190:AN190)</f>
        <v>0.01636301724</v>
      </c>
      <c r="AU190" s="12">
        <f t="shared" si="17"/>
        <v>0.01636301724</v>
      </c>
      <c r="AV190" s="14"/>
      <c r="AW190" s="15"/>
      <c r="AX190" s="15"/>
    </row>
    <row r="191" ht="15.75" customHeight="1">
      <c r="A191" s="7">
        <v>231108.0</v>
      </c>
      <c r="B191" s="7">
        <v>66.0</v>
      </c>
      <c r="C191" s="7">
        <v>2.0</v>
      </c>
      <c r="D191" s="8" t="s">
        <v>183</v>
      </c>
      <c r="E191" s="7">
        <v>9.0</v>
      </c>
      <c r="F191" s="8" t="s">
        <v>48</v>
      </c>
      <c r="G191" s="8" t="s">
        <v>85</v>
      </c>
      <c r="H191" s="8" t="s">
        <v>63</v>
      </c>
      <c r="I191" s="11" t="s">
        <v>146</v>
      </c>
      <c r="J191" s="8" t="s">
        <v>52</v>
      </c>
      <c r="K191" s="11" t="s">
        <v>59</v>
      </c>
      <c r="L191" s="18">
        <v>0.022297</v>
      </c>
      <c r="M191" s="18">
        <v>0.023775</v>
      </c>
      <c r="N191" s="18">
        <v>0.024099</v>
      </c>
      <c r="O191" s="18">
        <v>0.025205</v>
      </c>
      <c r="P191" s="18">
        <v>0.024379</v>
      </c>
      <c r="Q191" s="18">
        <v>0.023807</v>
      </c>
      <c r="R191" s="18">
        <v>0.024148</v>
      </c>
      <c r="S191" s="18">
        <v>0.020562</v>
      </c>
      <c r="T191" s="18">
        <v>0.018426</v>
      </c>
      <c r="U191" s="18">
        <v>0.014057</v>
      </c>
      <c r="V191" s="18">
        <v>0.007976</v>
      </c>
      <c r="W191" s="18">
        <v>0.003993</v>
      </c>
      <c r="X191" s="18">
        <v>0.002403</v>
      </c>
      <c r="Y191" s="18">
        <v>0.001385</v>
      </c>
      <c r="Z191" s="18">
        <v>8.23E-4</v>
      </c>
      <c r="AA191" s="18">
        <v>0.001258</v>
      </c>
      <c r="AB191" s="18">
        <v>0.001956</v>
      </c>
      <c r="AC191" s="18">
        <v>0.001633</v>
      </c>
      <c r="AD191" s="18">
        <v>5.89E-4</v>
      </c>
      <c r="AE191" s="18">
        <v>1.53E-4</v>
      </c>
      <c r="AF191" s="18">
        <v>0.0</v>
      </c>
      <c r="AG191" s="18">
        <v>0.0</v>
      </c>
      <c r="AH191" s="18">
        <v>2.01E-4</v>
      </c>
      <c r="AI191" s="18">
        <v>4.14E-4</v>
      </c>
      <c r="AJ191" s="18">
        <v>0.002493</v>
      </c>
      <c r="AK191" s="18">
        <v>0.007996</v>
      </c>
      <c r="AL191" s="18">
        <v>0.013868</v>
      </c>
      <c r="AM191" s="18">
        <v>0.009583</v>
      </c>
      <c r="AN191" s="2">
        <v>0.0</v>
      </c>
      <c r="AO191" s="2">
        <v>0.0</v>
      </c>
      <c r="AP191" s="20">
        <v>0.0</v>
      </c>
      <c r="AQ191" s="20">
        <v>0.0</v>
      </c>
      <c r="AR191" s="20">
        <v>0.0</v>
      </c>
      <c r="AS191" s="20">
        <v>0.0</v>
      </c>
      <c r="AT191" s="2">
        <f t="shared" ref="AT191:AT192" si="22">AVERAGE(L191:AM191)</f>
        <v>0.009909964286</v>
      </c>
      <c r="AU191" s="12">
        <f t="shared" si="17"/>
        <v>0.01067226923</v>
      </c>
      <c r="AV191" s="14"/>
      <c r="AW191" s="15"/>
      <c r="AX191" s="15"/>
    </row>
    <row r="192" ht="15.75" customHeight="1">
      <c r="A192" s="7">
        <v>231108.0</v>
      </c>
      <c r="B192" s="7">
        <v>66.0</v>
      </c>
      <c r="C192" s="7">
        <v>2.0</v>
      </c>
      <c r="D192" s="8" t="s">
        <v>184</v>
      </c>
      <c r="E192" s="7">
        <v>9.0</v>
      </c>
      <c r="F192" s="8" t="s">
        <v>48</v>
      </c>
      <c r="G192" s="8" t="s">
        <v>85</v>
      </c>
      <c r="H192" s="8" t="s">
        <v>61</v>
      </c>
      <c r="I192" s="8" t="s">
        <v>146</v>
      </c>
      <c r="J192" s="8" t="s">
        <v>52</v>
      </c>
      <c r="K192" s="11" t="s">
        <v>59</v>
      </c>
      <c r="L192" s="18">
        <v>0.016141</v>
      </c>
      <c r="M192" s="18">
        <v>0.012094</v>
      </c>
      <c r="N192" s="18">
        <v>0.013543</v>
      </c>
      <c r="O192" s="18">
        <v>0.019997</v>
      </c>
      <c r="P192" s="18">
        <v>0.025602</v>
      </c>
      <c r="Q192" s="18">
        <v>0.026624</v>
      </c>
      <c r="R192" s="18">
        <v>0.025861</v>
      </c>
      <c r="S192" s="18">
        <v>0.026127</v>
      </c>
      <c r="T192" s="18">
        <v>0.026231</v>
      </c>
      <c r="U192" s="18">
        <v>0.024686</v>
      </c>
      <c r="V192" s="18">
        <v>0.021481</v>
      </c>
      <c r="W192" s="18">
        <v>0.020482</v>
      </c>
      <c r="X192" s="18">
        <v>0.019575</v>
      </c>
      <c r="Y192" s="18">
        <v>0.01693</v>
      </c>
      <c r="Z192" s="18">
        <v>0.015417</v>
      </c>
      <c r="AA192" s="18">
        <v>0.017304</v>
      </c>
      <c r="AB192" s="18">
        <v>0.017775</v>
      </c>
      <c r="AC192" s="18">
        <v>0.013342</v>
      </c>
      <c r="AD192" s="18">
        <v>0.008526</v>
      </c>
      <c r="AE192" s="18">
        <v>0.004732</v>
      </c>
      <c r="AF192" s="18">
        <v>0.001533</v>
      </c>
      <c r="AG192" s="18">
        <v>3.96E-4</v>
      </c>
      <c r="AH192" s="18">
        <v>1.26E-4</v>
      </c>
      <c r="AI192" s="18">
        <v>2.63E-4</v>
      </c>
      <c r="AJ192" s="18">
        <v>0.001044</v>
      </c>
      <c r="AK192" s="18">
        <v>0.00211</v>
      </c>
      <c r="AL192" s="18">
        <v>0.003094</v>
      </c>
      <c r="AM192" s="18">
        <v>0.002998</v>
      </c>
      <c r="AN192" s="2">
        <v>0.0</v>
      </c>
      <c r="AO192" s="2">
        <v>0.0</v>
      </c>
      <c r="AP192" s="20">
        <v>0.0</v>
      </c>
      <c r="AQ192" s="20">
        <v>0.0</v>
      </c>
      <c r="AR192" s="20">
        <v>0.0</v>
      </c>
      <c r="AS192" s="20">
        <v>0.0</v>
      </c>
      <c r="AT192" s="2">
        <f t="shared" si="22"/>
        <v>0.0137155</v>
      </c>
      <c r="AU192" s="12">
        <f t="shared" si="17"/>
        <v>0.0137155</v>
      </c>
      <c r="AV192" s="14"/>
      <c r="AW192" s="15"/>
      <c r="AX192" s="15"/>
    </row>
    <row r="193" ht="15.75" customHeight="1">
      <c r="A193" s="7">
        <v>230830.0</v>
      </c>
      <c r="B193" s="7">
        <v>60.0</v>
      </c>
      <c r="C193" s="7">
        <v>1.0</v>
      </c>
      <c r="D193" s="8" t="s">
        <v>169</v>
      </c>
      <c r="E193" s="7">
        <v>9.0</v>
      </c>
      <c r="F193" s="8" t="s">
        <v>56</v>
      </c>
      <c r="G193" s="16" t="s">
        <v>49</v>
      </c>
      <c r="H193" s="8" t="s">
        <v>50</v>
      </c>
      <c r="I193" s="11" t="s">
        <v>185</v>
      </c>
      <c r="J193" s="8" t="s">
        <v>52</v>
      </c>
      <c r="K193" s="11" t="s">
        <v>53</v>
      </c>
      <c r="L193" s="18">
        <v>0.003961</v>
      </c>
      <c r="M193" s="18">
        <v>0.003002</v>
      </c>
      <c r="N193" s="18">
        <v>0.002826</v>
      </c>
      <c r="O193" s="18">
        <v>0.003414</v>
      </c>
      <c r="P193" s="18">
        <v>0.004458</v>
      </c>
      <c r="Q193" s="18">
        <v>0.004596</v>
      </c>
      <c r="R193" s="18">
        <v>0.004358</v>
      </c>
      <c r="S193" s="18">
        <v>0.004966</v>
      </c>
      <c r="T193" s="18">
        <v>0.004969</v>
      </c>
      <c r="U193" s="18">
        <v>0.004056</v>
      </c>
      <c r="V193" s="18">
        <v>0.003598</v>
      </c>
      <c r="W193" s="18">
        <v>0.004001</v>
      </c>
      <c r="X193" s="18">
        <v>0.004648</v>
      </c>
      <c r="Y193" s="18">
        <v>0.005049</v>
      </c>
      <c r="Z193" s="18">
        <v>0.005872</v>
      </c>
      <c r="AA193" s="18">
        <v>0.007522</v>
      </c>
      <c r="AB193" s="18">
        <v>0.007788</v>
      </c>
      <c r="AC193" s="18">
        <v>0.007903</v>
      </c>
      <c r="AD193" s="18">
        <v>0.008823</v>
      </c>
      <c r="AE193" s="18">
        <v>0.008405</v>
      </c>
      <c r="AF193" s="18">
        <v>0.007667</v>
      </c>
      <c r="AG193" s="18">
        <v>0.006911</v>
      </c>
      <c r="AH193" s="18">
        <v>0.006512</v>
      </c>
      <c r="AI193" s="18">
        <v>0.004425</v>
      </c>
      <c r="AJ193" s="18">
        <v>0.001274</v>
      </c>
      <c r="AK193" s="18">
        <v>9.45E-4</v>
      </c>
      <c r="AL193" s="18">
        <v>7.49E-4</v>
      </c>
      <c r="AM193" s="18">
        <v>0.0</v>
      </c>
      <c r="AN193" s="2">
        <v>0.0</v>
      </c>
      <c r="AO193" s="2">
        <v>0.0</v>
      </c>
      <c r="AP193" s="20">
        <v>0.0</v>
      </c>
      <c r="AQ193" s="20">
        <v>0.0</v>
      </c>
      <c r="AR193" s="20">
        <v>0.0</v>
      </c>
      <c r="AS193" s="20">
        <v>0.0</v>
      </c>
      <c r="AT193" s="2">
        <f>AVERAGE(L193:AL193)</f>
        <v>0.004914740741</v>
      </c>
      <c r="AU193" s="12">
        <f t="shared" si="17"/>
        <v>0.004914740741</v>
      </c>
      <c r="AV193" s="14"/>
      <c r="AW193" s="15"/>
      <c r="AX193" s="15"/>
    </row>
    <row r="194" ht="15.75" customHeight="1">
      <c r="A194" s="7">
        <v>230830.0</v>
      </c>
      <c r="B194" s="7">
        <v>60.0</v>
      </c>
      <c r="C194" s="7">
        <v>1.0</v>
      </c>
      <c r="D194" s="8" t="s">
        <v>170</v>
      </c>
      <c r="E194" s="7">
        <v>9.0</v>
      </c>
      <c r="F194" s="8" t="s">
        <v>56</v>
      </c>
      <c r="G194" s="16" t="s">
        <v>49</v>
      </c>
      <c r="H194" s="8" t="s">
        <v>65</v>
      </c>
      <c r="I194" s="11" t="s">
        <v>185</v>
      </c>
      <c r="J194" s="8" t="s">
        <v>52</v>
      </c>
      <c r="K194" s="11" t="s">
        <v>53</v>
      </c>
      <c r="L194" s="18">
        <v>5.33E-4</v>
      </c>
      <c r="M194" s="18">
        <v>0.001013</v>
      </c>
      <c r="N194" s="18">
        <v>0.001807</v>
      </c>
      <c r="O194" s="18">
        <v>0.002796</v>
      </c>
      <c r="P194" s="18">
        <v>0.003337</v>
      </c>
      <c r="Q194" s="18">
        <v>0.002926</v>
      </c>
      <c r="R194" s="18">
        <v>0.002091</v>
      </c>
      <c r="S194" s="18">
        <v>0.001821</v>
      </c>
      <c r="T194" s="18">
        <v>0.001827</v>
      </c>
      <c r="U194" s="18">
        <v>0.001584</v>
      </c>
      <c r="V194" s="18">
        <v>0.001027</v>
      </c>
      <c r="W194" s="18">
        <v>3.39E-4</v>
      </c>
      <c r="X194" s="18">
        <v>5.06E-5</v>
      </c>
      <c r="Y194" s="18">
        <v>0.0</v>
      </c>
      <c r="Z194" s="18">
        <v>0.0</v>
      </c>
      <c r="AA194" s="18">
        <v>3.52E-5</v>
      </c>
      <c r="AB194" s="18">
        <v>3.44E-5</v>
      </c>
      <c r="AC194" s="18">
        <v>8.0E-6</v>
      </c>
      <c r="AD194" s="18">
        <v>7.8E-6</v>
      </c>
      <c r="AE194" s="18">
        <v>0.0</v>
      </c>
      <c r="AF194" s="18">
        <v>4.19E-5</v>
      </c>
      <c r="AG194" s="18">
        <v>1.78E-4</v>
      </c>
      <c r="AH194" s="18">
        <v>2.83E-4</v>
      </c>
      <c r="AI194" s="18">
        <v>2.47E-4</v>
      </c>
      <c r="AJ194" s="18">
        <v>1.18E-4</v>
      </c>
      <c r="AK194" s="18">
        <v>1.64E-5</v>
      </c>
      <c r="AL194" s="18">
        <v>2.35E-4</v>
      </c>
      <c r="AM194" s="18">
        <v>0.001115</v>
      </c>
      <c r="AN194" s="18">
        <v>0.001614</v>
      </c>
      <c r="AO194" s="18">
        <v>4.38E-4</v>
      </c>
      <c r="AP194" s="20">
        <v>0.0</v>
      </c>
      <c r="AQ194" s="20">
        <v>0.0</v>
      </c>
      <c r="AR194" s="20">
        <v>0.0</v>
      </c>
      <c r="AS194" s="20">
        <v>0.0</v>
      </c>
      <c r="AT194" s="2">
        <f>AVERAGE(L194:AO194)</f>
        <v>0.0008507766667</v>
      </c>
      <c r="AU194" s="12">
        <f t="shared" si="17"/>
        <v>0.0009453074074</v>
      </c>
      <c r="AV194" s="14"/>
      <c r="AW194" s="15"/>
      <c r="AX194" s="15"/>
    </row>
    <row r="195" ht="15.75" customHeight="1">
      <c r="A195" s="7">
        <v>230830.0</v>
      </c>
      <c r="B195" s="7">
        <v>60.0</v>
      </c>
      <c r="C195" s="7">
        <v>1.0</v>
      </c>
      <c r="D195" s="8" t="s">
        <v>171</v>
      </c>
      <c r="E195" s="7">
        <v>9.0</v>
      </c>
      <c r="F195" s="8" t="s">
        <v>56</v>
      </c>
      <c r="G195" s="16" t="s">
        <v>49</v>
      </c>
      <c r="H195" s="16" t="s">
        <v>50</v>
      </c>
      <c r="I195" s="11" t="s">
        <v>185</v>
      </c>
      <c r="J195" s="8" t="s">
        <v>52</v>
      </c>
      <c r="K195" s="11" t="s">
        <v>53</v>
      </c>
      <c r="L195" s="18">
        <v>0.007016</v>
      </c>
      <c r="M195" s="18">
        <v>0.003634</v>
      </c>
      <c r="N195" s="18">
        <v>0.002503</v>
      </c>
      <c r="O195" s="18">
        <v>0.002661</v>
      </c>
      <c r="P195" s="18">
        <v>0.002917</v>
      </c>
      <c r="Q195" s="18">
        <v>0.003476</v>
      </c>
      <c r="R195" s="18">
        <v>0.003451</v>
      </c>
      <c r="S195" s="18">
        <v>0.003578</v>
      </c>
      <c r="T195" s="18">
        <v>0.003718</v>
      </c>
      <c r="U195" s="18">
        <v>0.003204</v>
      </c>
      <c r="V195" s="18">
        <v>0.002971</v>
      </c>
      <c r="W195" s="18">
        <v>0.002655</v>
      </c>
      <c r="X195" s="18">
        <v>0.002047</v>
      </c>
      <c r="Y195" s="18">
        <v>9.09E-4</v>
      </c>
      <c r="Z195" s="18">
        <v>2.33E-4</v>
      </c>
      <c r="AA195" s="18">
        <v>2.83E-4</v>
      </c>
      <c r="AB195" s="18">
        <v>2.17E-4</v>
      </c>
      <c r="AC195" s="18">
        <v>1.3E-4</v>
      </c>
      <c r="AD195" s="18">
        <v>6.8E-5</v>
      </c>
      <c r="AE195" s="18">
        <v>0.0</v>
      </c>
      <c r="AF195" s="18">
        <v>0.0</v>
      </c>
      <c r="AG195" s="18">
        <v>0.0</v>
      </c>
      <c r="AH195" s="18">
        <v>0.0</v>
      </c>
      <c r="AI195" s="18">
        <v>0.0</v>
      </c>
      <c r="AJ195" s="18">
        <v>0.001984</v>
      </c>
      <c r="AK195" s="18">
        <v>0.002623</v>
      </c>
      <c r="AL195" s="18">
        <v>5.74E-4</v>
      </c>
      <c r="AM195" s="18">
        <v>0.0</v>
      </c>
      <c r="AN195" s="18">
        <v>0.0</v>
      </c>
      <c r="AO195" s="18">
        <v>0.0</v>
      </c>
      <c r="AP195" s="20">
        <v>0.0</v>
      </c>
      <c r="AQ195" s="20">
        <v>0.0</v>
      </c>
      <c r="AR195" s="20">
        <v>0.0</v>
      </c>
      <c r="AS195" s="20">
        <v>0.0</v>
      </c>
      <c r="AT195" s="2">
        <f>AVERAGE(L195:AL195)</f>
        <v>0.001883407407</v>
      </c>
      <c r="AU195" s="12">
        <f t="shared" si="17"/>
        <v>0.002311454545</v>
      </c>
      <c r="AV195" s="14"/>
      <c r="AW195" s="15"/>
      <c r="AX195" s="15"/>
    </row>
    <row r="196" ht="15.75" customHeight="1">
      <c r="A196" s="7">
        <v>230830.0</v>
      </c>
      <c r="B196" s="7">
        <v>60.0</v>
      </c>
      <c r="C196" s="7">
        <v>1.0</v>
      </c>
      <c r="D196" s="8" t="s">
        <v>172</v>
      </c>
      <c r="E196" s="7">
        <v>9.0</v>
      </c>
      <c r="F196" s="8" t="s">
        <v>56</v>
      </c>
      <c r="G196" s="16" t="s">
        <v>49</v>
      </c>
      <c r="H196" s="16" t="s">
        <v>50</v>
      </c>
      <c r="I196" s="11" t="s">
        <v>185</v>
      </c>
      <c r="J196" s="8" t="s">
        <v>52</v>
      </c>
      <c r="K196" s="11" t="s">
        <v>53</v>
      </c>
      <c r="L196" s="18">
        <v>0.004881</v>
      </c>
      <c r="M196" s="18">
        <v>0.004558</v>
      </c>
      <c r="N196" s="18">
        <v>0.003727</v>
      </c>
      <c r="O196" s="18">
        <v>0.003853</v>
      </c>
      <c r="P196" s="18">
        <v>0.004252</v>
      </c>
      <c r="Q196" s="18">
        <v>0.003705</v>
      </c>
      <c r="R196" s="18">
        <v>0.003247</v>
      </c>
      <c r="S196" s="18">
        <v>0.002849</v>
      </c>
      <c r="T196" s="18">
        <v>0.002743</v>
      </c>
      <c r="U196" s="18">
        <v>0.003618</v>
      </c>
      <c r="V196" s="18">
        <v>0.004287</v>
      </c>
      <c r="W196" s="18">
        <v>0.003188</v>
      </c>
      <c r="X196" s="18">
        <v>0.002707</v>
      </c>
      <c r="Y196" s="18">
        <v>0.002109</v>
      </c>
      <c r="Z196" s="18">
        <v>7.07E-4</v>
      </c>
      <c r="AA196" s="18">
        <v>0.001213</v>
      </c>
      <c r="AB196" s="18">
        <v>0.001503</v>
      </c>
      <c r="AC196" s="18">
        <v>5.08E-4</v>
      </c>
      <c r="AD196" s="18">
        <v>7.14E-5</v>
      </c>
      <c r="AE196" s="18">
        <v>0.0</v>
      </c>
      <c r="AF196" s="18">
        <v>4.27E-5</v>
      </c>
      <c r="AG196" s="18">
        <v>2.04E-4</v>
      </c>
      <c r="AH196" s="18">
        <v>1.58E-4</v>
      </c>
      <c r="AI196" s="18">
        <v>0.0</v>
      </c>
      <c r="AJ196" s="18">
        <v>0.0</v>
      </c>
      <c r="AK196" s="18">
        <v>6.74E-5</v>
      </c>
      <c r="AL196" s="18">
        <v>1.2E-4</v>
      </c>
      <c r="AM196" s="18">
        <v>6.41E-5</v>
      </c>
      <c r="AN196" s="18">
        <v>0.0</v>
      </c>
      <c r="AO196" s="18">
        <v>0.0</v>
      </c>
      <c r="AP196" s="20">
        <v>0.0</v>
      </c>
      <c r="AQ196" s="20">
        <v>0.0</v>
      </c>
      <c r="AR196" s="20">
        <v>0.0</v>
      </c>
      <c r="AS196" s="20">
        <v>0.0</v>
      </c>
      <c r="AT196" s="2">
        <f>AVERAGE(L196:AM196)</f>
        <v>0.001942235714</v>
      </c>
      <c r="AU196" s="12">
        <f t="shared" si="17"/>
        <v>0.002175304</v>
      </c>
      <c r="AV196" s="14"/>
      <c r="AW196" s="15"/>
      <c r="AX196" s="15"/>
    </row>
    <row r="197" ht="15.75" customHeight="1">
      <c r="A197" s="7">
        <v>230831.0</v>
      </c>
      <c r="B197" s="7">
        <v>60.0</v>
      </c>
      <c r="C197" s="7">
        <v>1.0</v>
      </c>
      <c r="D197" s="8" t="s">
        <v>173</v>
      </c>
      <c r="E197" s="7">
        <v>9.0</v>
      </c>
      <c r="F197" s="8" t="s">
        <v>56</v>
      </c>
      <c r="G197" s="16" t="s">
        <v>49</v>
      </c>
      <c r="H197" s="8" t="s">
        <v>50</v>
      </c>
      <c r="I197" s="11" t="s">
        <v>185</v>
      </c>
      <c r="J197" s="8" t="s">
        <v>52</v>
      </c>
      <c r="K197" s="11" t="s">
        <v>53</v>
      </c>
      <c r="L197" s="18">
        <v>0.009865</v>
      </c>
      <c r="M197" s="18">
        <v>0.009017</v>
      </c>
      <c r="N197" s="18">
        <v>0.006458</v>
      </c>
      <c r="O197" s="18">
        <v>0.003428</v>
      </c>
      <c r="P197" s="18">
        <v>0.004059</v>
      </c>
      <c r="Q197" s="18">
        <v>0.005573</v>
      </c>
      <c r="R197" s="18">
        <v>0.005018</v>
      </c>
      <c r="S197" s="18">
        <v>0.004221</v>
      </c>
      <c r="T197" s="18">
        <v>0.00371</v>
      </c>
      <c r="U197" s="18">
        <v>0.003897</v>
      </c>
      <c r="V197" s="18">
        <v>0.004135</v>
      </c>
      <c r="W197" s="18">
        <v>0.00303</v>
      </c>
      <c r="X197" s="18">
        <v>9.16E-4</v>
      </c>
      <c r="Y197" s="18">
        <v>3.93E-4</v>
      </c>
      <c r="Z197" s="18">
        <v>6.51E-4</v>
      </c>
      <c r="AA197" s="18">
        <v>0.001345</v>
      </c>
      <c r="AB197" s="18">
        <v>0.002162</v>
      </c>
      <c r="AC197" s="18">
        <v>0.001236</v>
      </c>
      <c r="AD197" s="18">
        <v>1.2E-4</v>
      </c>
      <c r="AE197" s="18">
        <v>2.39E-4</v>
      </c>
      <c r="AF197" s="18">
        <v>3.86E-4</v>
      </c>
      <c r="AG197" s="18">
        <v>4.65E-4</v>
      </c>
      <c r="AH197" s="18">
        <v>4.0E-4</v>
      </c>
      <c r="AI197" s="18">
        <v>2.83E-4</v>
      </c>
      <c r="AJ197" s="18">
        <v>5.11E-4</v>
      </c>
      <c r="AK197" s="18">
        <v>4.83E-4</v>
      </c>
      <c r="AL197" s="18">
        <v>2.71E-4</v>
      </c>
      <c r="AM197" s="18">
        <v>4.74E-4</v>
      </c>
      <c r="AN197" s="18">
        <v>0.002357</v>
      </c>
      <c r="AO197" s="18">
        <v>0.008967</v>
      </c>
      <c r="AP197" s="20">
        <v>0.0</v>
      </c>
      <c r="AQ197" s="20">
        <v>0.0</v>
      </c>
      <c r="AR197" s="20">
        <v>0.0</v>
      </c>
      <c r="AS197" s="20">
        <v>0.0</v>
      </c>
      <c r="AT197" s="2">
        <f t="shared" ref="AT197:AT199" si="23">AVERAGE(L197:AO197)</f>
        <v>0.002802333333</v>
      </c>
      <c r="AU197" s="12">
        <f t="shared" si="17"/>
        <v>0.002802333333</v>
      </c>
      <c r="AV197" s="14"/>
      <c r="AW197" s="15"/>
      <c r="AX197" s="15"/>
    </row>
    <row r="198" ht="15.75" customHeight="1">
      <c r="A198" s="7">
        <v>230831.0</v>
      </c>
      <c r="B198" s="7">
        <v>60.0</v>
      </c>
      <c r="C198" s="7">
        <v>1.0</v>
      </c>
      <c r="D198" s="8" t="s">
        <v>174</v>
      </c>
      <c r="E198" s="7">
        <v>9.0</v>
      </c>
      <c r="F198" s="8" t="s">
        <v>56</v>
      </c>
      <c r="G198" s="16" t="s">
        <v>49</v>
      </c>
      <c r="H198" s="8" t="s">
        <v>50</v>
      </c>
      <c r="I198" s="11" t="s">
        <v>185</v>
      </c>
      <c r="J198" s="8" t="s">
        <v>52</v>
      </c>
      <c r="K198" s="11" t="s">
        <v>53</v>
      </c>
      <c r="L198" s="18">
        <v>0.004841</v>
      </c>
      <c r="M198" s="18">
        <v>0.004973</v>
      </c>
      <c r="N198" s="18">
        <v>0.005459</v>
      </c>
      <c r="O198" s="18">
        <v>0.006883</v>
      </c>
      <c r="P198" s="18">
        <v>0.011057</v>
      </c>
      <c r="Q198" s="18">
        <v>0.01391</v>
      </c>
      <c r="R198" s="18">
        <v>0.014151</v>
      </c>
      <c r="S198" s="18">
        <v>0.013387</v>
      </c>
      <c r="T198" s="18">
        <v>0.012449</v>
      </c>
      <c r="U198" s="18">
        <v>0.012471</v>
      </c>
      <c r="V198" s="18">
        <v>0.010782</v>
      </c>
      <c r="W198" s="18">
        <v>0.009078</v>
      </c>
      <c r="X198" s="18">
        <v>0.006325</v>
      </c>
      <c r="Y198" s="18">
        <v>0.005343</v>
      </c>
      <c r="Z198" s="18">
        <v>0.005395</v>
      </c>
      <c r="AA198" s="18">
        <v>0.003888</v>
      </c>
      <c r="AB198" s="18">
        <v>0.001998</v>
      </c>
      <c r="AC198" s="18">
        <v>5.82E-4</v>
      </c>
      <c r="AD198" s="18">
        <v>2.59E-4</v>
      </c>
      <c r="AE198" s="18">
        <v>1.03E-4</v>
      </c>
      <c r="AF198" s="18">
        <v>1.05E-4</v>
      </c>
      <c r="AG198" s="18">
        <v>6.97E-5</v>
      </c>
      <c r="AH198" s="18">
        <v>5.13E-5</v>
      </c>
      <c r="AI198" s="18">
        <v>1.12E-4</v>
      </c>
      <c r="AJ198" s="18">
        <v>3.33E-4</v>
      </c>
      <c r="AK198" s="18">
        <v>5.41E-4</v>
      </c>
      <c r="AL198" s="18">
        <v>6.52E-4</v>
      </c>
      <c r="AM198" s="18">
        <v>0.001376</v>
      </c>
      <c r="AN198" s="18">
        <v>0.001871</v>
      </c>
      <c r="AO198" s="18">
        <v>0.001371</v>
      </c>
      <c r="AP198" s="20">
        <v>0.0</v>
      </c>
      <c r="AQ198" s="20">
        <v>0.0</v>
      </c>
      <c r="AR198" s="20">
        <v>0.0</v>
      </c>
      <c r="AS198" s="20">
        <v>0.0</v>
      </c>
      <c r="AT198" s="2">
        <f t="shared" si="23"/>
        <v>0.004993866667</v>
      </c>
      <c r="AU198" s="12">
        <f t="shared" si="17"/>
        <v>0.004993866667</v>
      </c>
      <c r="AV198" s="14"/>
      <c r="AW198" s="15"/>
      <c r="AX198" s="15"/>
    </row>
    <row r="199" ht="15.75" customHeight="1">
      <c r="A199" s="7">
        <v>230831.0</v>
      </c>
      <c r="B199" s="7">
        <v>60.0</v>
      </c>
      <c r="C199" s="7">
        <v>1.0</v>
      </c>
      <c r="D199" s="8" t="s">
        <v>175</v>
      </c>
      <c r="E199" s="7">
        <v>9.0</v>
      </c>
      <c r="F199" s="8" t="s">
        <v>48</v>
      </c>
      <c r="G199" s="16" t="s">
        <v>49</v>
      </c>
      <c r="H199" s="8" t="s">
        <v>50</v>
      </c>
      <c r="I199" s="11" t="s">
        <v>185</v>
      </c>
      <c r="J199" s="8" t="s">
        <v>52</v>
      </c>
      <c r="K199" s="11" t="s">
        <v>53</v>
      </c>
      <c r="L199" s="18">
        <v>0.017616</v>
      </c>
      <c r="M199" s="18">
        <v>0.017051</v>
      </c>
      <c r="N199" s="18">
        <v>0.014731</v>
      </c>
      <c r="O199" s="18">
        <v>0.01157</v>
      </c>
      <c r="P199" s="18">
        <v>0.011461</v>
      </c>
      <c r="Q199" s="18">
        <v>0.012848</v>
      </c>
      <c r="R199" s="18">
        <v>0.01192</v>
      </c>
      <c r="S199" s="18">
        <v>0.011146</v>
      </c>
      <c r="T199" s="18">
        <v>0.01063</v>
      </c>
      <c r="U199" s="18">
        <v>0.009566</v>
      </c>
      <c r="V199" s="18">
        <v>0.010609</v>
      </c>
      <c r="W199" s="18">
        <v>0.010818</v>
      </c>
      <c r="X199" s="18">
        <v>0.006542</v>
      </c>
      <c r="Y199" s="18">
        <v>0.003051</v>
      </c>
      <c r="Z199" s="18">
        <v>0.002421</v>
      </c>
      <c r="AA199" s="18">
        <v>0.002101</v>
      </c>
      <c r="AB199" s="18">
        <v>0.002205</v>
      </c>
      <c r="AC199" s="18">
        <v>0.001556</v>
      </c>
      <c r="AD199" s="18">
        <v>7.95E-4</v>
      </c>
      <c r="AE199" s="18">
        <v>0.0011</v>
      </c>
      <c r="AF199" s="18">
        <v>0.001017</v>
      </c>
      <c r="AG199" s="18">
        <v>4.77E-4</v>
      </c>
      <c r="AH199" s="18">
        <v>4.04E-4</v>
      </c>
      <c r="AI199" s="18">
        <v>4.84E-4</v>
      </c>
      <c r="AJ199" s="18">
        <v>3.36E-4</v>
      </c>
      <c r="AK199" s="18">
        <v>3.13E-4</v>
      </c>
      <c r="AL199" s="18">
        <v>0.001121</v>
      </c>
      <c r="AM199" s="18">
        <v>0.002699</v>
      </c>
      <c r="AN199" s="18">
        <v>0.00374</v>
      </c>
      <c r="AO199" s="18">
        <v>0.003794</v>
      </c>
      <c r="AP199" s="20">
        <v>0.0</v>
      </c>
      <c r="AQ199" s="20">
        <v>0.0</v>
      </c>
      <c r="AR199" s="20">
        <v>0.0</v>
      </c>
      <c r="AS199" s="20">
        <v>0.0</v>
      </c>
      <c r="AT199" s="2">
        <f t="shared" si="23"/>
        <v>0.0061374</v>
      </c>
      <c r="AU199" s="12">
        <f t="shared" si="17"/>
        <v>0.0061374</v>
      </c>
      <c r="AV199" s="14"/>
      <c r="AW199" s="15"/>
      <c r="AX199" s="15"/>
    </row>
    <row r="200" ht="15.75" customHeight="1">
      <c r="A200" s="7">
        <v>231104.0</v>
      </c>
      <c r="B200" s="7">
        <v>66.0</v>
      </c>
      <c r="C200" s="7">
        <v>2.0</v>
      </c>
      <c r="D200" s="8" t="s">
        <v>176</v>
      </c>
      <c r="E200" s="7">
        <v>9.0</v>
      </c>
      <c r="F200" s="8" t="s">
        <v>56</v>
      </c>
      <c r="G200" s="8" t="s">
        <v>49</v>
      </c>
      <c r="H200" s="8" t="s">
        <v>63</v>
      </c>
      <c r="I200" s="11" t="s">
        <v>185</v>
      </c>
      <c r="J200" s="8" t="s">
        <v>52</v>
      </c>
      <c r="K200" s="11" t="s">
        <v>57</v>
      </c>
      <c r="L200" s="18">
        <v>0.006158</v>
      </c>
      <c r="M200" s="18">
        <v>0.007235</v>
      </c>
      <c r="N200" s="18">
        <v>0.007404</v>
      </c>
      <c r="O200" s="18">
        <v>0.006603</v>
      </c>
      <c r="P200" s="18">
        <v>0.005951</v>
      </c>
      <c r="Q200" s="18">
        <v>0.005615</v>
      </c>
      <c r="R200" s="18">
        <v>0.005118</v>
      </c>
      <c r="S200" s="18">
        <v>0.004621</v>
      </c>
      <c r="T200" s="18">
        <v>0.004392</v>
      </c>
      <c r="U200" s="18">
        <v>0.004182</v>
      </c>
      <c r="V200" s="18">
        <v>0.003311</v>
      </c>
      <c r="W200" s="18">
        <v>0.004325</v>
      </c>
      <c r="X200" s="18">
        <v>0.005158</v>
      </c>
      <c r="Y200" s="18">
        <v>0.004513</v>
      </c>
      <c r="Z200" s="18">
        <v>0.004322</v>
      </c>
      <c r="AA200" s="18">
        <v>0.003697</v>
      </c>
      <c r="AB200" s="18">
        <v>0.00315</v>
      </c>
      <c r="AC200" s="18">
        <v>0.003654</v>
      </c>
      <c r="AD200" s="18">
        <v>0.003732</v>
      </c>
      <c r="AE200" s="18">
        <v>0.003211</v>
      </c>
      <c r="AF200" s="18">
        <v>0.002457</v>
      </c>
      <c r="AG200" s="18">
        <v>0.001382</v>
      </c>
      <c r="AH200" s="18">
        <v>8.62E-4</v>
      </c>
      <c r="AI200" s="18">
        <v>5.37E-4</v>
      </c>
      <c r="AJ200" s="18">
        <v>3.28E-4</v>
      </c>
      <c r="AK200" s="18">
        <v>2.14E-4</v>
      </c>
      <c r="AL200" s="18">
        <v>9.99E-5</v>
      </c>
      <c r="AM200" s="18">
        <v>0.0</v>
      </c>
      <c r="AN200" s="18">
        <v>0.0</v>
      </c>
      <c r="AO200" s="18">
        <v>0.0</v>
      </c>
      <c r="AP200" s="20">
        <v>0.0</v>
      </c>
      <c r="AQ200" s="20">
        <v>0.0</v>
      </c>
      <c r="AR200" s="20">
        <v>0.0</v>
      </c>
      <c r="AS200" s="20">
        <v>0.0</v>
      </c>
      <c r="AT200" s="2">
        <f>AVERAGE(L200:AL200)</f>
        <v>0.003786366667</v>
      </c>
      <c r="AU200" s="12">
        <f t="shared" si="17"/>
        <v>0.003786366667</v>
      </c>
      <c r="AV200" s="14"/>
      <c r="AW200" s="15"/>
      <c r="AX200" s="15"/>
    </row>
    <row r="201" ht="15.75" customHeight="1">
      <c r="A201" s="7">
        <v>231104.0</v>
      </c>
      <c r="B201" s="7">
        <v>66.0</v>
      </c>
      <c r="C201" s="7">
        <v>2.0</v>
      </c>
      <c r="D201" s="8" t="s">
        <v>177</v>
      </c>
      <c r="E201" s="7">
        <v>9.0</v>
      </c>
      <c r="F201" s="8" t="s">
        <v>56</v>
      </c>
      <c r="G201" s="8" t="s">
        <v>49</v>
      </c>
      <c r="H201" s="8" t="s">
        <v>61</v>
      </c>
      <c r="I201" s="11" t="s">
        <v>185</v>
      </c>
      <c r="J201" s="8" t="s">
        <v>52</v>
      </c>
      <c r="K201" s="11" t="s">
        <v>57</v>
      </c>
      <c r="L201" s="18">
        <v>0.00554</v>
      </c>
      <c r="M201" s="18">
        <v>0.005611</v>
      </c>
      <c r="N201" s="18">
        <v>0.005066</v>
      </c>
      <c r="O201" s="18">
        <v>0.00464</v>
      </c>
      <c r="P201" s="18">
        <v>0.00483</v>
      </c>
      <c r="Q201" s="18">
        <v>0.004375</v>
      </c>
      <c r="R201" s="18">
        <v>0.003991</v>
      </c>
      <c r="S201" s="18">
        <v>0.004294</v>
      </c>
      <c r="T201" s="18">
        <v>0.004013</v>
      </c>
      <c r="U201" s="18">
        <v>0.003956</v>
      </c>
      <c r="V201" s="18">
        <v>0.004559</v>
      </c>
      <c r="W201" s="18">
        <v>0.004353</v>
      </c>
      <c r="X201" s="18">
        <v>0.00505</v>
      </c>
      <c r="Y201" s="18">
        <v>0.00575</v>
      </c>
      <c r="Z201" s="18">
        <v>0.005016</v>
      </c>
      <c r="AA201" s="18">
        <v>0.004669</v>
      </c>
      <c r="AB201" s="18">
        <v>0.004584</v>
      </c>
      <c r="AC201" s="18">
        <v>0.00375</v>
      </c>
      <c r="AD201" s="18">
        <v>0.002872</v>
      </c>
      <c r="AE201" s="18">
        <v>0.002295</v>
      </c>
      <c r="AF201" s="18">
        <v>0.001476</v>
      </c>
      <c r="AG201" s="18">
        <v>0.001036</v>
      </c>
      <c r="AH201" s="18">
        <v>9.88E-4</v>
      </c>
      <c r="AI201" s="18">
        <v>9.43E-4</v>
      </c>
      <c r="AJ201" s="18">
        <v>9.2E-4</v>
      </c>
      <c r="AK201" s="18">
        <v>7.87E-4</v>
      </c>
      <c r="AL201" s="18">
        <v>0.001045</v>
      </c>
      <c r="AM201" s="18">
        <v>0.002618</v>
      </c>
      <c r="AN201" s="18">
        <v>0.003394</v>
      </c>
      <c r="AO201" s="18">
        <v>0.002645</v>
      </c>
      <c r="AP201" s="20">
        <v>0.0</v>
      </c>
      <c r="AQ201" s="20">
        <v>0.0</v>
      </c>
      <c r="AR201" s="20">
        <v>0.0</v>
      </c>
      <c r="AS201" s="20">
        <v>0.0</v>
      </c>
      <c r="AT201" s="2">
        <f>AVERAGE(L201:AO201)</f>
        <v>0.0035022</v>
      </c>
      <c r="AU201" s="12">
        <f t="shared" si="17"/>
        <v>0.0035022</v>
      </c>
      <c r="AV201" s="14"/>
      <c r="AW201" s="15"/>
      <c r="AX201" s="15"/>
    </row>
    <row r="202" ht="15.75" customHeight="1">
      <c r="A202" s="7">
        <v>231104.0</v>
      </c>
      <c r="B202" s="7">
        <v>66.0</v>
      </c>
      <c r="C202" s="7">
        <v>2.0</v>
      </c>
      <c r="D202" s="8" t="s">
        <v>178</v>
      </c>
      <c r="E202" s="7">
        <v>9.0</v>
      </c>
      <c r="F202" s="8" t="s">
        <v>56</v>
      </c>
      <c r="G202" s="8" t="s">
        <v>49</v>
      </c>
      <c r="H202" s="8" t="s">
        <v>50</v>
      </c>
      <c r="I202" s="11" t="s">
        <v>185</v>
      </c>
      <c r="J202" s="8" t="s">
        <v>52</v>
      </c>
      <c r="K202" s="11" t="s">
        <v>57</v>
      </c>
      <c r="L202" s="18">
        <v>0.007707</v>
      </c>
      <c r="M202" s="18">
        <v>0.00757</v>
      </c>
      <c r="N202" s="18">
        <v>0.005704</v>
      </c>
      <c r="O202" s="18">
        <v>0.004905</v>
      </c>
      <c r="P202" s="18">
        <v>0.004742</v>
      </c>
      <c r="Q202" s="18">
        <v>0.003422</v>
      </c>
      <c r="R202" s="18">
        <v>0.003369</v>
      </c>
      <c r="S202" s="18">
        <v>0.003523</v>
      </c>
      <c r="T202" s="18">
        <v>0.003686</v>
      </c>
      <c r="U202" s="18">
        <v>0.00328</v>
      </c>
      <c r="V202" s="18">
        <v>0.00355</v>
      </c>
      <c r="W202" s="18">
        <v>0.004745</v>
      </c>
      <c r="X202" s="18">
        <v>0.004682</v>
      </c>
      <c r="Y202" s="18">
        <v>0.00396</v>
      </c>
      <c r="Z202" s="18">
        <v>0.003593</v>
      </c>
      <c r="AA202" s="18">
        <v>0.003881</v>
      </c>
      <c r="AB202" s="18">
        <v>0.0045</v>
      </c>
      <c r="AC202" s="18">
        <v>0.004792</v>
      </c>
      <c r="AD202" s="18">
        <v>0.004333</v>
      </c>
      <c r="AE202" s="18">
        <v>0.004572</v>
      </c>
      <c r="AF202" s="18">
        <v>0.004447</v>
      </c>
      <c r="AG202" s="18">
        <v>0.004071</v>
      </c>
      <c r="AH202" s="18">
        <v>0.003703</v>
      </c>
      <c r="AI202" s="18">
        <v>0.002282</v>
      </c>
      <c r="AJ202" s="18">
        <v>0.001897</v>
      </c>
      <c r="AK202" s="18">
        <v>0.00436</v>
      </c>
      <c r="AL202" s="18">
        <v>0.010318</v>
      </c>
      <c r="AM202" s="18">
        <v>0.010153</v>
      </c>
      <c r="AN202" s="18">
        <v>0.0013</v>
      </c>
      <c r="AO202" s="18">
        <v>0.0</v>
      </c>
      <c r="AP202" s="20">
        <v>0.0</v>
      </c>
      <c r="AQ202" s="20">
        <v>0.0</v>
      </c>
      <c r="AR202" s="20">
        <v>0.0</v>
      </c>
      <c r="AS202" s="20">
        <v>0.0</v>
      </c>
      <c r="AT202" s="2">
        <f>AVERAGE(L202:AN202)</f>
        <v>0.004587827586</v>
      </c>
      <c r="AU202" s="12">
        <f t="shared" si="17"/>
        <v>0.004587827586</v>
      </c>
      <c r="AV202" s="14"/>
      <c r="AW202" s="15"/>
      <c r="AX202" s="15"/>
    </row>
    <row r="203" ht="15.75" customHeight="1">
      <c r="A203" s="7">
        <v>231108.0</v>
      </c>
      <c r="B203" s="7">
        <v>66.0</v>
      </c>
      <c r="C203" s="7">
        <v>2.0</v>
      </c>
      <c r="D203" s="8" t="s">
        <v>179</v>
      </c>
      <c r="E203" s="7">
        <v>9.0</v>
      </c>
      <c r="F203" s="8" t="s">
        <v>48</v>
      </c>
      <c r="G203" s="8" t="s">
        <v>89</v>
      </c>
      <c r="H203" s="8" t="s">
        <v>61</v>
      </c>
      <c r="I203" s="11" t="s">
        <v>185</v>
      </c>
      <c r="J203" s="8" t="s">
        <v>52</v>
      </c>
      <c r="K203" s="11" t="s">
        <v>59</v>
      </c>
      <c r="L203" s="18">
        <v>0.007421</v>
      </c>
      <c r="M203" s="18">
        <v>0.005222</v>
      </c>
      <c r="N203" s="18">
        <v>0.003592</v>
      </c>
      <c r="O203" s="18">
        <v>0.00347</v>
      </c>
      <c r="P203" s="18">
        <v>0.004961</v>
      </c>
      <c r="Q203" s="18">
        <v>0.004427</v>
      </c>
      <c r="R203" s="18">
        <v>0.003194</v>
      </c>
      <c r="S203" s="18">
        <v>0.003366</v>
      </c>
      <c r="T203" s="18">
        <v>0.003483</v>
      </c>
      <c r="U203" s="18">
        <v>0.002869</v>
      </c>
      <c r="V203" s="18">
        <v>0.00163</v>
      </c>
      <c r="W203" s="18">
        <v>0.002516</v>
      </c>
      <c r="X203" s="18">
        <v>0.002745</v>
      </c>
      <c r="Y203" s="18">
        <v>0.002292</v>
      </c>
      <c r="Z203" s="18">
        <v>0.002913</v>
      </c>
      <c r="AA203" s="18">
        <v>0.00205</v>
      </c>
      <c r="AB203" s="18">
        <v>0.001481</v>
      </c>
      <c r="AC203" s="18">
        <v>0.001557</v>
      </c>
      <c r="AD203" s="18">
        <v>9.86E-4</v>
      </c>
      <c r="AE203" s="18">
        <v>8.16E-4</v>
      </c>
      <c r="AF203" s="18">
        <v>5.6E-4</v>
      </c>
      <c r="AG203" s="18">
        <v>9.94E-5</v>
      </c>
      <c r="AH203" s="18">
        <v>5.1E-5</v>
      </c>
      <c r="AI203" s="18">
        <v>0.0</v>
      </c>
      <c r="AJ203" s="18">
        <v>0.0</v>
      </c>
      <c r="AK203" s="18">
        <v>0.0</v>
      </c>
      <c r="AL203" s="18">
        <v>0.0</v>
      </c>
      <c r="AM203" s="18">
        <v>8.74E-4</v>
      </c>
      <c r="AN203" s="18">
        <v>0.004181</v>
      </c>
      <c r="AO203" s="18">
        <v>5.34E-4</v>
      </c>
      <c r="AP203" s="20">
        <v>0.0</v>
      </c>
      <c r="AQ203" s="20">
        <v>0.0</v>
      </c>
      <c r="AR203" s="20">
        <v>0.0</v>
      </c>
      <c r="AS203" s="20">
        <v>0.0</v>
      </c>
      <c r="AT203" s="2">
        <f>AVERAGE(L203:AO203)</f>
        <v>0.002243013333</v>
      </c>
      <c r="AU203" s="12">
        <f t="shared" si="17"/>
        <v>0.002588092308</v>
      </c>
      <c r="AV203" s="14"/>
      <c r="AW203" s="15"/>
      <c r="AX203" s="15"/>
    </row>
    <row r="204" ht="15.75" customHeight="1">
      <c r="A204" s="7">
        <v>231108.0</v>
      </c>
      <c r="B204" s="7">
        <v>66.0</v>
      </c>
      <c r="C204" s="7">
        <v>2.0</v>
      </c>
      <c r="D204" s="8" t="s">
        <v>180</v>
      </c>
      <c r="E204" s="7">
        <v>9.0</v>
      </c>
      <c r="F204" s="8" t="s">
        <v>48</v>
      </c>
      <c r="G204" s="8" t="s">
        <v>89</v>
      </c>
      <c r="H204" s="8" t="s">
        <v>65</v>
      </c>
      <c r="I204" s="11" t="s">
        <v>185</v>
      </c>
      <c r="J204" s="8" t="s">
        <v>52</v>
      </c>
      <c r="K204" s="11" t="s">
        <v>59</v>
      </c>
      <c r="L204" s="18">
        <v>0.009274</v>
      </c>
      <c r="M204" s="18">
        <v>0.008624</v>
      </c>
      <c r="N204" s="18">
        <v>0.006639</v>
      </c>
      <c r="O204" s="18">
        <v>0.004402</v>
      </c>
      <c r="P204" s="18">
        <v>0.003062</v>
      </c>
      <c r="Q204" s="18">
        <v>0.002394</v>
      </c>
      <c r="R204" s="18">
        <v>0.002118</v>
      </c>
      <c r="S204" s="18">
        <v>0.00222</v>
      </c>
      <c r="T204" s="18">
        <v>0.00248</v>
      </c>
      <c r="U204" s="18">
        <v>0.002725</v>
      </c>
      <c r="V204" s="18">
        <v>0.002367</v>
      </c>
      <c r="W204" s="18">
        <v>0.001605</v>
      </c>
      <c r="X204" s="18">
        <v>0.001714</v>
      </c>
      <c r="Y204" s="18">
        <v>0.001392</v>
      </c>
      <c r="Z204" s="18">
        <v>7.46E-4</v>
      </c>
      <c r="AA204" s="18">
        <v>3.84E-4</v>
      </c>
      <c r="AB204" s="18">
        <v>1.85E-4</v>
      </c>
      <c r="AC204" s="18">
        <v>2.01E-4</v>
      </c>
      <c r="AD204" s="18">
        <v>1.06E-4</v>
      </c>
      <c r="AE204" s="18">
        <v>0.0</v>
      </c>
      <c r="AF204" s="18">
        <v>0.0</v>
      </c>
      <c r="AG204" s="18">
        <v>0.0</v>
      </c>
      <c r="AH204" s="18">
        <v>8.93E-5</v>
      </c>
      <c r="AI204" s="18">
        <v>9.1E-5</v>
      </c>
      <c r="AJ204" s="18">
        <v>0.0</v>
      </c>
      <c r="AK204" s="18">
        <v>0.0</v>
      </c>
      <c r="AL204" s="18">
        <v>0.0</v>
      </c>
      <c r="AM204" s="18">
        <v>1.59E-4</v>
      </c>
      <c r="AN204" s="18">
        <v>0.002042</v>
      </c>
      <c r="AO204" s="2">
        <v>0.0</v>
      </c>
      <c r="AP204" s="20">
        <v>0.0</v>
      </c>
      <c r="AQ204" s="20">
        <v>0.0</v>
      </c>
      <c r="AR204" s="20">
        <v>0.0</v>
      </c>
      <c r="AS204" s="20">
        <v>0.0</v>
      </c>
      <c r="AT204" s="2">
        <f>AVERAGE(L204:AN204)</f>
        <v>0.001897217241</v>
      </c>
      <c r="AU204" s="12">
        <f t="shared" si="17"/>
        <v>0.002392143478</v>
      </c>
      <c r="AV204" s="14"/>
      <c r="AW204" s="15"/>
      <c r="AX204" s="15"/>
    </row>
    <row r="205" ht="15.75" customHeight="1">
      <c r="A205" s="7">
        <v>231108.0</v>
      </c>
      <c r="B205" s="7">
        <v>66.0</v>
      </c>
      <c r="C205" s="7">
        <v>2.0</v>
      </c>
      <c r="D205" s="8" t="s">
        <v>181</v>
      </c>
      <c r="E205" s="7">
        <v>9.0</v>
      </c>
      <c r="F205" s="8" t="s">
        <v>48</v>
      </c>
      <c r="G205" s="8" t="s">
        <v>89</v>
      </c>
      <c r="H205" s="8" t="s">
        <v>63</v>
      </c>
      <c r="I205" s="11" t="s">
        <v>185</v>
      </c>
      <c r="J205" s="8" t="s">
        <v>52</v>
      </c>
      <c r="K205" s="11" t="s">
        <v>59</v>
      </c>
      <c r="L205" s="18">
        <v>0.002464</v>
      </c>
      <c r="M205" s="18">
        <v>0.004062</v>
      </c>
      <c r="N205" s="18">
        <v>0.005523</v>
      </c>
      <c r="O205" s="18">
        <v>0.006684</v>
      </c>
      <c r="P205" s="18">
        <v>0.006814</v>
      </c>
      <c r="Q205" s="18">
        <v>0.006539</v>
      </c>
      <c r="R205" s="18">
        <v>0.005605</v>
      </c>
      <c r="S205" s="18">
        <v>0.003926</v>
      </c>
      <c r="T205" s="18">
        <v>0.002889</v>
      </c>
      <c r="U205" s="18">
        <v>0.0033</v>
      </c>
      <c r="V205" s="18">
        <v>0.00346</v>
      </c>
      <c r="W205" s="18">
        <v>0.002913</v>
      </c>
      <c r="X205" s="18">
        <v>0.003467</v>
      </c>
      <c r="Y205" s="18">
        <v>0.005216</v>
      </c>
      <c r="Z205" s="18">
        <v>0.005089</v>
      </c>
      <c r="AA205" s="18">
        <v>0.003763</v>
      </c>
      <c r="AB205" s="18">
        <v>0.003253</v>
      </c>
      <c r="AC205" s="18">
        <v>0.002357</v>
      </c>
      <c r="AD205" s="18">
        <v>0.001796</v>
      </c>
      <c r="AE205" s="18">
        <v>0.001551</v>
      </c>
      <c r="AF205" s="18">
        <v>8.07E-4</v>
      </c>
      <c r="AG205" s="18">
        <v>2.58E-4</v>
      </c>
      <c r="AH205" s="18">
        <v>1.92E-4</v>
      </c>
      <c r="AI205" s="18">
        <v>5.27E-5</v>
      </c>
      <c r="AJ205" s="18">
        <v>0.0</v>
      </c>
      <c r="AK205" s="18">
        <v>0.001071</v>
      </c>
      <c r="AL205" s="18">
        <v>0.003578</v>
      </c>
      <c r="AM205" s="18">
        <v>0.008184</v>
      </c>
      <c r="AN205" s="18">
        <v>0.0</v>
      </c>
      <c r="AO205" s="2">
        <v>0.0</v>
      </c>
      <c r="AP205" s="20">
        <v>0.0</v>
      </c>
      <c r="AQ205" s="20">
        <v>0.0</v>
      </c>
      <c r="AR205" s="20">
        <v>0.0</v>
      </c>
      <c r="AS205" s="20">
        <v>0.0</v>
      </c>
      <c r="AT205" s="2">
        <f t="shared" ref="AT205:AT209" si="24">AVERAGE(L205:AM205)</f>
        <v>0.003386203571</v>
      </c>
      <c r="AU205" s="12">
        <f t="shared" si="17"/>
        <v>0.003511618519</v>
      </c>
      <c r="AV205" s="14"/>
      <c r="AW205" s="15"/>
      <c r="AX205" s="15"/>
    </row>
    <row r="206" ht="15.75" customHeight="1">
      <c r="A206" s="7">
        <v>231108.0</v>
      </c>
      <c r="B206" s="7">
        <v>66.0</v>
      </c>
      <c r="C206" s="7">
        <v>2.0</v>
      </c>
      <c r="D206" s="8" t="s">
        <v>182</v>
      </c>
      <c r="E206" s="7">
        <v>9.0</v>
      </c>
      <c r="F206" s="8" t="s">
        <v>48</v>
      </c>
      <c r="G206" s="8" t="s">
        <v>89</v>
      </c>
      <c r="H206" s="8" t="s">
        <v>50</v>
      </c>
      <c r="I206" s="11" t="s">
        <v>185</v>
      </c>
      <c r="J206" s="8" t="s">
        <v>52</v>
      </c>
      <c r="K206" s="11" t="s">
        <v>59</v>
      </c>
      <c r="L206" s="18">
        <v>0.010782</v>
      </c>
      <c r="M206" s="18">
        <v>0.006244</v>
      </c>
      <c r="N206" s="18">
        <v>0.003534</v>
      </c>
      <c r="O206" s="18">
        <v>0.00277</v>
      </c>
      <c r="P206" s="18">
        <v>0.002961</v>
      </c>
      <c r="Q206" s="18">
        <v>0.003557</v>
      </c>
      <c r="R206" s="18">
        <v>0.004823</v>
      </c>
      <c r="S206" s="18">
        <v>0.006182</v>
      </c>
      <c r="T206" s="18">
        <v>0.005533</v>
      </c>
      <c r="U206" s="18">
        <v>0.004371</v>
      </c>
      <c r="V206" s="18">
        <v>0.003881</v>
      </c>
      <c r="W206" s="18">
        <v>0.003491</v>
      </c>
      <c r="X206" s="18">
        <v>0.003171</v>
      </c>
      <c r="Y206" s="18">
        <v>0.002972</v>
      </c>
      <c r="Z206" s="18">
        <v>0.003549</v>
      </c>
      <c r="AA206" s="18">
        <v>0.004208</v>
      </c>
      <c r="AB206" s="18">
        <v>0.003567</v>
      </c>
      <c r="AC206" s="18">
        <v>0.003024</v>
      </c>
      <c r="AD206" s="18">
        <v>0.003126</v>
      </c>
      <c r="AE206" s="18">
        <v>0.002599</v>
      </c>
      <c r="AF206" s="18">
        <v>0.002232</v>
      </c>
      <c r="AG206" s="18">
        <v>0.001646</v>
      </c>
      <c r="AH206" s="18">
        <v>7.65E-4</v>
      </c>
      <c r="AI206" s="18">
        <v>3.21E-4</v>
      </c>
      <c r="AJ206" s="18">
        <v>1.02E-5</v>
      </c>
      <c r="AK206" s="18">
        <v>0.001162</v>
      </c>
      <c r="AL206" s="18">
        <v>0.004041</v>
      </c>
      <c r="AM206" s="18">
        <v>0.006852</v>
      </c>
      <c r="AN206" s="18">
        <v>0.0</v>
      </c>
      <c r="AO206" s="18">
        <v>0.0</v>
      </c>
      <c r="AP206" s="20">
        <v>0.0</v>
      </c>
      <c r="AQ206" s="20">
        <v>0.0</v>
      </c>
      <c r="AR206" s="20">
        <v>0.0</v>
      </c>
      <c r="AS206" s="20">
        <v>0.0</v>
      </c>
      <c r="AT206" s="2">
        <f t="shared" si="24"/>
        <v>0.003620507143</v>
      </c>
      <c r="AU206" s="12">
        <f t="shared" si="17"/>
        <v>0.003620507143</v>
      </c>
      <c r="AV206" s="14"/>
      <c r="AW206" s="15"/>
      <c r="AX206" s="15"/>
    </row>
    <row r="207" ht="15.75" customHeight="1">
      <c r="A207" s="7">
        <v>231108.0</v>
      </c>
      <c r="B207" s="7">
        <v>66.0</v>
      </c>
      <c r="C207" s="7">
        <v>2.0</v>
      </c>
      <c r="D207" s="8" t="s">
        <v>183</v>
      </c>
      <c r="E207" s="7">
        <v>9.0</v>
      </c>
      <c r="F207" s="8" t="s">
        <v>48</v>
      </c>
      <c r="G207" s="8" t="s">
        <v>85</v>
      </c>
      <c r="H207" s="8" t="s">
        <v>63</v>
      </c>
      <c r="I207" s="11" t="s">
        <v>185</v>
      </c>
      <c r="J207" s="8" t="s">
        <v>52</v>
      </c>
      <c r="K207" s="11" t="s">
        <v>59</v>
      </c>
      <c r="L207" s="18">
        <v>0.016381</v>
      </c>
      <c r="M207" s="18">
        <v>0.011073</v>
      </c>
      <c r="N207" s="18">
        <v>0.006838</v>
      </c>
      <c r="O207" s="18">
        <v>0.004991</v>
      </c>
      <c r="P207" s="18">
        <v>0.005749</v>
      </c>
      <c r="Q207" s="18">
        <v>0.005288</v>
      </c>
      <c r="R207" s="18">
        <v>0.003954</v>
      </c>
      <c r="S207" s="18">
        <v>0.004789</v>
      </c>
      <c r="T207" s="18">
        <v>0.004254</v>
      </c>
      <c r="U207" s="18">
        <v>0.003847</v>
      </c>
      <c r="V207" s="18">
        <v>0.003876</v>
      </c>
      <c r="W207" s="18">
        <v>0.002962</v>
      </c>
      <c r="X207" s="18">
        <v>0.001727</v>
      </c>
      <c r="Y207" s="18">
        <v>9.14E-4</v>
      </c>
      <c r="Z207" s="18">
        <v>6.07E-4</v>
      </c>
      <c r="AA207" s="18">
        <v>8.11E-4</v>
      </c>
      <c r="AB207" s="18">
        <v>0.001004</v>
      </c>
      <c r="AC207" s="18">
        <v>0.002197</v>
      </c>
      <c r="AD207" s="18">
        <v>0.002923</v>
      </c>
      <c r="AE207" s="18">
        <v>0.001392</v>
      </c>
      <c r="AF207" s="18">
        <v>5.14E-5</v>
      </c>
      <c r="AG207" s="18">
        <v>0.0</v>
      </c>
      <c r="AH207" s="18">
        <v>1.78E-4</v>
      </c>
      <c r="AI207" s="18">
        <v>3.21E-4</v>
      </c>
      <c r="AJ207" s="18">
        <v>0.002069</v>
      </c>
      <c r="AK207" s="18">
        <v>0.006281</v>
      </c>
      <c r="AL207" s="18">
        <v>0.010571</v>
      </c>
      <c r="AM207" s="18">
        <v>0.009207</v>
      </c>
      <c r="AN207" s="2">
        <v>0.0</v>
      </c>
      <c r="AO207" s="2">
        <v>0.0</v>
      </c>
      <c r="AP207" s="20">
        <v>0.0</v>
      </c>
      <c r="AQ207" s="20">
        <v>0.0</v>
      </c>
      <c r="AR207" s="20">
        <v>0.0</v>
      </c>
      <c r="AS207" s="20">
        <v>0.0</v>
      </c>
      <c r="AT207" s="2">
        <f t="shared" si="24"/>
        <v>0.00408055</v>
      </c>
      <c r="AU207" s="12">
        <f t="shared" si="17"/>
        <v>0.004231681481</v>
      </c>
      <c r="AV207" s="14"/>
      <c r="AW207" s="15"/>
      <c r="AX207" s="15"/>
    </row>
    <row r="208" ht="15.75" customHeight="1">
      <c r="A208" s="7">
        <v>231108.0</v>
      </c>
      <c r="B208" s="7">
        <v>66.0</v>
      </c>
      <c r="C208" s="7">
        <v>2.0</v>
      </c>
      <c r="D208" s="8" t="s">
        <v>184</v>
      </c>
      <c r="E208" s="7">
        <v>9.0</v>
      </c>
      <c r="F208" s="8" t="s">
        <v>48</v>
      </c>
      <c r="G208" s="8" t="s">
        <v>85</v>
      </c>
      <c r="H208" s="8" t="s">
        <v>61</v>
      </c>
      <c r="I208" s="8" t="s">
        <v>185</v>
      </c>
      <c r="J208" s="8" t="s">
        <v>52</v>
      </c>
      <c r="K208" s="11" t="s">
        <v>59</v>
      </c>
      <c r="L208" s="18">
        <v>0.010056</v>
      </c>
      <c r="M208" s="18">
        <v>0.00583</v>
      </c>
      <c r="N208" s="18">
        <v>0.003911</v>
      </c>
      <c r="O208" s="18">
        <v>0.004153</v>
      </c>
      <c r="P208" s="18">
        <v>0.004367</v>
      </c>
      <c r="Q208" s="18">
        <v>0.004847</v>
      </c>
      <c r="R208" s="18">
        <v>0.005129</v>
      </c>
      <c r="S208" s="18">
        <v>0.005477</v>
      </c>
      <c r="T208" s="18">
        <v>0.005753</v>
      </c>
      <c r="U208" s="18">
        <v>0.005176</v>
      </c>
      <c r="V208" s="18">
        <v>0.003969</v>
      </c>
      <c r="W208" s="18">
        <v>0.004117</v>
      </c>
      <c r="X208" s="18">
        <v>0.006185</v>
      </c>
      <c r="Y208" s="18">
        <v>0.00852</v>
      </c>
      <c r="Z208" s="18">
        <v>0.009605</v>
      </c>
      <c r="AA208" s="18">
        <v>0.010395</v>
      </c>
      <c r="AB208" s="18">
        <v>0.012692</v>
      </c>
      <c r="AC208" s="18">
        <v>0.012996</v>
      </c>
      <c r="AD208" s="18">
        <v>0.010989</v>
      </c>
      <c r="AE208" s="18">
        <v>0.01026</v>
      </c>
      <c r="AF208" s="18">
        <v>0.009711</v>
      </c>
      <c r="AG208" s="18">
        <v>0.007383</v>
      </c>
      <c r="AH208" s="18">
        <v>0.005247</v>
      </c>
      <c r="AI208" s="18">
        <v>0.006606</v>
      </c>
      <c r="AJ208" s="18">
        <v>0.00696</v>
      </c>
      <c r="AK208" s="18">
        <v>0.004163</v>
      </c>
      <c r="AL208" s="18">
        <v>0.002251</v>
      </c>
      <c r="AM208" s="18">
        <v>0.004064</v>
      </c>
      <c r="AN208" s="2">
        <v>0.0</v>
      </c>
      <c r="AO208" s="2">
        <v>0.0</v>
      </c>
      <c r="AP208" s="20">
        <v>0.0</v>
      </c>
      <c r="AQ208" s="20">
        <v>0.0</v>
      </c>
      <c r="AR208" s="20">
        <v>0.0</v>
      </c>
      <c r="AS208" s="20">
        <v>0.0</v>
      </c>
      <c r="AT208" s="2">
        <f t="shared" si="24"/>
        <v>0.006814714286</v>
      </c>
      <c r="AU208" s="12">
        <f t="shared" si="17"/>
        <v>0.006814714286</v>
      </c>
      <c r="AV208" s="14"/>
      <c r="AW208" s="15"/>
      <c r="AX208" s="15"/>
    </row>
    <row r="209" ht="15.75" customHeight="1">
      <c r="A209" s="7">
        <v>230830.0</v>
      </c>
      <c r="B209" s="7">
        <v>60.0</v>
      </c>
      <c r="C209" s="7">
        <v>1.0</v>
      </c>
      <c r="D209" s="8" t="s">
        <v>169</v>
      </c>
      <c r="E209" s="7">
        <v>9.0</v>
      </c>
      <c r="F209" s="8" t="s">
        <v>56</v>
      </c>
      <c r="G209" s="16" t="s">
        <v>49</v>
      </c>
      <c r="H209" s="8" t="s">
        <v>50</v>
      </c>
      <c r="I209" s="11" t="s">
        <v>51</v>
      </c>
      <c r="J209" s="8" t="s">
        <v>52</v>
      </c>
      <c r="K209" s="11" t="s">
        <v>53</v>
      </c>
      <c r="L209" s="18">
        <v>0.019374</v>
      </c>
      <c r="M209" s="18">
        <v>0.025528</v>
      </c>
      <c r="N209" s="18">
        <v>0.028373</v>
      </c>
      <c r="O209" s="18">
        <v>0.028584</v>
      </c>
      <c r="P209" s="18">
        <v>0.029157</v>
      </c>
      <c r="Q209" s="18">
        <v>0.029171</v>
      </c>
      <c r="R209" s="18">
        <v>0.028972</v>
      </c>
      <c r="S209" s="18">
        <v>0.026244</v>
      </c>
      <c r="T209" s="18">
        <v>0.024213</v>
      </c>
      <c r="U209" s="18">
        <v>0.024923</v>
      </c>
      <c r="V209" s="18">
        <v>0.025719</v>
      </c>
      <c r="W209" s="18">
        <v>0.028355</v>
      </c>
      <c r="X209" s="18">
        <v>0.029575</v>
      </c>
      <c r="Y209" s="18">
        <v>0.02991</v>
      </c>
      <c r="Z209" s="18">
        <v>0.030508</v>
      </c>
      <c r="AA209" s="18">
        <v>0.030281</v>
      </c>
      <c r="AB209" s="18">
        <v>0.030226</v>
      </c>
      <c r="AC209" s="18">
        <v>0.03076</v>
      </c>
      <c r="AD209" s="18">
        <v>0.03117</v>
      </c>
      <c r="AE209" s="18">
        <v>0.031791</v>
      </c>
      <c r="AF209" s="18">
        <v>0.031278</v>
      </c>
      <c r="AG209" s="18">
        <v>0.030355</v>
      </c>
      <c r="AH209" s="18">
        <v>0.030906</v>
      </c>
      <c r="AI209" s="18">
        <v>0.028739</v>
      </c>
      <c r="AJ209" s="18">
        <v>0.027159</v>
      </c>
      <c r="AK209" s="18">
        <v>0.029668</v>
      </c>
      <c r="AL209" s="18">
        <v>0.01829</v>
      </c>
      <c r="AM209" s="18">
        <v>0.002505</v>
      </c>
      <c r="AN209" s="2">
        <v>0.0</v>
      </c>
      <c r="AO209" s="2">
        <v>0.0</v>
      </c>
      <c r="AP209" s="20">
        <v>0.0</v>
      </c>
      <c r="AQ209" s="20">
        <v>0.0</v>
      </c>
      <c r="AR209" s="20">
        <v>0.0</v>
      </c>
      <c r="AS209" s="20">
        <v>0.0</v>
      </c>
      <c r="AT209" s="2">
        <f t="shared" si="24"/>
        <v>0.02720478571</v>
      </c>
      <c r="AU209" s="12">
        <f t="shared" si="17"/>
        <v>0.02720478571</v>
      </c>
      <c r="AV209" s="14"/>
      <c r="AW209" s="15"/>
      <c r="AX209" s="15"/>
    </row>
    <row r="210" ht="15.75" customHeight="1">
      <c r="A210" s="7">
        <v>230830.0</v>
      </c>
      <c r="B210" s="7">
        <v>60.0</v>
      </c>
      <c r="C210" s="7">
        <v>1.0</v>
      </c>
      <c r="D210" s="8" t="s">
        <v>170</v>
      </c>
      <c r="E210" s="7">
        <v>9.0</v>
      </c>
      <c r="F210" s="8" t="s">
        <v>56</v>
      </c>
      <c r="G210" s="16" t="s">
        <v>49</v>
      </c>
      <c r="H210" s="8" t="s">
        <v>65</v>
      </c>
      <c r="I210" s="11" t="s">
        <v>51</v>
      </c>
      <c r="J210" s="8" t="s">
        <v>52</v>
      </c>
      <c r="K210" s="11" t="s">
        <v>53</v>
      </c>
      <c r="L210" s="18">
        <v>0.01597</v>
      </c>
      <c r="M210" s="18">
        <v>0.021863</v>
      </c>
      <c r="N210" s="18">
        <v>0.025712</v>
      </c>
      <c r="O210" s="18">
        <v>0.026621</v>
      </c>
      <c r="P210" s="18">
        <v>0.027775</v>
      </c>
      <c r="Q210" s="18">
        <v>0.028919</v>
      </c>
      <c r="R210" s="18">
        <v>0.02652</v>
      </c>
      <c r="S210" s="18">
        <v>0.025243</v>
      </c>
      <c r="T210" s="18">
        <v>0.027754</v>
      </c>
      <c r="U210" s="18">
        <v>0.02842</v>
      </c>
      <c r="V210" s="18">
        <v>0.029269</v>
      </c>
      <c r="W210" s="18">
        <v>0.029887</v>
      </c>
      <c r="X210" s="18">
        <v>0.02776</v>
      </c>
      <c r="Y210" s="18">
        <v>0.028689</v>
      </c>
      <c r="Z210" s="18">
        <v>0.031178</v>
      </c>
      <c r="AA210" s="18">
        <v>0.03114</v>
      </c>
      <c r="AB210" s="18">
        <v>0.029041</v>
      </c>
      <c r="AC210" s="18">
        <v>0.030421</v>
      </c>
      <c r="AD210" s="18">
        <v>0.034188</v>
      </c>
      <c r="AE210" s="18">
        <v>0.038256</v>
      </c>
      <c r="AF210" s="18">
        <v>0.041019</v>
      </c>
      <c r="AG210" s="18">
        <v>0.041593</v>
      </c>
      <c r="AH210" s="18">
        <v>0.044334</v>
      </c>
      <c r="AI210" s="18">
        <v>0.047083</v>
      </c>
      <c r="AJ210" s="18">
        <v>0.045706</v>
      </c>
      <c r="AK210" s="18">
        <v>0.041722</v>
      </c>
      <c r="AL210" s="18">
        <v>0.035499</v>
      </c>
      <c r="AM210" s="18">
        <v>0.025329</v>
      </c>
      <c r="AN210" s="18">
        <v>0.015881</v>
      </c>
      <c r="AO210" s="18">
        <v>0.008811</v>
      </c>
      <c r="AP210" s="20">
        <v>0.0</v>
      </c>
      <c r="AQ210" s="20">
        <v>0.0</v>
      </c>
      <c r="AR210" s="20">
        <v>0.0</v>
      </c>
      <c r="AS210" s="20">
        <v>0.0</v>
      </c>
      <c r="AT210" s="2">
        <f>AVERAGE(L210:AO210)</f>
        <v>0.03038676667</v>
      </c>
      <c r="AU210" s="12">
        <f t="shared" si="17"/>
        <v>0.03038676667</v>
      </c>
      <c r="AV210" s="14"/>
      <c r="AW210" s="15"/>
      <c r="AX210" s="15"/>
    </row>
    <row r="211" ht="15.75" customHeight="1">
      <c r="A211" s="7">
        <v>230830.0</v>
      </c>
      <c r="B211" s="7">
        <v>60.0</v>
      </c>
      <c r="C211" s="7">
        <v>1.0</v>
      </c>
      <c r="D211" s="8" t="s">
        <v>171</v>
      </c>
      <c r="E211" s="7">
        <v>9.0</v>
      </c>
      <c r="F211" s="8" t="s">
        <v>56</v>
      </c>
      <c r="G211" s="16" t="s">
        <v>49</v>
      </c>
      <c r="H211" s="16" t="s">
        <v>50</v>
      </c>
      <c r="I211" s="11" t="s">
        <v>51</v>
      </c>
      <c r="J211" s="8" t="s">
        <v>52</v>
      </c>
      <c r="K211" s="11" t="s">
        <v>53</v>
      </c>
      <c r="L211" s="18">
        <v>0.026154</v>
      </c>
      <c r="M211" s="18">
        <v>0.023497</v>
      </c>
      <c r="N211" s="18">
        <v>0.021458</v>
      </c>
      <c r="O211" s="18">
        <v>0.022005</v>
      </c>
      <c r="P211" s="18">
        <v>0.023483</v>
      </c>
      <c r="Q211" s="18">
        <v>0.025005</v>
      </c>
      <c r="R211" s="18">
        <v>0.028213</v>
      </c>
      <c r="S211" s="18">
        <v>0.028882</v>
      </c>
      <c r="T211" s="18">
        <v>0.027557</v>
      </c>
      <c r="U211" s="18">
        <v>0.025426</v>
      </c>
      <c r="V211" s="18">
        <v>0.025653</v>
      </c>
      <c r="W211" s="18">
        <v>0.030771</v>
      </c>
      <c r="X211" s="18">
        <v>0.032155</v>
      </c>
      <c r="Y211" s="18">
        <v>0.030438</v>
      </c>
      <c r="Z211" s="18">
        <v>0.03232</v>
      </c>
      <c r="AA211" s="18">
        <v>0.036773</v>
      </c>
      <c r="AB211" s="18">
        <v>0.035504</v>
      </c>
      <c r="AC211" s="18">
        <v>0.031313</v>
      </c>
      <c r="AD211" s="18">
        <v>0.031322</v>
      </c>
      <c r="AE211" s="18">
        <v>0.033256</v>
      </c>
      <c r="AF211" s="18">
        <v>0.036811</v>
      </c>
      <c r="AG211" s="18">
        <v>0.038914</v>
      </c>
      <c r="AH211" s="18">
        <v>0.039783</v>
      </c>
      <c r="AI211" s="18">
        <v>0.042138</v>
      </c>
      <c r="AJ211" s="18">
        <v>0.041588</v>
      </c>
      <c r="AK211" s="18">
        <v>0.040747</v>
      </c>
      <c r="AL211" s="18">
        <v>0.035722</v>
      </c>
      <c r="AM211" s="18">
        <v>0.02334</v>
      </c>
      <c r="AN211" s="18">
        <v>0.012362</v>
      </c>
      <c r="AO211" s="18">
        <v>0.0</v>
      </c>
      <c r="AP211" s="20">
        <v>0.0</v>
      </c>
      <c r="AQ211" s="20">
        <v>0.0</v>
      </c>
      <c r="AR211" s="20">
        <v>0.0</v>
      </c>
      <c r="AS211" s="20">
        <v>0.0</v>
      </c>
      <c r="AT211" s="2">
        <f t="shared" ref="AT211:AT212" si="25">AVERAGE(L211:AN211)</f>
        <v>0.03043413793</v>
      </c>
      <c r="AU211" s="12">
        <f t="shared" si="17"/>
        <v>0.03043413793</v>
      </c>
      <c r="AV211" s="14"/>
      <c r="AW211" s="15"/>
      <c r="AX211" s="15"/>
    </row>
    <row r="212" ht="15.75" customHeight="1">
      <c r="A212" s="7">
        <v>230830.0</v>
      </c>
      <c r="B212" s="7">
        <v>60.0</v>
      </c>
      <c r="C212" s="7">
        <v>1.0</v>
      </c>
      <c r="D212" s="8" t="s">
        <v>172</v>
      </c>
      <c r="E212" s="7">
        <v>9.0</v>
      </c>
      <c r="F212" s="8" t="s">
        <v>56</v>
      </c>
      <c r="G212" s="16" t="s">
        <v>49</v>
      </c>
      <c r="H212" s="16" t="s">
        <v>50</v>
      </c>
      <c r="I212" s="11" t="s">
        <v>51</v>
      </c>
      <c r="J212" s="8" t="s">
        <v>52</v>
      </c>
      <c r="K212" s="11" t="s">
        <v>53</v>
      </c>
      <c r="L212" s="18">
        <v>0.030761</v>
      </c>
      <c r="M212" s="18">
        <v>0.028912</v>
      </c>
      <c r="N212" s="18">
        <v>0.027667</v>
      </c>
      <c r="O212" s="18">
        <v>0.028271</v>
      </c>
      <c r="P212" s="18">
        <v>0.028726</v>
      </c>
      <c r="Q212" s="18">
        <v>0.027962</v>
      </c>
      <c r="R212" s="18">
        <v>0.028246</v>
      </c>
      <c r="S212" s="18">
        <v>0.027514</v>
      </c>
      <c r="T212" s="18">
        <v>0.025876</v>
      </c>
      <c r="U212" s="18">
        <v>0.028866</v>
      </c>
      <c r="V212" s="18">
        <v>0.031241</v>
      </c>
      <c r="W212" s="18">
        <v>0.029872</v>
      </c>
      <c r="X212" s="18">
        <v>0.028732</v>
      </c>
      <c r="Y212" s="18">
        <v>0.029256</v>
      </c>
      <c r="Z212" s="18">
        <v>0.031189</v>
      </c>
      <c r="AA212" s="18">
        <v>0.032382</v>
      </c>
      <c r="AB212" s="18">
        <v>0.031967</v>
      </c>
      <c r="AC212" s="18">
        <v>0.030303</v>
      </c>
      <c r="AD212" s="18">
        <v>0.031857</v>
      </c>
      <c r="AE212" s="18">
        <v>0.035932</v>
      </c>
      <c r="AF212" s="18">
        <v>0.037159</v>
      </c>
      <c r="AG212" s="18">
        <v>0.033526</v>
      </c>
      <c r="AH212" s="18">
        <v>0.033864</v>
      </c>
      <c r="AI212" s="18">
        <v>0.03683</v>
      </c>
      <c r="AJ212" s="18">
        <v>0.037898</v>
      </c>
      <c r="AK212" s="18">
        <v>0.038773</v>
      </c>
      <c r="AL212" s="18">
        <v>0.038333</v>
      </c>
      <c r="AM212" s="18">
        <v>0.034085</v>
      </c>
      <c r="AN212" s="18">
        <v>0.023831</v>
      </c>
      <c r="AO212" s="18">
        <v>0.0</v>
      </c>
      <c r="AP212" s="20">
        <v>0.0</v>
      </c>
      <c r="AQ212" s="20">
        <v>0.0</v>
      </c>
      <c r="AR212" s="20">
        <v>0.0</v>
      </c>
      <c r="AS212" s="20">
        <v>0.0</v>
      </c>
      <c r="AT212" s="2">
        <f t="shared" si="25"/>
        <v>0.03137348276</v>
      </c>
      <c r="AU212" s="12">
        <f t="shared" si="17"/>
        <v>0.03137348276</v>
      </c>
      <c r="AV212" s="14"/>
      <c r="AW212" s="15"/>
      <c r="AX212" s="15"/>
    </row>
    <row r="213" ht="15.75" customHeight="1">
      <c r="A213" s="7">
        <v>230831.0</v>
      </c>
      <c r="B213" s="7">
        <v>60.0</v>
      </c>
      <c r="C213" s="7">
        <v>1.0</v>
      </c>
      <c r="D213" s="8" t="s">
        <v>173</v>
      </c>
      <c r="E213" s="7">
        <v>9.0</v>
      </c>
      <c r="F213" s="8" t="s">
        <v>56</v>
      </c>
      <c r="G213" s="16" t="s">
        <v>49</v>
      </c>
      <c r="H213" s="8" t="s">
        <v>50</v>
      </c>
      <c r="I213" s="11" t="s">
        <v>51</v>
      </c>
      <c r="J213" s="8" t="s">
        <v>52</v>
      </c>
      <c r="K213" s="11" t="s">
        <v>53</v>
      </c>
      <c r="L213" s="18">
        <v>0.023421</v>
      </c>
      <c r="M213" s="18">
        <v>0.021173</v>
      </c>
      <c r="N213" s="18">
        <v>0.023247</v>
      </c>
      <c r="O213" s="18">
        <v>0.025395</v>
      </c>
      <c r="P213" s="18">
        <v>0.026978</v>
      </c>
      <c r="Q213" s="18">
        <v>0.029456</v>
      </c>
      <c r="R213" s="18">
        <v>0.030902</v>
      </c>
      <c r="S213" s="18">
        <v>0.032378</v>
      </c>
      <c r="T213" s="18">
        <v>0.033275</v>
      </c>
      <c r="U213" s="18">
        <v>0.031302</v>
      </c>
      <c r="V213" s="18">
        <v>0.030139</v>
      </c>
      <c r="W213" s="18">
        <v>0.031568</v>
      </c>
      <c r="X213" s="18">
        <v>0.031441</v>
      </c>
      <c r="Y213" s="18">
        <v>0.032223</v>
      </c>
      <c r="Z213" s="18">
        <v>0.034907</v>
      </c>
      <c r="AA213" s="18">
        <v>0.03756</v>
      </c>
      <c r="AB213" s="18">
        <v>0.035926</v>
      </c>
      <c r="AC213" s="18">
        <v>0.03382</v>
      </c>
      <c r="AD213" s="18">
        <v>0.033007</v>
      </c>
      <c r="AE213" s="18">
        <v>0.03378</v>
      </c>
      <c r="AF213" s="18">
        <v>0.034508</v>
      </c>
      <c r="AG213" s="18">
        <v>0.033537</v>
      </c>
      <c r="AH213" s="18">
        <v>0.032902</v>
      </c>
      <c r="AI213" s="18">
        <v>0.031845</v>
      </c>
      <c r="AJ213" s="18">
        <v>0.031215</v>
      </c>
      <c r="AK213" s="18">
        <v>0.029705</v>
      </c>
      <c r="AL213" s="18">
        <v>0.025356</v>
      </c>
      <c r="AM213" s="18">
        <v>0.019437</v>
      </c>
      <c r="AN213" s="18">
        <v>0.014981</v>
      </c>
      <c r="AO213" s="18">
        <v>0.011956</v>
      </c>
      <c r="AP213" s="20">
        <v>0.0</v>
      </c>
      <c r="AQ213" s="20">
        <v>0.0</v>
      </c>
      <c r="AR213" s="20">
        <v>0.0</v>
      </c>
      <c r="AS213" s="20">
        <v>0.0</v>
      </c>
      <c r="AT213" s="2">
        <f t="shared" ref="AT213:AT219" si="26">AVERAGE(L213:AO213)</f>
        <v>0.02924466667</v>
      </c>
      <c r="AU213" s="12">
        <f t="shared" si="17"/>
        <v>0.02924466667</v>
      </c>
      <c r="AV213" s="14"/>
      <c r="AW213" s="15"/>
      <c r="AX213" s="15"/>
    </row>
    <row r="214" ht="15.75" customHeight="1">
      <c r="A214" s="7">
        <v>230831.0</v>
      </c>
      <c r="B214" s="7">
        <v>60.0</v>
      </c>
      <c r="C214" s="7">
        <v>1.0</v>
      </c>
      <c r="D214" s="8" t="s">
        <v>174</v>
      </c>
      <c r="E214" s="7">
        <v>9.0</v>
      </c>
      <c r="F214" s="8" t="s">
        <v>56</v>
      </c>
      <c r="G214" s="16" t="s">
        <v>49</v>
      </c>
      <c r="H214" s="8" t="s">
        <v>50</v>
      </c>
      <c r="I214" s="11" t="s">
        <v>51</v>
      </c>
      <c r="J214" s="8" t="s">
        <v>52</v>
      </c>
      <c r="K214" s="11" t="s">
        <v>53</v>
      </c>
      <c r="L214" s="18">
        <v>0.031354</v>
      </c>
      <c r="M214" s="18">
        <v>0.027066</v>
      </c>
      <c r="N214" s="18">
        <v>0.026376</v>
      </c>
      <c r="O214" s="18">
        <v>0.026832</v>
      </c>
      <c r="P214" s="18">
        <v>0.023093</v>
      </c>
      <c r="Q214" s="18">
        <v>0.019867</v>
      </c>
      <c r="R214" s="18">
        <v>0.02015</v>
      </c>
      <c r="S214" s="18">
        <v>0.020883</v>
      </c>
      <c r="T214" s="18">
        <v>0.022195</v>
      </c>
      <c r="U214" s="18">
        <v>0.024028</v>
      </c>
      <c r="V214" s="18">
        <v>0.026966</v>
      </c>
      <c r="W214" s="18">
        <v>0.032288</v>
      </c>
      <c r="X214" s="18">
        <v>0.038411</v>
      </c>
      <c r="Y214" s="18">
        <v>0.040647</v>
      </c>
      <c r="Z214" s="18">
        <v>0.038071</v>
      </c>
      <c r="AA214" s="18">
        <v>0.034774</v>
      </c>
      <c r="AB214" s="18">
        <v>0.033711</v>
      </c>
      <c r="AC214" s="18">
        <v>0.035147</v>
      </c>
      <c r="AD214" s="18">
        <v>0.035761</v>
      </c>
      <c r="AE214" s="18">
        <v>0.035564</v>
      </c>
      <c r="AF214" s="18">
        <v>0.036794</v>
      </c>
      <c r="AG214" s="18">
        <v>0.036049</v>
      </c>
      <c r="AH214" s="18">
        <v>0.035374</v>
      </c>
      <c r="AI214" s="18">
        <v>0.037081</v>
      </c>
      <c r="AJ214" s="18">
        <v>0.037263</v>
      </c>
      <c r="AK214" s="18">
        <v>0.035667</v>
      </c>
      <c r="AL214" s="18">
        <v>0.034768</v>
      </c>
      <c r="AM214" s="18">
        <v>0.036535</v>
      </c>
      <c r="AN214" s="18">
        <v>0.037255</v>
      </c>
      <c r="AO214" s="18">
        <v>0.034196</v>
      </c>
      <c r="AP214" s="20">
        <v>0.0</v>
      </c>
      <c r="AQ214" s="20">
        <v>0.0</v>
      </c>
      <c r="AR214" s="20">
        <v>0.0</v>
      </c>
      <c r="AS214" s="20">
        <v>0.0</v>
      </c>
      <c r="AT214" s="2">
        <f t="shared" si="26"/>
        <v>0.03180553333</v>
      </c>
      <c r="AU214" s="12">
        <f t="shared" si="17"/>
        <v>0.03180553333</v>
      </c>
      <c r="AV214" s="14"/>
      <c r="AW214" s="15"/>
      <c r="AX214" s="15"/>
    </row>
    <row r="215" ht="15.75" customHeight="1">
      <c r="A215" s="7">
        <v>230831.0</v>
      </c>
      <c r="B215" s="7">
        <v>60.0</v>
      </c>
      <c r="C215" s="7">
        <v>1.0</v>
      </c>
      <c r="D215" s="8" t="s">
        <v>175</v>
      </c>
      <c r="E215" s="7">
        <v>9.0</v>
      </c>
      <c r="F215" s="8" t="s">
        <v>48</v>
      </c>
      <c r="G215" s="16" t="s">
        <v>49</v>
      </c>
      <c r="H215" s="8" t="s">
        <v>50</v>
      </c>
      <c r="I215" s="11" t="s">
        <v>51</v>
      </c>
      <c r="J215" s="8" t="s">
        <v>52</v>
      </c>
      <c r="K215" s="11" t="s">
        <v>53</v>
      </c>
      <c r="L215" s="18">
        <v>0.033812</v>
      </c>
      <c r="M215" s="18">
        <v>0.034071</v>
      </c>
      <c r="N215" s="18">
        <v>0.031486</v>
      </c>
      <c r="O215" s="18">
        <v>0.0273</v>
      </c>
      <c r="P215" s="18">
        <v>0.026878</v>
      </c>
      <c r="Q215" s="18">
        <v>0.028181</v>
      </c>
      <c r="R215" s="18">
        <v>0.031718</v>
      </c>
      <c r="S215" s="18">
        <v>0.034399</v>
      </c>
      <c r="T215" s="18">
        <v>0.034145</v>
      </c>
      <c r="U215" s="18">
        <v>0.035799</v>
      </c>
      <c r="V215" s="18">
        <v>0.036853</v>
      </c>
      <c r="W215" s="18">
        <v>0.03736</v>
      </c>
      <c r="X215" s="18">
        <v>0.038639</v>
      </c>
      <c r="Y215" s="18">
        <v>0.03996</v>
      </c>
      <c r="Z215" s="18">
        <v>0.039699</v>
      </c>
      <c r="AA215" s="18">
        <v>0.040975</v>
      </c>
      <c r="AB215" s="18">
        <v>0.041716</v>
      </c>
      <c r="AC215" s="18">
        <v>0.041098</v>
      </c>
      <c r="AD215" s="18">
        <v>0.040202</v>
      </c>
      <c r="AE215" s="18">
        <v>0.039617</v>
      </c>
      <c r="AF215" s="18">
        <v>0.038617</v>
      </c>
      <c r="AG215" s="18">
        <v>0.03794</v>
      </c>
      <c r="AH215" s="18">
        <v>0.037738</v>
      </c>
      <c r="AI215" s="18">
        <v>0.035279</v>
      </c>
      <c r="AJ215" s="18">
        <v>0.032884</v>
      </c>
      <c r="AK215" s="18">
        <v>0.031742</v>
      </c>
      <c r="AL215" s="18">
        <v>0.03139</v>
      </c>
      <c r="AM215" s="18">
        <v>0.029206</v>
      </c>
      <c r="AN215" s="18">
        <v>0.026914</v>
      </c>
      <c r="AO215" s="18">
        <v>0.027125</v>
      </c>
      <c r="AP215" s="20">
        <v>0.0</v>
      </c>
      <c r="AQ215" s="20">
        <v>0.0</v>
      </c>
      <c r="AR215" s="20">
        <v>0.0</v>
      </c>
      <c r="AS215" s="20">
        <v>0.0</v>
      </c>
      <c r="AT215" s="2">
        <f t="shared" si="26"/>
        <v>0.0347581</v>
      </c>
      <c r="AU215" s="12">
        <f t="shared" si="17"/>
        <v>0.0347581</v>
      </c>
      <c r="AV215" s="14"/>
      <c r="AW215" s="15"/>
      <c r="AX215" s="15"/>
    </row>
    <row r="216" ht="15.75" customHeight="1">
      <c r="A216" s="7">
        <v>231104.0</v>
      </c>
      <c r="B216" s="7">
        <v>66.0</v>
      </c>
      <c r="C216" s="7">
        <v>2.0</v>
      </c>
      <c r="D216" s="8" t="s">
        <v>176</v>
      </c>
      <c r="E216" s="7">
        <v>9.0</v>
      </c>
      <c r="F216" s="8" t="s">
        <v>56</v>
      </c>
      <c r="G216" s="8" t="s">
        <v>49</v>
      </c>
      <c r="H216" s="8" t="s">
        <v>63</v>
      </c>
      <c r="I216" s="11" t="s">
        <v>51</v>
      </c>
      <c r="J216" s="8" t="s">
        <v>52</v>
      </c>
      <c r="K216" s="11" t="s">
        <v>57</v>
      </c>
      <c r="L216" s="18">
        <v>0.023026</v>
      </c>
      <c r="M216" s="18">
        <v>0.02572</v>
      </c>
      <c r="N216" s="18">
        <v>0.025595</v>
      </c>
      <c r="O216" s="18">
        <v>0.021982</v>
      </c>
      <c r="P216" s="18">
        <v>0.017914</v>
      </c>
      <c r="Q216" s="18">
        <v>0.018213</v>
      </c>
      <c r="R216" s="18">
        <v>0.019325</v>
      </c>
      <c r="S216" s="18">
        <v>0.019889</v>
      </c>
      <c r="T216" s="18">
        <v>0.021194</v>
      </c>
      <c r="U216" s="18">
        <v>0.022831</v>
      </c>
      <c r="V216" s="18">
        <v>0.024208</v>
      </c>
      <c r="W216" s="18">
        <v>0.026034</v>
      </c>
      <c r="X216" s="18">
        <v>0.026035</v>
      </c>
      <c r="Y216" s="18">
        <v>0.025504</v>
      </c>
      <c r="Z216" s="18">
        <v>0.027428</v>
      </c>
      <c r="AA216" s="18">
        <v>0.027121</v>
      </c>
      <c r="AB216" s="18">
        <v>0.027449</v>
      </c>
      <c r="AC216" s="18">
        <v>0.029134</v>
      </c>
      <c r="AD216" s="18">
        <v>0.028941</v>
      </c>
      <c r="AE216" s="18">
        <v>0.029382</v>
      </c>
      <c r="AF216" s="18">
        <v>0.029129</v>
      </c>
      <c r="AG216" s="18">
        <v>0.027124</v>
      </c>
      <c r="AH216" s="18">
        <v>0.02488</v>
      </c>
      <c r="AI216" s="18">
        <v>0.024696</v>
      </c>
      <c r="AJ216" s="18">
        <v>0.026175</v>
      </c>
      <c r="AK216" s="18">
        <v>0.027476</v>
      </c>
      <c r="AL216" s="18">
        <v>0.028668</v>
      </c>
      <c r="AM216" s="18">
        <v>0.029092</v>
      </c>
      <c r="AN216" s="18">
        <v>0.028845</v>
      </c>
      <c r="AO216" s="18">
        <v>0.026743</v>
      </c>
      <c r="AP216" s="20">
        <v>0.0</v>
      </c>
      <c r="AQ216" s="20">
        <v>0.0</v>
      </c>
      <c r="AR216" s="20">
        <v>0.0</v>
      </c>
      <c r="AS216" s="20">
        <v>0.0</v>
      </c>
      <c r="AT216" s="2">
        <f t="shared" si="26"/>
        <v>0.0253251</v>
      </c>
      <c r="AU216" s="12">
        <f t="shared" si="17"/>
        <v>0.0253251</v>
      </c>
      <c r="AV216" s="14"/>
      <c r="AW216" s="15"/>
      <c r="AX216" s="15"/>
    </row>
    <row r="217" ht="15.75" customHeight="1">
      <c r="A217" s="7">
        <v>231104.0</v>
      </c>
      <c r="B217" s="7">
        <v>66.0</v>
      </c>
      <c r="C217" s="7">
        <v>2.0</v>
      </c>
      <c r="D217" s="8" t="s">
        <v>177</v>
      </c>
      <c r="E217" s="7">
        <v>9.0</v>
      </c>
      <c r="F217" s="8" t="s">
        <v>56</v>
      </c>
      <c r="G217" s="8" t="s">
        <v>49</v>
      </c>
      <c r="H217" s="8" t="s">
        <v>61</v>
      </c>
      <c r="I217" s="11" t="s">
        <v>51</v>
      </c>
      <c r="J217" s="8" t="s">
        <v>52</v>
      </c>
      <c r="K217" s="11" t="s">
        <v>57</v>
      </c>
      <c r="L217" s="18">
        <v>0.025555</v>
      </c>
      <c r="M217" s="18">
        <v>0.026411</v>
      </c>
      <c r="N217" s="18">
        <v>0.024728</v>
      </c>
      <c r="O217" s="18">
        <v>0.023099</v>
      </c>
      <c r="P217" s="18">
        <v>0.024756</v>
      </c>
      <c r="Q217" s="18">
        <v>0.025302</v>
      </c>
      <c r="R217" s="18">
        <v>0.025349</v>
      </c>
      <c r="S217" s="18">
        <v>0.024886</v>
      </c>
      <c r="T217" s="18">
        <v>0.022823</v>
      </c>
      <c r="U217" s="18">
        <v>0.021756</v>
      </c>
      <c r="V217" s="18">
        <v>0.024609</v>
      </c>
      <c r="W217" s="18">
        <v>0.027427</v>
      </c>
      <c r="X217" s="18">
        <v>0.026937</v>
      </c>
      <c r="Y217" s="18">
        <v>0.027474</v>
      </c>
      <c r="Z217" s="18">
        <v>0.02957</v>
      </c>
      <c r="AA217" s="18">
        <v>0.031783</v>
      </c>
      <c r="AB217" s="18">
        <v>0.032304</v>
      </c>
      <c r="AC217" s="18">
        <v>0.031462</v>
      </c>
      <c r="AD217" s="18">
        <v>0.029154</v>
      </c>
      <c r="AE217" s="18">
        <v>0.02887</v>
      </c>
      <c r="AF217" s="18">
        <v>0.029338</v>
      </c>
      <c r="AG217" s="18">
        <v>0.028988</v>
      </c>
      <c r="AH217" s="18">
        <v>0.027</v>
      </c>
      <c r="AI217" s="18">
        <v>0.025226</v>
      </c>
      <c r="AJ217" s="18">
        <v>0.027182</v>
      </c>
      <c r="AK217" s="18">
        <v>0.028918</v>
      </c>
      <c r="AL217" s="18">
        <v>0.032861</v>
      </c>
      <c r="AM217" s="18">
        <v>0.033911</v>
      </c>
      <c r="AN217" s="18">
        <v>0.030141</v>
      </c>
      <c r="AO217" s="18">
        <v>0.031115</v>
      </c>
      <c r="AP217" s="20">
        <v>0.0</v>
      </c>
      <c r="AQ217" s="20">
        <v>0.0</v>
      </c>
      <c r="AR217" s="20">
        <v>0.0</v>
      </c>
      <c r="AS217" s="20">
        <v>0.0</v>
      </c>
      <c r="AT217" s="2">
        <f t="shared" si="26"/>
        <v>0.02763116667</v>
      </c>
      <c r="AU217" s="12">
        <f t="shared" si="17"/>
        <v>0.02763116667</v>
      </c>
      <c r="AV217" s="14"/>
      <c r="AW217" s="15"/>
      <c r="AX217" s="15"/>
    </row>
    <row r="218" ht="15.75" customHeight="1">
      <c r="A218" s="7">
        <v>231104.0</v>
      </c>
      <c r="B218" s="7">
        <v>66.0</v>
      </c>
      <c r="C218" s="7">
        <v>2.0</v>
      </c>
      <c r="D218" s="8" t="s">
        <v>178</v>
      </c>
      <c r="E218" s="7">
        <v>9.0</v>
      </c>
      <c r="F218" s="8" t="s">
        <v>56</v>
      </c>
      <c r="G218" s="8" t="s">
        <v>49</v>
      </c>
      <c r="H218" s="8" t="s">
        <v>50</v>
      </c>
      <c r="I218" s="11" t="s">
        <v>51</v>
      </c>
      <c r="J218" s="8" t="s">
        <v>52</v>
      </c>
      <c r="K218" s="11" t="s">
        <v>57</v>
      </c>
      <c r="L218" s="18">
        <v>0.026181</v>
      </c>
      <c r="M218" s="18">
        <v>0.0229</v>
      </c>
      <c r="N218" s="18">
        <v>0.021882</v>
      </c>
      <c r="O218" s="18">
        <v>0.022848</v>
      </c>
      <c r="P218" s="18">
        <v>0.021884</v>
      </c>
      <c r="Q218" s="18">
        <v>0.020905</v>
      </c>
      <c r="R218" s="18">
        <v>0.023382</v>
      </c>
      <c r="S218" s="18">
        <v>0.022925</v>
      </c>
      <c r="T218" s="18">
        <v>0.020462</v>
      </c>
      <c r="U218" s="18">
        <v>0.020678</v>
      </c>
      <c r="V218" s="18">
        <v>0.021461</v>
      </c>
      <c r="W218" s="18">
        <v>0.022798</v>
      </c>
      <c r="X218" s="18">
        <v>0.024274</v>
      </c>
      <c r="Y218" s="18">
        <v>0.02414</v>
      </c>
      <c r="Z218" s="18">
        <v>0.023942</v>
      </c>
      <c r="AA218" s="18">
        <v>0.025065</v>
      </c>
      <c r="AB218" s="18">
        <v>0.026134</v>
      </c>
      <c r="AC218" s="18">
        <v>0.027901</v>
      </c>
      <c r="AD218" s="18">
        <v>0.028414</v>
      </c>
      <c r="AE218" s="18">
        <v>0.029603</v>
      </c>
      <c r="AF218" s="18">
        <v>0.031468</v>
      </c>
      <c r="AG218" s="18">
        <v>0.032876</v>
      </c>
      <c r="AH218" s="18">
        <v>0.034673</v>
      </c>
      <c r="AI218" s="18">
        <v>0.036075</v>
      </c>
      <c r="AJ218" s="18">
        <v>0.035763</v>
      </c>
      <c r="AK218" s="18">
        <v>0.03615</v>
      </c>
      <c r="AL218" s="18">
        <v>0.036253</v>
      </c>
      <c r="AM218" s="18">
        <v>0.02566</v>
      </c>
      <c r="AN218" s="18">
        <v>0.005332</v>
      </c>
      <c r="AO218" s="18">
        <v>0.015707</v>
      </c>
      <c r="AP218" s="20">
        <v>0.0</v>
      </c>
      <c r="AQ218" s="20">
        <v>0.0</v>
      </c>
      <c r="AR218" s="20">
        <v>0.0</v>
      </c>
      <c r="AS218" s="20">
        <v>0.0</v>
      </c>
      <c r="AT218" s="2">
        <f t="shared" si="26"/>
        <v>0.0255912</v>
      </c>
      <c r="AU218" s="12">
        <f t="shared" si="17"/>
        <v>0.0255912</v>
      </c>
      <c r="AV218" s="14"/>
      <c r="AW218" s="15"/>
      <c r="AX218" s="15"/>
    </row>
    <row r="219" ht="15.75" customHeight="1">
      <c r="A219" s="7">
        <v>231108.0</v>
      </c>
      <c r="B219" s="7">
        <v>66.0</v>
      </c>
      <c r="C219" s="7">
        <v>2.0</v>
      </c>
      <c r="D219" s="8" t="s">
        <v>179</v>
      </c>
      <c r="E219" s="7">
        <v>9.0</v>
      </c>
      <c r="F219" s="8" t="s">
        <v>48</v>
      </c>
      <c r="G219" s="8" t="s">
        <v>89</v>
      </c>
      <c r="H219" s="8" t="s">
        <v>61</v>
      </c>
      <c r="I219" s="11" t="s">
        <v>51</v>
      </c>
      <c r="J219" s="8" t="s">
        <v>52</v>
      </c>
      <c r="K219" s="11" t="s">
        <v>59</v>
      </c>
      <c r="L219" s="18">
        <v>0.02252</v>
      </c>
      <c r="M219" s="18">
        <v>0.02106</v>
      </c>
      <c r="N219" s="18">
        <v>0.022705</v>
      </c>
      <c r="O219" s="18">
        <v>0.025368</v>
      </c>
      <c r="P219" s="18">
        <v>0.025414</v>
      </c>
      <c r="Q219" s="18">
        <v>0.026163</v>
      </c>
      <c r="R219" s="18">
        <v>0.028427</v>
      </c>
      <c r="S219" s="18">
        <v>0.029556</v>
      </c>
      <c r="T219" s="18">
        <v>0.029874</v>
      </c>
      <c r="U219" s="18">
        <v>0.030117</v>
      </c>
      <c r="V219" s="18">
        <v>0.028349</v>
      </c>
      <c r="W219" s="18">
        <v>0.028051</v>
      </c>
      <c r="X219" s="18">
        <v>0.029938</v>
      </c>
      <c r="Y219" s="18">
        <v>0.031048</v>
      </c>
      <c r="Z219" s="18">
        <v>0.032342</v>
      </c>
      <c r="AA219" s="18">
        <v>0.032608</v>
      </c>
      <c r="AB219" s="18">
        <v>0.034364</v>
      </c>
      <c r="AC219" s="18">
        <v>0.035546</v>
      </c>
      <c r="AD219" s="18">
        <v>0.034876</v>
      </c>
      <c r="AE219" s="18">
        <v>0.035046</v>
      </c>
      <c r="AF219" s="18">
        <v>0.034584</v>
      </c>
      <c r="AG219" s="18">
        <v>0.033806</v>
      </c>
      <c r="AH219" s="18">
        <v>0.035128</v>
      </c>
      <c r="AI219" s="18">
        <v>0.035595</v>
      </c>
      <c r="AJ219" s="18">
        <v>0.034471</v>
      </c>
      <c r="AK219" s="18">
        <v>0.036586</v>
      </c>
      <c r="AL219" s="18">
        <v>0.030017</v>
      </c>
      <c r="AM219" s="18">
        <v>0.020134</v>
      </c>
      <c r="AN219" s="18">
        <v>0.01654</v>
      </c>
      <c r="AO219" s="18">
        <v>0.033627</v>
      </c>
      <c r="AP219" s="20">
        <v>0.0</v>
      </c>
      <c r="AQ219" s="20">
        <v>0.0</v>
      </c>
      <c r="AR219" s="20">
        <v>0.0</v>
      </c>
      <c r="AS219" s="20">
        <v>0.0</v>
      </c>
      <c r="AT219" s="2">
        <f t="shared" si="26"/>
        <v>0.02979533333</v>
      </c>
      <c r="AU219" s="12">
        <f t="shared" si="17"/>
        <v>0.02979533333</v>
      </c>
      <c r="AV219" s="14"/>
      <c r="AW219" s="15"/>
      <c r="AX219" s="15"/>
    </row>
    <row r="220" ht="15.75" customHeight="1">
      <c r="A220" s="7">
        <v>231108.0</v>
      </c>
      <c r="B220" s="7">
        <v>66.0</v>
      </c>
      <c r="C220" s="7">
        <v>2.0</v>
      </c>
      <c r="D220" s="8" t="s">
        <v>180</v>
      </c>
      <c r="E220" s="7">
        <v>9.0</v>
      </c>
      <c r="F220" s="8" t="s">
        <v>48</v>
      </c>
      <c r="G220" s="8" t="s">
        <v>89</v>
      </c>
      <c r="H220" s="8" t="s">
        <v>65</v>
      </c>
      <c r="I220" s="11" t="s">
        <v>51</v>
      </c>
      <c r="J220" s="8" t="s">
        <v>52</v>
      </c>
      <c r="K220" s="11" t="s">
        <v>59</v>
      </c>
      <c r="L220" s="18">
        <v>0.018135</v>
      </c>
      <c r="M220" s="18">
        <v>0.019448</v>
      </c>
      <c r="N220" s="18">
        <v>0.021754</v>
      </c>
      <c r="O220" s="18">
        <v>0.022958</v>
      </c>
      <c r="P220" s="18">
        <v>0.021616</v>
      </c>
      <c r="Q220" s="18">
        <v>0.020477</v>
      </c>
      <c r="R220" s="18">
        <v>0.021093</v>
      </c>
      <c r="S220" s="18">
        <v>0.023921</v>
      </c>
      <c r="T220" s="18">
        <v>0.027581</v>
      </c>
      <c r="U220" s="18">
        <v>0.028141</v>
      </c>
      <c r="V220" s="18">
        <v>0.028621</v>
      </c>
      <c r="W220" s="18">
        <v>0.031658</v>
      </c>
      <c r="X220" s="18">
        <v>0.033064</v>
      </c>
      <c r="Y220" s="18">
        <v>0.032164</v>
      </c>
      <c r="Z220" s="18">
        <v>0.030968</v>
      </c>
      <c r="AA220" s="18">
        <v>0.029687</v>
      </c>
      <c r="AB220" s="18">
        <v>0.029141</v>
      </c>
      <c r="AC220" s="18">
        <v>0.028345</v>
      </c>
      <c r="AD220" s="18">
        <v>0.026817</v>
      </c>
      <c r="AE220" s="18">
        <v>0.02739</v>
      </c>
      <c r="AF220" s="18">
        <v>0.028015</v>
      </c>
      <c r="AG220" s="18">
        <v>0.026637</v>
      </c>
      <c r="AH220" s="18">
        <v>0.024749</v>
      </c>
      <c r="AI220" s="18">
        <v>0.024277</v>
      </c>
      <c r="AJ220" s="18">
        <v>0.025276</v>
      </c>
      <c r="AK220" s="18">
        <v>0.027987</v>
      </c>
      <c r="AL220" s="18">
        <v>0.026058</v>
      </c>
      <c r="AM220" s="18">
        <v>0.018894</v>
      </c>
      <c r="AN220" s="18">
        <v>7.15E-4</v>
      </c>
      <c r="AO220" s="2">
        <v>0.0</v>
      </c>
      <c r="AP220" s="20">
        <v>0.0</v>
      </c>
      <c r="AQ220" s="20">
        <v>0.0</v>
      </c>
      <c r="AR220" s="20">
        <v>0.0</v>
      </c>
      <c r="AS220" s="20">
        <v>0.0</v>
      </c>
      <c r="AT220" s="2">
        <f t="shared" ref="AT220:AT222" si="27">AVERAGE(L220:AN220)</f>
        <v>0.02502024138</v>
      </c>
      <c r="AU220" s="12">
        <f t="shared" si="17"/>
        <v>0.02502024138</v>
      </c>
      <c r="AV220" s="14"/>
      <c r="AW220" s="15"/>
      <c r="AX220" s="15"/>
    </row>
    <row r="221" ht="15.75" customHeight="1">
      <c r="A221" s="7">
        <v>231108.0</v>
      </c>
      <c r="B221" s="7">
        <v>66.0</v>
      </c>
      <c r="C221" s="7">
        <v>2.0</v>
      </c>
      <c r="D221" s="8" t="s">
        <v>181</v>
      </c>
      <c r="E221" s="7">
        <v>9.0</v>
      </c>
      <c r="F221" s="8" t="s">
        <v>48</v>
      </c>
      <c r="G221" s="8" t="s">
        <v>89</v>
      </c>
      <c r="H221" s="8" t="s">
        <v>63</v>
      </c>
      <c r="I221" s="11" t="s">
        <v>51</v>
      </c>
      <c r="J221" s="8" t="s">
        <v>52</v>
      </c>
      <c r="K221" s="11" t="s">
        <v>59</v>
      </c>
      <c r="L221" s="18">
        <v>0.017386</v>
      </c>
      <c r="M221" s="18">
        <v>0.019082</v>
      </c>
      <c r="N221" s="18">
        <v>0.021896</v>
      </c>
      <c r="O221" s="18">
        <v>0.025718</v>
      </c>
      <c r="P221" s="18">
        <v>0.029156</v>
      </c>
      <c r="Q221" s="18">
        <v>0.031208</v>
      </c>
      <c r="R221" s="18">
        <v>0.02909</v>
      </c>
      <c r="S221" s="18">
        <v>0.027194</v>
      </c>
      <c r="T221" s="18">
        <v>0.028468</v>
      </c>
      <c r="U221" s="18">
        <v>0.028968</v>
      </c>
      <c r="V221" s="18">
        <v>0.027589</v>
      </c>
      <c r="W221" s="18">
        <v>0.027376</v>
      </c>
      <c r="X221" s="18">
        <v>0.030197</v>
      </c>
      <c r="Y221" s="18">
        <v>0.033027</v>
      </c>
      <c r="Z221" s="18">
        <v>0.031966</v>
      </c>
      <c r="AA221" s="18">
        <v>0.030782</v>
      </c>
      <c r="AB221" s="18">
        <v>0.032082</v>
      </c>
      <c r="AC221" s="18">
        <v>0.033183</v>
      </c>
      <c r="AD221" s="18">
        <v>0.032964</v>
      </c>
      <c r="AE221" s="18">
        <v>0.032525</v>
      </c>
      <c r="AF221" s="18">
        <v>0.033722</v>
      </c>
      <c r="AG221" s="18">
        <v>0.035589</v>
      </c>
      <c r="AH221" s="18">
        <v>0.038058</v>
      </c>
      <c r="AI221" s="18">
        <v>0.040472</v>
      </c>
      <c r="AJ221" s="18">
        <v>0.041676</v>
      </c>
      <c r="AK221" s="18">
        <v>0.031171</v>
      </c>
      <c r="AL221" s="18">
        <v>0.019841</v>
      </c>
      <c r="AM221" s="18">
        <v>0.031548</v>
      </c>
      <c r="AN221" s="18">
        <v>0.006254</v>
      </c>
      <c r="AO221" s="2">
        <v>0.0</v>
      </c>
      <c r="AP221" s="20">
        <v>0.0</v>
      </c>
      <c r="AQ221" s="20">
        <v>0.0</v>
      </c>
      <c r="AR221" s="20">
        <v>0.0</v>
      </c>
      <c r="AS221" s="20">
        <v>0.0</v>
      </c>
      <c r="AT221" s="2">
        <f t="shared" si="27"/>
        <v>0.02924786207</v>
      </c>
      <c r="AU221" s="12">
        <f t="shared" si="17"/>
        <v>0.02924786207</v>
      </c>
      <c r="AV221" s="14"/>
      <c r="AW221" s="15"/>
      <c r="AX221" s="15"/>
    </row>
    <row r="222" ht="15.75" customHeight="1">
      <c r="A222" s="7">
        <v>231108.0</v>
      </c>
      <c r="B222" s="7">
        <v>66.0</v>
      </c>
      <c r="C222" s="7">
        <v>2.0</v>
      </c>
      <c r="D222" s="8" t="s">
        <v>182</v>
      </c>
      <c r="E222" s="7">
        <v>9.0</v>
      </c>
      <c r="F222" s="8" t="s">
        <v>48</v>
      </c>
      <c r="G222" s="8" t="s">
        <v>89</v>
      </c>
      <c r="H222" s="8" t="s">
        <v>50</v>
      </c>
      <c r="I222" s="11" t="s">
        <v>51</v>
      </c>
      <c r="J222" s="8" t="s">
        <v>52</v>
      </c>
      <c r="K222" s="11" t="s">
        <v>59</v>
      </c>
      <c r="L222" s="18">
        <v>0.029872</v>
      </c>
      <c r="M222" s="18">
        <v>0.023642</v>
      </c>
      <c r="N222" s="18">
        <v>0.021372</v>
      </c>
      <c r="O222" s="18">
        <v>0.021362</v>
      </c>
      <c r="P222" s="18">
        <v>0.021817</v>
      </c>
      <c r="Q222" s="18">
        <v>0.023678</v>
      </c>
      <c r="R222" s="18">
        <v>0.024952</v>
      </c>
      <c r="S222" s="18">
        <v>0.024235</v>
      </c>
      <c r="T222" s="18">
        <v>0.024864</v>
      </c>
      <c r="U222" s="18">
        <v>0.025484</v>
      </c>
      <c r="V222" s="18">
        <v>0.025725</v>
      </c>
      <c r="W222" s="18">
        <v>0.026427</v>
      </c>
      <c r="X222" s="18">
        <v>0.026852</v>
      </c>
      <c r="Y222" s="18">
        <v>0.026719</v>
      </c>
      <c r="Z222" s="18">
        <v>0.027651</v>
      </c>
      <c r="AA222" s="18">
        <v>0.027419</v>
      </c>
      <c r="AB222" s="18">
        <v>0.026861</v>
      </c>
      <c r="AC222" s="18">
        <v>0.02975</v>
      </c>
      <c r="AD222" s="18">
        <v>0.031893</v>
      </c>
      <c r="AE222" s="18">
        <v>0.033059</v>
      </c>
      <c r="AF222" s="18">
        <v>0.033021</v>
      </c>
      <c r="AG222" s="18">
        <v>0.033775</v>
      </c>
      <c r="AH222" s="18">
        <v>0.036878</v>
      </c>
      <c r="AI222" s="18">
        <v>0.038078</v>
      </c>
      <c r="AJ222" s="18">
        <v>0.037329</v>
      </c>
      <c r="AK222" s="18">
        <v>0.031557</v>
      </c>
      <c r="AL222" s="18">
        <v>0.022227</v>
      </c>
      <c r="AM222" s="18">
        <v>0.016421</v>
      </c>
      <c r="AN222" s="18">
        <v>0.019161</v>
      </c>
      <c r="AO222" s="18">
        <v>0.0</v>
      </c>
      <c r="AP222" s="20">
        <v>0.0</v>
      </c>
      <c r="AQ222" s="20">
        <v>0.0</v>
      </c>
      <c r="AR222" s="20">
        <v>0.0</v>
      </c>
      <c r="AS222" s="20">
        <v>0.0</v>
      </c>
      <c r="AT222" s="2">
        <f t="shared" si="27"/>
        <v>0.02731313793</v>
      </c>
      <c r="AU222" s="12">
        <f t="shared" si="17"/>
        <v>0.02731313793</v>
      </c>
      <c r="AV222" s="14"/>
      <c r="AW222" s="15"/>
      <c r="AX222" s="15"/>
    </row>
    <row r="223" ht="15.75" customHeight="1">
      <c r="A223" s="7">
        <v>231108.0</v>
      </c>
      <c r="B223" s="7">
        <v>66.0</v>
      </c>
      <c r="C223" s="7">
        <v>2.0</v>
      </c>
      <c r="D223" s="8" t="s">
        <v>183</v>
      </c>
      <c r="E223" s="7">
        <v>9.0</v>
      </c>
      <c r="F223" s="8" t="s">
        <v>48</v>
      </c>
      <c r="G223" s="8" t="s">
        <v>85</v>
      </c>
      <c r="H223" s="8" t="s">
        <v>63</v>
      </c>
      <c r="I223" s="11" t="s">
        <v>51</v>
      </c>
      <c r="J223" s="8" t="s">
        <v>52</v>
      </c>
      <c r="K223" s="11" t="s">
        <v>59</v>
      </c>
      <c r="L223" s="18">
        <v>0.031657</v>
      </c>
      <c r="M223" s="18">
        <v>0.027825</v>
      </c>
      <c r="N223" s="18">
        <v>0.023672</v>
      </c>
      <c r="O223" s="18">
        <v>0.022826</v>
      </c>
      <c r="P223" s="18">
        <v>0.026092</v>
      </c>
      <c r="Q223" s="18">
        <v>0.024617</v>
      </c>
      <c r="R223" s="18">
        <v>0.021152</v>
      </c>
      <c r="S223" s="18">
        <v>0.026436</v>
      </c>
      <c r="T223" s="18">
        <v>0.029988</v>
      </c>
      <c r="U223" s="18">
        <v>0.0314</v>
      </c>
      <c r="V223" s="18">
        <v>0.032227</v>
      </c>
      <c r="W223" s="18">
        <v>0.031264</v>
      </c>
      <c r="X223" s="18">
        <v>0.030361</v>
      </c>
      <c r="Y223" s="18">
        <v>0.031148</v>
      </c>
      <c r="Z223" s="18">
        <v>0.032107</v>
      </c>
      <c r="AA223" s="18">
        <v>0.032541</v>
      </c>
      <c r="AB223" s="18">
        <v>0.03241</v>
      </c>
      <c r="AC223" s="18">
        <v>0.033097</v>
      </c>
      <c r="AD223" s="18">
        <v>0.033031</v>
      </c>
      <c r="AE223" s="18">
        <v>0.033698</v>
      </c>
      <c r="AF223" s="18">
        <v>0.035962</v>
      </c>
      <c r="AG223" s="18">
        <v>0.036536</v>
      </c>
      <c r="AH223" s="18">
        <v>0.035865</v>
      </c>
      <c r="AI223" s="18">
        <v>0.034592</v>
      </c>
      <c r="AJ223" s="18">
        <v>0.031002</v>
      </c>
      <c r="AK223" s="18">
        <v>0.023529</v>
      </c>
      <c r="AL223" s="18">
        <v>0.015292</v>
      </c>
      <c r="AM223" s="18">
        <v>0.011932</v>
      </c>
      <c r="AN223" s="2">
        <v>0.0</v>
      </c>
      <c r="AO223" s="2">
        <v>0.0</v>
      </c>
      <c r="AP223" s="20">
        <v>0.0</v>
      </c>
      <c r="AQ223" s="20">
        <v>0.0</v>
      </c>
      <c r="AR223" s="20">
        <v>0.0</v>
      </c>
      <c r="AS223" s="20">
        <v>0.0</v>
      </c>
      <c r="AT223" s="2">
        <f t="shared" ref="AT223:AT224" si="28">AVERAGE(L223:AM223)</f>
        <v>0.02900925</v>
      </c>
      <c r="AU223" s="12">
        <f t="shared" si="17"/>
        <v>0.02900925</v>
      </c>
      <c r="AV223" s="14"/>
      <c r="AW223" s="15"/>
      <c r="AX223" s="15"/>
    </row>
    <row r="224" ht="15.75" customHeight="1">
      <c r="A224" s="7">
        <v>231108.0</v>
      </c>
      <c r="B224" s="7">
        <v>66.0</v>
      </c>
      <c r="C224" s="7">
        <v>2.0</v>
      </c>
      <c r="D224" s="8" t="s">
        <v>184</v>
      </c>
      <c r="E224" s="7">
        <v>9.0</v>
      </c>
      <c r="F224" s="8" t="s">
        <v>48</v>
      </c>
      <c r="G224" s="8" t="s">
        <v>85</v>
      </c>
      <c r="H224" s="8" t="s">
        <v>61</v>
      </c>
      <c r="I224" s="8" t="s">
        <v>51</v>
      </c>
      <c r="J224" s="8" t="s">
        <v>52</v>
      </c>
      <c r="K224" s="11" t="s">
        <v>59</v>
      </c>
      <c r="L224" s="18">
        <v>0.022456</v>
      </c>
      <c r="M224" s="18">
        <v>0.017352</v>
      </c>
      <c r="N224" s="18">
        <v>0.019043</v>
      </c>
      <c r="O224" s="18">
        <v>0.022767</v>
      </c>
      <c r="P224" s="18">
        <v>0.023693</v>
      </c>
      <c r="Q224" s="18">
        <v>0.02511</v>
      </c>
      <c r="R224" s="18">
        <v>0.026496</v>
      </c>
      <c r="S224" s="18">
        <v>0.027186</v>
      </c>
      <c r="T224" s="18">
        <v>0.027675</v>
      </c>
      <c r="U224" s="18">
        <v>0.025815</v>
      </c>
      <c r="V224" s="18">
        <v>0.023745</v>
      </c>
      <c r="W224" s="18">
        <v>0.025999</v>
      </c>
      <c r="X224" s="18">
        <v>0.026564</v>
      </c>
      <c r="Y224" s="18">
        <v>0.028073</v>
      </c>
      <c r="Z224" s="18">
        <v>0.031713</v>
      </c>
      <c r="AA224" s="18">
        <v>0.033688</v>
      </c>
      <c r="AB224" s="18">
        <v>0.034809</v>
      </c>
      <c r="AC224" s="18">
        <v>0.035026</v>
      </c>
      <c r="AD224" s="18">
        <v>0.034613</v>
      </c>
      <c r="AE224" s="18">
        <v>0.035198</v>
      </c>
      <c r="AF224" s="18">
        <v>0.036952</v>
      </c>
      <c r="AG224" s="18">
        <v>0.038469</v>
      </c>
      <c r="AH224" s="18">
        <v>0.039706</v>
      </c>
      <c r="AI224" s="18">
        <v>0.038347</v>
      </c>
      <c r="AJ224" s="18">
        <v>0.034432</v>
      </c>
      <c r="AK224" s="18">
        <v>0.028481</v>
      </c>
      <c r="AL224" s="18">
        <v>0.022411</v>
      </c>
      <c r="AM224" s="18">
        <v>0.026368</v>
      </c>
      <c r="AN224" s="2">
        <v>0.0</v>
      </c>
      <c r="AO224" s="2">
        <v>0.0</v>
      </c>
      <c r="AP224" s="20">
        <v>0.0</v>
      </c>
      <c r="AQ224" s="20">
        <v>0.0</v>
      </c>
      <c r="AR224" s="20">
        <v>0.0</v>
      </c>
      <c r="AS224" s="20">
        <v>0.0</v>
      </c>
      <c r="AT224" s="2">
        <f t="shared" si="28"/>
        <v>0.02900667857</v>
      </c>
      <c r="AU224" s="12">
        <f t="shared" si="17"/>
        <v>0.02900667857</v>
      </c>
      <c r="AV224" s="14"/>
      <c r="AW224" s="15"/>
      <c r="AX224" s="15"/>
    </row>
    <row r="225" ht="15.75" customHeight="1">
      <c r="A225" s="22">
        <v>240830.0</v>
      </c>
      <c r="B225" s="22">
        <v>95.0</v>
      </c>
      <c r="C225" s="22">
        <v>3.0</v>
      </c>
      <c r="D225" s="22" t="s">
        <v>186</v>
      </c>
      <c r="E225" s="22">
        <v>9.0</v>
      </c>
      <c r="F225" s="22" t="s">
        <v>56</v>
      </c>
      <c r="G225" s="22" t="s">
        <v>49</v>
      </c>
      <c r="H225" s="22" t="s">
        <v>65</v>
      </c>
      <c r="I225" s="22" t="s">
        <v>146</v>
      </c>
      <c r="J225" s="22" t="s">
        <v>52</v>
      </c>
      <c r="K225" s="22" t="s">
        <v>70</v>
      </c>
      <c r="L225" s="12">
        <v>0.0196983</v>
      </c>
      <c r="M225" s="12">
        <v>0.0212472</v>
      </c>
      <c r="N225" s="12">
        <v>0.023492</v>
      </c>
      <c r="O225" s="12">
        <v>0.0243986</v>
      </c>
      <c r="P225" s="12">
        <v>0.0226833</v>
      </c>
      <c r="Q225" s="12">
        <v>0.0213021</v>
      </c>
      <c r="R225" s="12">
        <v>0.0222089</v>
      </c>
      <c r="S225" s="12">
        <v>0.0226512</v>
      </c>
      <c r="T225" s="12">
        <v>0.0212417</v>
      </c>
      <c r="U225" s="12">
        <v>0.0174893</v>
      </c>
      <c r="V225" s="12">
        <v>0.0134435</v>
      </c>
      <c r="W225" s="12">
        <v>0.0113779</v>
      </c>
      <c r="X225" s="12">
        <v>0.010694</v>
      </c>
      <c r="Y225" s="12">
        <v>0.0109001</v>
      </c>
      <c r="Z225" s="12">
        <v>0.010409</v>
      </c>
      <c r="AA225" s="12">
        <v>0.0089988</v>
      </c>
      <c r="AB225" s="12">
        <v>0.0074188</v>
      </c>
      <c r="AC225" s="12">
        <v>0.004912</v>
      </c>
      <c r="AD225" s="12">
        <v>0.0022402</v>
      </c>
      <c r="AE225" s="12">
        <v>6.599E-4</v>
      </c>
      <c r="AF225" s="12">
        <v>8.75E-5</v>
      </c>
      <c r="AG225" s="12">
        <v>8.74E-5</v>
      </c>
      <c r="AH225" s="12">
        <v>0.0</v>
      </c>
      <c r="AI225" s="12">
        <v>0.0</v>
      </c>
      <c r="AJ225" s="12">
        <v>0.0</v>
      </c>
      <c r="AK225" s="12">
        <v>2.655E-4</v>
      </c>
      <c r="AL225" s="12">
        <v>2.715E-4</v>
      </c>
      <c r="AM225" s="12">
        <v>0.0</v>
      </c>
      <c r="AN225" s="12">
        <v>0.0</v>
      </c>
      <c r="AO225" s="13">
        <v>0.0</v>
      </c>
      <c r="AP225" s="13">
        <v>0.0</v>
      </c>
      <c r="AQ225" s="13">
        <v>0.0</v>
      </c>
      <c r="AR225" s="13">
        <v>0.0</v>
      </c>
      <c r="AS225" s="12">
        <v>0.0</v>
      </c>
      <c r="AT225" s="12"/>
      <c r="AU225" s="12"/>
      <c r="AV225" s="15"/>
      <c r="AW225" s="15"/>
    </row>
    <row r="226" ht="15.75" customHeight="1">
      <c r="A226" s="22">
        <v>240830.0</v>
      </c>
      <c r="B226" s="22">
        <v>95.0</v>
      </c>
      <c r="C226" s="22">
        <v>3.0</v>
      </c>
      <c r="D226" s="22" t="s">
        <v>187</v>
      </c>
      <c r="E226" s="22">
        <v>9.0</v>
      </c>
      <c r="F226" s="22" t="s">
        <v>56</v>
      </c>
      <c r="G226" s="22" t="s">
        <v>49</v>
      </c>
      <c r="H226" s="22" t="s">
        <v>61</v>
      </c>
      <c r="I226" s="22" t="s">
        <v>146</v>
      </c>
      <c r="J226" s="22" t="s">
        <v>52</v>
      </c>
      <c r="K226" s="22" t="s">
        <v>70</v>
      </c>
      <c r="L226" s="12">
        <v>0.0187661</v>
      </c>
      <c r="M226" s="12">
        <v>0.0245935</v>
      </c>
      <c r="N226" s="12">
        <v>0.0266437</v>
      </c>
      <c r="O226" s="12">
        <v>0.0256629</v>
      </c>
      <c r="P226" s="12">
        <v>0.0252734</v>
      </c>
      <c r="Q226" s="12">
        <v>0.02356</v>
      </c>
      <c r="R226" s="12">
        <v>0.0216131</v>
      </c>
      <c r="S226" s="12">
        <v>0.0240809</v>
      </c>
      <c r="T226" s="12">
        <v>0.0259699</v>
      </c>
      <c r="U226" s="12">
        <v>0.0242521</v>
      </c>
      <c r="V226" s="12">
        <v>0.0227205</v>
      </c>
      <c r="W226" s="12">
        <v>0.0239703</v>
      </c>
      <c r="X226" s="12">
        <v>0.0240304</v>
      </c>
      <c r="Y226" s="12">
        <v>0.022798</v>
      </c>
      <c r="Z226" s="12">
        <v>0.0232671</v>
      </c>
      <c r="AA226" s="12">
        <v>0.0210387</v>
      </c>
      <c r="AB226" s="12">
        <v>0.0149314</v>
      </c>
      <c r="AC226" s="12">
        <v>0.009425</v>
      </c>
      <c r="AD226" s="12">
        <v>0.0051768</v>
      </c>
      <c r="AE226" s="12">
        <v>0.0020959</v>
      </c>
      <c r="AF226" s="12">
        <v>0.001307</v>
      </c>
      <c r="AG226" s="12">
        <v>4.846E-4</v>
      </c>
      <c r="AH226" s="12">
        <v>0.0</v>
      </c>
      <c r="AI226" s="12">
        <v>0.0</v>
      </c>
      <c r="AJ226" s="12">
        <v>0.0</v>
      </c>
      <c r="AK226" s="12">
        <v>0.0</v>
      </c>
      <c r="AL226" s="12">
        <v>0.0</v>
      </c>
      <c r="AM226" s="12">
        <v>0.0</v>
      </c>
      <c r="AN226" s="12">
        <v>0.0</v>
      </c>
      <c r="AO226" s="13">
        <v>0.0</v>
      </c>
      <c r="AP226" s="13">
        <v>0.0</v>
      </c>
      <c r="AQ226" s="13">
        <v>0.0</v>
      </c>
      <c r="AR226" s="13">
        <v>0.0</v>
      </c>
      <c r="AS226" s="12">
        <v>0.0</v>
      </c>
      <c r="AT226" s="12"/>
      <c r="AU226" s="12"/>
      <c r="AV226" s="15"/>
      <c r="AW226" s="15"/>
    </row>
    <row r="227" ht="15.75" customHeight="1">
      <c r="A227" s="22">
        <v>240830.0</v>
      </c>
      <c r="B227" s="22">
        <v>95.0</v>
      </c>
      <c r="C227" s="22">
        <v>3.0</v>
      </c>
      <c r="D227" s="22" t="s">
        <v>188</v>
      </c>
      <c r="E227" s="22">
        <v>9.0</v>
      </c>
      <c r="F227" s="22" t="s">
        <v>56</v>
      </c>
      <c r="G227" s="22" t="s">
        <v>49</v>
      </c>
      <c r="H227" s="22" t="s">
        <v>50</v>
      </c>
      <c r="I227" s="22" t="s">
        <v>146</v>
      </c>
      <c r="J227" s="22" t="s">
        <v>52</v>
      </c>
      <c r="K227" s="22" t="s">
        <v>70</v>
      </c>
      <c r="L227" s="12">
        <v>0.0</v>
      </c>
      <c r="M227" s="12">
        <v>2.858E-4</v>
      </c>
      <c r="N227" s="12">
        <v>0.001122</v>
      </c>
      <c r="O227" s="12">
        <v>0.0035455</v>
      </c>
      <c r="P227" s="12">
        <v>0.0082813</v>
      </c>
      <c r="Q227" s="12">
        <v>0.0150033</v>
      </c>
      <c r="R227" s="12">
        <v>0.0196461</v>
      </c>
      <c r="S227" s="12">
        <v>0.0220508</v>
      </c>
      <c r="T227" s="12">
        <v>0.0244053</v>
      </c>
      <c r="U227" s="12">
        <v>0.0254272</v>
      </c>
      <c r="V227" s="12">
        <v>0.0270907</v>
      </c>
      <c r="W227" s="12">
        <v>0.0284888</v>
      </c>
      <c r="X227" s="12">
        <v>0.0280804</v>
      </c>
      <c r="Y227" s="12">
        <v>0.0266055</v>
      </c>
      <c r="Z227" s="12">
        <v>0.0253448</v>
      </c>
      <c r="AA227" s="12">
        <v>0.0243437</v>
      </c>
      <c r="AB227" s="12">
        <v>0.0231754</v>
      </c>
      <c r="AC227" s="12">
        <v>0.0251358</v>
      </c>
      <c r="AD227" s="12">
        <v>0.0230027</v>
      </c>
      <c r="AE227" s="12">
        <v>0.0174428</v>
      </c>
      <c r="AF227" s="12">
        <v>0.0116161</v>
      </c>
      <c r="AG227" s="12">
        <v>0.0053202</v>
      </c>
      <c r="AH227" s="12">
        <v>0.0019704</v>
      </c>
      <c r="AI227" s="12">
        <v>3.922E-4</v>
      </c>
      <c r="AJ227" s="12">
        <v>0.0</v>
      </c>
      <c r="AK227" s="12">
        <v>0.0</v>
      </c>
      <c r="AL227" s="12">
        <v>0.0</v>
      </c>
      <c r="AM227" s="12">
        <v>0.0</v>
      </c>
      <c r="AN227" s="12">
        <v>0.0</v>
      </c>
      <c r="AO227" s="13">
        <v>0.0</v>
      </c>
      <c r="AP227" s="13">
        <v>0.0</v>
      </c>
      <c r="AQ227" s="13">
        <v>0.0</v>
      </c>
      <c r="AR227" s="13">
        <v>0.0</v>
      </c>
      <c r="AS227" s="12">
        <v>0.0</v>
      </c>
      <c r="AT227" s="12"/>
      <c r="AU227" s="12"/>
      <c r="AV227" s="15"/>
      <c r="AW227" s="15"/>
    </row>
    <row r="228" ht="15.75" customHeight="1">
      <c r="A228" s="22">
        <v>240830.0</v>
      </c>
      <c r="B228" s="22">
        <v>95.0</v>
      </c>
      <c r="C228" s="22">
        <v>3.0</v>
      </c>
      <c r="D228" s="22" t="s">
        <v>189</v>
      </c>
      <c r="E228" s="22">
        <v>9.0</v>
      </c>
      <c r="F228" s="22" t="s">
        <v>56</v>
      </c>
      <c r="G228" s="22" t="s">
        <v>49</v>
      </c>
      <c r="H228" s="22" t="s">
        <v>63</v>
      </c>
      <c r="I228" s="22" t="s">
        <v>146</v>
      </c>
      <c r="J228" s="22" t="s">
        <v>52</v>
      </c>
      <c r="K228" s="22" t="s">
        <v>70</v>
      </c>
      <c r="L228" s="12">
        <v>0.0</v>
      </c>
      <c r="M228" s="12">
        <v>0.0</v>
      </c>
      <c r="N228" s="12">
        <v>4.55E-5</v>
      </c>
      <c r="O228" s="12">
        <v>0.0021052</v>
      </c>
      <c r="P228" s="12">
        <v>0.0045922</v>
      </c>
      <c r="Q228" s="12">
        <v>0.0035612</v>
      </c>
      <c r="R228" s="12">
        <v>0.0025124</v>
      </c>
      <c r="S228" s="12">
        <v>0.0019053</v>
      </c>
      <c r="T228" s="12">
        <v>3.153E-4</v>
      </c>
      <c r="U228" s="12">
        <v>0.0</v>
      </c>
      <c r="V228" s="12">
        <v>0.0</v>
      </c>
      <c r="W228" s="12">
        <v>0.0</v>
      </c>
      <c r="X228" s="12">
        <v>2.966E-4</v>
      </c>
      <c r="Y228" s="12">
        <v>0.0011193</v>
      </c>
      <c r="Z228" s="12">
        <v>0.0012145</v>
      </c>
      <c r="AA228" s="12">
        <v>4.679E-4</v>
      </c>
      <c r="AB228" s="12">
        <v>5.664E-4</v>
      </c>
      <c r="AC228" s="12">
        <v>9.373E-4</v>
      </c>
      <c r="AD228" s="12">
        <v>4.44E-4</v>
      </c>
      <c r="AE228" s="12">
        <v>0.0</v>
      </c>
      <c r="AF228" s="12">
        <v>0.0</v>
      </c>
      <c r="AG228" s="12">
        <v>0.0</v>
      </c>
      <c r="AH228" s="12">
        <v>0.0</v>
      </c>
      <c r="AI228" s="12">
        <v>0.0</v>
      </c>
      <c r="AJ228" s="12">
        <v>0.0</v>
      </c>
      <c r="AK228" s="12">
        <v>0.0</v>
      </c>
      <c r="AL228" s="12">
        <v>0.0</v>
      </c>
      <c r="AM228" s="12">
        <v>0.0</v>
      </c>
      <c r="AN228" s="12">
        <v>4.411E-4</v>
      </c>
      <c r="AO228" s="12">
        <v>6.407E-4</v>
      </c>
      <c r="AP228" s="13">
        <v>0.0</v>
      </c>
      <c r="AQ228" s="13">
        <v>0.0</v>
      </c>
      <c r="AR228" s="13">
        <v>0.0</v>
      </c>
      <c r="AS228" s="12">
        <v>0.0</v>
      </c>
      <c r="AT228" s="12"/>
      <c r="AU228" s="12"/>
      <c r="AV228" s="15"/>
      <c r="AW228" s="15"/>
    </row>
    <row r="229">
      <c r="A229" s="7">
        <v>240902.0</v>
      </c>
      <c r="B229" s="7">
        <v>95.0</v>
      </c>
      <c r="C229" s="7">
        <v>3.0</v>
      </c>
      <c r="D229" s="8" t="s">
        <v>190</v>
      </c>
      <c r="E229" s="7">
        <v>9.0</v>
      </c>
      <c r="F229" s="8" t="s">
        <v>56</v>
      </c>
      <c r="G229" s="8" t="s">
        <v>67</v>
      </c>
      <c r="H229" s="8" t="s">
        <v>65</v>
      </c>
      <c r="I229" s="22" t="s">
        <v>146</v>
      </c>
      <c r="J229" s="22" t="s">
        <v>52</v>
      </c>
      <c r="K229" s="22" t="s">
        <v>70</v>
      </c>
      <c r="L229" s="12">
        <v>0.0272242</v>
      </c>
      <c r="M229" s="12">
        <v>0.0226076</v>
      </c>
      <c r="N229" s="12">
        <v>0.0209887</v>
      </c>
      <c r="O229" s="12">
        <v>0.0208087</v>
      </c>
      <c r="P229" s="12">
        <v>0.0208297</v>
      </c>
      <c r="Q229" s="12">
        <v>0.0198621</v>
      </c>
      <c r="R229" s="12">
        <v>0.016803</v>
      </c>
      <c r="S229" s="12">
        <v>0.0132306</v>
      </c>
      <c r="T229" s="12">
        <v>0.0112386</v>
      </c>
      <c r="U229" s="12">
        <v>0.0103405</v>
      </c>
      <c r="V229" s="12">
        <v>0.0104437</v>
      </c>
      <c r="W229" s="12">
        <v>0.0104321</v>
      </c>
      <c r="X229" s="12">
        <v>0.0081783</v>
      </c>
      <c r="Y229" s="12">
        <v>0.0072213</v>
      </c>
      <c r="Z229" s="12">
        <v>0.0059253</v>
      </c>
      <c r="AA229" s="12">
        <v>0.0049801</v>
      </c>
      <c r="AB229" s="12">
        <v>0.0047335</v>
      </c>
      <c r="AC229" s="12">
        <v>0.0022416</v>
      </c>
      <c r="AD229" s="12">
        <v>1.884E-4</v>
      </c>
      <c r="AE229" s="12">
        <v>0.0</v>
      </c>
      <c r="AF229" s="12">
        <v>0.0</v>
      </c>
      <c r="AG229" s="12">
        <v>0.0</v>
      </c>
      <c r="AH229" s="12">
        <v>0.0</v>
      </c>
      <c r="AI229" s="12">
        <v>0.0</v>
      </c>
      <c r="AJ229" s="12">
        <v>0.0</v>
      </c>
      <c r="AK229" s="12">
        <v>0.0</v>
      </c>
      <c r="AL229" s="12">
        <v>0.0</v>
      </c>
      <c r="AM229" s="12">
        <v>0.0</v>
      </c>
      <c r="AN229" s="12">
        <v>0.0</v>
      </c>
      <c r="AO229" s="13">
        <v>0.0</v>
      </c>
      <c r="AP229" s="13">
        <v>0.0</v>
      </c>
      <c r="AQ229" s="13">
        <v>0.0</v>
      </c>
      <c r="AR229" s="13">
        <v>0.0</v>
      </c>
      <c r="AS229" s="12">
        <v>0.0</v>
      </c>
      <c r="AT229" s="12"/>
      <c r="AU229" s="12"/>
      <c r="AV229" s="15"/>
      <c r="AW229" s="15"/>
    </row>
    <row r="230" ht="15.75" customHeight="1">
      <c r="A230" s="7">
        <v>240902.0</v>
      </c>
      <c r="B230" s="7">
        <v>95.0</v>
      </c>
      <c r="C230" s="7">
        <v>3.0</v>
      </c>
      <c r="D230" s="8" t="s">
        <v>191</v>
      </c>
      <c r="E230" s="7">
        <v>9.0</v>
      </c>
      <c r="F230" s="8" t="s">
        <v>56</v>
      </c>
      <c r="G230" s="8" t="s">
        <v>67</v>
      </c>
      <c r="H230" s="8" t="s">
        <v>61</v>
      </c>
      <c r="I230" s="22" t="s">
        <v>146</v>
      </c>
      <c r="J230" s="22" t="s">
        <v>52</v>
      </c>
      <c r="K230" s="22" t="s">
        <v>70</v>
      </c>
      <c r="L230" s="12">
        <v>0.0124754</v>
      </c>
      <c r="M230" s="12">
        <v>0.0147805</v>
      </c>
      <c r="N230" s="12">
        <v>0.0168302</v>
      </c>
      <c r="O230" s="12">
        <v>0.0182237</v>
      </c>
      <c r="P230" s="12">
        <v>0.0191459</v>
      </c>
      <c r="Q230" s="12">
        <v>0.0180263</v>
      </c>
      <c r="R230" s="12">
        <v>0.0173169</v>
      </c>
      <c r="S230" s="12">
        <v>0.0171755</v>
      </c>
      <c r="T230" s="12">
        <v>0.0153241</v>
      </c>
      <c r="U230" s="12">
        <v>0.0143556</v>
      </c>
      <c r="V230" s="12">
        <v>0.0137781</v>
      </c>
      <c r="W230" s="12">
        <v>0.0130305</v>
      </c>
      <c r="X230" s="12">
        <v>0.0130174</v>
      </c>
      <c r="Y230" s="12">
        <v>0.0122117</v>
      </c>
      <c r="Z230" s="12">
        <v>0.0101373</v>
      </c>
      <c r="AA230" s="12">
        <v>0.0110655</v>
      </c>
      <c r="AB230" s="12">
        <v>0.0104799</v>
      </c>
      <c r="AC230" s="12">
        <v>0.0089118</v>
      </c>
      <c r="AD230" s="12">
        <v>0.0074864</v>
      </c>
      <c r="AE230" s="12">
        <v>0.0044464</v>
      </c>
      <c r="AF230" s="12">
        <v>0.002877</v>
      </c>
      <c r="AG230" s="12">
        <v>0.0016196</v>
      </c>
      <c r="AH230" s="12">
        <v>5.142E-4</v>
      </c>
      <c r="AI230" s="12">
        <v>4.62E-5</v>
      </c>
      <c r="AJ230" s="12">
        <v>0.0</v>
      </c>
      <c r="AK230" s="12">
        <v>0.0</v>
      </c>
      <c r="AL230" s="12">
        <v>0.0</v>
      </c>
      <c r="AM230" s="12">
        <v>0.0</v>
      </c>
      <c r="AN230" s="12">
        <v>0.0</v>
      </c>
      <c r="AO230" s="13">
        <v>0.0</v>
      </c>
      <c r="AP230" s="13">
        <v>0.0</v>
      </c>
      <c r="AQ230" s="13">
        <v>0.0</v>
      </c>
      <c r="AR230" s="13">
        <v>0.0</v>
      </c>
      <c r="AS230" s="12">
        <v>0.0</v>
      </c>
      <c r="AT230" s="12"/>
      <c r="AU230" s="12"/>
      <c r="AV230" s="15"/>
      <c r="AW230" s="15"/>
    </row>
    <row r="231" ht="15.75" customHeight="1">
      <c r="A231" s="7">
        <v>240902.0</v>
      </c>
      <c r="B231" s="7">
        <v>95.0</v>
      </c>
      <c r="C231" s="7">
        <v>3.0</v>
      </c>
      <c r="D231" s="8" t="s">
        <v>192</v>
      </c>
      <c r="E231" s="7">
        <v>9.0</v>
      </c>
      <c r="F231" s="8" t="s">
        <v>56</v>
      </c>
      <c r="G231" s="8" t="s">
        <v>67</v>
      </c>
      <c r="H231" s="8" t="s">
        <v>50</v>
      </c>
      <c r="I231" s="22" t="s">
        <v>146</v>
      </c>
      <c r="J231" s="22" t="s">
        <v>52</v>
      </c>
      <c r="K231" s="22" t="s">
        <v>70</v>
      </c>
      <c r="L231" s="12">
        <v>0.0232133</v>
      </c>
      <c r="M231" s="12">
        <v>0.0204307</v>
      </c>
      <c r="N231" s="12">
        <v>0.0226037</v>
      </c>
      <c r="O231" s="12">
        <v>0.0229502</v>
      </c>
      <c r="P231" s="12">
        <v>0.0219455</v>
      </c>
      <c r="Q231" s="12">
        <v>0.02201</v>
      </c>
      <c r="R231" s="12">
        <v>0.022473</v>
      </c>
      <c r="S231" s="12">
        <v>0.0226789</v>
      </c>
      <c r="T231" s="12">
        <v>0.0236098</v>
      </c>
      <c r="U231" s="12">
        <v>0.0240623</v>
      </c>
      <c r="V231" s="12">
        <v>0.0204387</v>
      </c>
      <c r="W231" s="12">
        <v>0.0163596</v>
      </c>
      <c r="X231" s="12">
        <v>0.0177333</v>
      </c>
      <c r="Y231" s="12">
        <v>0.0189186</v>
      </c>
      <c r="Z231" s="12">
        <v>0.0172381</v>
      </c>
      <c r="AA231" s="12">
        <v>0.0169766</v>
      </c>
      <c r="AB231" s="12">
        <v>0.0163016</v>
      </c>
      <c r="AC231" s="12">
        <v>0.0157281</v>
      </c>
      <c r="AD231" s="12">
        <v>0.0128681</v>
      </c>
      <c r="AE231" s="12">
        <v>0.0089487</v>
      </c>
      <c r="AF231" s="12">
        <v>0.0077339</v>
      </c>
      <c r="AG231" s="12">
        <v>0.0074303</v>
      </c>
      <c r="AH231" s="12">
        <v>0.0043907</v>
      </c>
      <c r="AI231" s="12">
        <v>7.612E-4</v>
      </c>
      <c r="AJ231" s="12">
        <v>0.0</v>
      </c>
      <c r="AK231" s="12">
        <v>0.0</v>
      </c>
      <c r="AL231" s="12">
        <v>0.0</v>
      </c>
      <c r="AM231" s="12">
        <v>0.0</v>
      </c>
      <c r="AN231" s="12">
        <v>0.0</v>
      </c>
      <c r="AO231" s="13">
        <v>0.0</v>
      </c>
      <c r="AP231" s="13">
        <v>0.0</v>
      </c>
      <c r="AQ231" s="13">
        <v>0.0</v>
      </c>
      <c r="AR231" s="13">
        <v>0.0</v>
      </c>
      <c r="AS231" s="12">
        <v>0.0</v>
      </c>
      <c r="AT231" s="12"/>
      <c r="AU231" s="12"/>
      <c r="AV231" s="15"/>
      <c r="AW231" s="15"/>
    </row>
    <row r="232" ht="15.75" customHeight="1">
      <c r="A232" s="7">
        <v>240903.0</v>
      </c>
      <c r="B232" s="7">
        <v>95.0</v>
      </c>
      <c r="C232" s="7">
        <v>3.0</v>
      </c>
      <c r="D232" s="8" t="s">
        <v>193</v>
      </c>
      <c r="E232" s="7">
        <v>9.0</v>
      </c>
      <c r="F232" s="8" t="s">
        <v>56</v>
      </c>
      <c r="G232" s="8" t="s">
        <v>67</v>
      </c>
      <c r="H232" s="8" t="s">
        <v>63</v>
      </c>
      <c r="I232" s="22" t="s">
        <v>146</v>
      </c>
      <c r="J232" s="22" t="s">
        <v>52</v>
      </c>
      <c r="K232" s="22" t="s">
        <v>70</v>
      </c>
      <c r="L232" s="12">
        <v>0.0231807</v>
      </c>
      <c r="M232" s="12">
        <v>0.0254</v>
      </c>
      <c r="N232" s="12">
        <v>0.0256679</v>
      </c>
      <c r="O232" s="12">
        <v>0.0248102</v>
      </c>
      <c r="P232" s="12">
        <v>0.024431</v>
      </c>
      <c r="Q232" s="12">
        <v>0.0238643</v>
      </c>
      <c r="R232" s="12">
        <v>0.0246998</v>
      </c>
      <c r="S232" s="12">
        <v>0.0236951</v>
      </c>
      <c r="T232" s="12">
        <v>0.0224074</v>
      </c>
      <c r="U232" s="12">
        <v>0.0218056</v>
      </c>
      <c r="V232" s="12">
        <v>0.0214966</v>
      </c>
      <c r="W232" s="12">
        <v>0.0216291</v>
      </c>
      <c r="X232" s="12">
        <v>0.0213502</v>
      </c>
      <c r="Y232" s="12">
        <v>0.0207025</v>
      </c>
      <c r="Z232" s="12">
        <v>0.0186862</v>
      </c>
      <c r="AA232" s="12">
        <v>0.0170347</v>
      </c>
      <c r="AB232" s="12">
        <v>0.0151417</v>
      </c>
      <c r="AC232" s="12">
        <v>0.0150112</v>
      </c>
      <c r="AD232" s="12">
        <v>0.0151924</v>
      </c>
      <c r="AE232" s="12">
        <v>0.0109586</v>
      </c>
      <c r="AF232" s="12">
        <v>0.0046354</v>
      </c>
      <c r="AG232" s="12">
        <v>8.105E-4</v>
      </c>
      <c r="AH232" s="12">
        <v>0.0</v>
      </c>
      <c r="AI232" s="12">
        <v>0.0</v>
      </c>
      <c r="AJ232" s="12">
        <v>0.0</v>
      </c>
      <c r="AK232" s="12">
        <v>0.0</v>
      </c>
      <c r="AL232" s="12">
        <v>0.0</v>
      </c>
      <c r="AM232" s="12">
        <v>0.0</v>
      </c>
      <c r="AN232" s="12">
        <v>0.0</v>
      </c>
      <c r="AO232" s="13">
        <v>0.0</v>
      </c>
      <c r="AP232" s="13">
        <v>0.0</v>
      </c>
      <c r="AQ232" s="13">
        <v>0.0</v>
      </c>
      <c r="AR232" s="13">
        <v>0.0</v>
      </c>
      <c r="AS232" s="12">
        <v>0.0</v>
      </c>
      <c r="AT232" s="12"/>
      <c r="AU232" s="12"/>
      <c r="AV232" s="15"/>
      <c r="AW232" s="15"/>
    </row>
    <row r="233" ht="15.75" customHeight="1">
      <c r="A233" s="22">
        <v>240903.0</v>
      </c>
      <c r="B233" s="22">
        <v>95.0</v>
      </c>
      <c r="C233" s="22">
        <v>3.0</v>
      </c>
      <c r="D233" s="22" t="s">
        <v>194</v>
      </c>
      <c r="E233" s="22">
        <v>9.0</v>
      </c>
      <c r="F233" s="22" t="s">
        <v>48</v>
      </c>
      <c r="G233" s="22" t="s">
        <v>67</v>
      </c>
      <c r="H233" s="22" t="s">
        <v>83</v>
      </c>
      <c r="I233" s="22" t="s">
        <v>146</v>
      </c>
      <c r="J233" s="22" t="s">
        <v>52</v>
      </c>
      <c r="K233" s="22" t="s">
        <v>76</v>
      </c>
      <c r="L233" s="12">
        <v>0.0296214</v>
      </c>
      <c r="M233" s="12">
        <v>0.0273246</v>
      </c>
      <c r="N233" s="12">
        <v>0.0295304</v>
      </c>
      <c r="O233" s="12">
        <v>0.0307842</v>
      </c>
      <c r="P233" s="12">
        <v>0.0312178</v>
      </c>
      <c r="Q233" s="12">
        <v>0.0309306</v>
      </c>
      <c r="R233" s="12">
        <v>0.0296049</v>
      </c>
      <c r="S233" s="12">
        <v>0.0287318</v>
      </c>
      <c r="T233" s="12">
        <v>0.0283657</v>
      </c>
      <c r="U233" s="12">
        <v>0.0284177</v>
      </c>
      <c r="V233" s="12">
        <v>0.0278445</v>
      </c>
      <c r="W233" s="12">
        <v>0.0291497</v>
      </c>
      <c r="X233" s="12">
        <v>0.0297528</v>
      </c>
      <c r="Y233" s="12">
        <v>0.0270377</v>
      </c>
      <c r="Z233" s="12">
        <v>0.0263826</v>
      </c>
      <c r="AA233" s="12">
        <v>0.0259803</v>
      </c>
      <c r="AB233" s="12">
        <v>0.0243712</v>
      </c>
      <c r="AC233" s="12">
        <v>0.0235484</v>
      </c>
      <c r="AD233" s="12">
        <v>0.0233914</v>
      </c>
      <c r="AE233" s="12">
        <v>0.021234</v>
      </c>
      <c r="AF233" s="12">
        <v>0.0162784</v>
      </c>
      <c r="AG233" s="12">
        <v>0.0124928</v>
      </c>
      <c r="AH233" s="12">
        <v>0.0068252</v>
      </c>
      <c r="AI233" s="12">
        <v>0.001848</v>
      </c>
      <c r="AJ233" s="12">
        <v>5.025E-4</v>
      </c>
      <c r="AK233" s="12">
        <v>0.0</v>
      </c>
      <c r="AL233" s="12">
        <v>0.0</v>
      </c>
      <c r="AM233" s="12">
        <v>0.0</v>
      </c>
      <c r="AN233" s="12">
        <v>0.0</v>
      </c>
      <c r="AO233" s="13">
        <v>0.0</v>
      </c>
      <c r="AP233" s="13">
        <v>0.0</v>
      </c>
      <c r="AQ233" s="13">
        <v>0.0</v>
      </c>
      <c r="AR233" s="13">
        <v>0.0</v>
      </c>
      <c r="AS233" s="12">
        <v>0.0</v>
      </c>
      <c r="AT233" s="12"/>
      <c r="AU233" s="12"/>
      <c r="AV233" s="15"/>
      <c r="AW233" s="15"/>
    </row>
    <row r="234" ht="15.75" customHeight="1">
      <c r="A234" s="22">
        <v>240903.0</v>
      </c>
      <c r="B234" s="22">
        <v>95.0</v>
      </c>
      <c r="C234" s="22">
        <v>3.0</v>
      </c>
      <c r="D234" s="22" t="s">
        <v>195</v>
      </c>
      <c r="E234" s="22">
        <v>9.0</v>
      </c>
      <c r="F234" s="22" t="s">
        <v>48</v>
      </c>
      <c r="G234" s="22" t="s">
        <v>67</v>
      </c>
      <c r="H234" s="22" t="s">
        <v>83</v>
      </c>
      <c r="I234" s="22" t="s">
        <v>146</v>
      </c>
      <c r="J234" s="22" t="s">
        <v>52</v>
      </c>
      <c r="K234" s="22" t="s">
        <v>76</v>
      </c>
      <c r="L234" s="12">
        <v>0.0252171</v>
      </c>
      <c r="M234" s="12">
        <v>0.0261472</v>
      </c>
      <c r="N234" s="12">
        <v>0.029085</v>
      </c>
      <c r="O234" s="12">
        <v>0.0330977</v>
      </c>
      <c r="P234" s="12">
        <v>0.034236</v>
      </c>
      <c r="Q234" s="12">
        <v>0.0326923</v>
      </c>
      <c r="R234" s="12">
        <v>0.0305437</v>
      </c>
      <c r="S234" s="12">
        <v>0.0294587</v>
      </c>
      <c r="T234" s="12">
        <v>0.0310131</v>
      </c>
      <c r="U234" s="12">
        <v>0.0328469</v>
      </c>
      <c r="V234" s="12">
        <v>0.0318507</v>
      </c>
      <c r="W234" s="12">
        <v>0.0317406</v>
      </c>
      <c r="X234" s="12">
        <v>0.0329648</v>
      </c>
      <c r="Y234" s="12">
        <v>0.0312304</v>
      </c>
      <c r="Z234" s="12">
        <v>0.02891</v>
      </c>
      <c r="AA234" s="12">
        <v>0.0299049</v>
      </c>
      <c r="AB234" s="12">
        <v>0.031219</v>
      </c>
      <c r="AC234" s="12">
        <v>0.0320802</v>
      </c>
      <c r="AD234" s="12">
        <v>0.0316486</v>
      </c>
      <c r="AE234" s="12">
        <v>0.0277376</v>
      </c>
      <c r="AF234" s="12">
        <v>0.0274363</v>
      </c>
      <c r="AG234" s="12">
        <v>0.0287354</v>
      </c>
      <c r="AH234" s="12">
        <v>0.0276413</v>
      </c>
      <c r="AI234" s="12">
        <v>0.0222335</v>
      </c>
      <c r="AJ234" s="12">
        <v>0.0120121</v>
      </c>
      <c r="AK234" s="12">
        <v>0.0035387</v>
      </c>
      <c r="AL234" s="12">
        <v>7.69E-5</v>
      </c>
      <c r="AM234" s="12">
        <v>0.0</v>
      </c>
      <c r="AN234" s="12">
        <v>0.0</v>
      </c>
      <c r="AO234" s="13">
        <v>0.0</v>
      </c>
      <c r="AP234" s="13">
        <v>0.0</v>
      </c>
      <c r="AQ234" s="13">
        <v>0.0</v>
      </c>
      <c r="AR234" s="13">
        <v>0.0</v>
      </c>
      <c r="AS234" s="12">
        <v>0.0</v>
      </c>
      <c r="AT234" s="12"/>
      <c r="AU234" s="12"/>
      <c r="AV234" s="15"/>
      <c r="AW234" s="15"/>
    </row>
    <row r="235" ht="15.75" customHeight="1">
      <c r="A235" s="22">
        <v>240903.0</v>
      </c>
      <c r="B235" s="22">
        <v>95.0</v>
      </c>
      <c r="C235" s="22">
        <v>3.0</v>
      </c>
      <c r="D235" s="22" t="s">
        <v>196</v>
      </c>
      <c r="E235" s="22">
        <v>9.0</v>
      </c>
      <c r="F235" s="22" t="s">
        <v>48</v>
      </c>
      <c r="G235" s="22" t="s">
        <v>67</v>
      </c>
      <c r="H235" s="22" t="s">
        <v>83</v>
      </c>
      <c r="I235" s="22" t="s">
        <v>146</v>
      </c>
      <c r="J235" s="22" t="s">
        <v>52</v>
      </c>
      <c r="K235" s="22" t="s">
        <v>76</v>
      </c>
      <c r="L235" s="12">
        <v>0.0233833</v>
      </c>
      <c r="M235" s="12">
        <v>0.0260318</v>
      </c>
      <c r="N235" s="12">
        <v>0.0282645</v>
      </c>
      <c r="O235" s="12">
        <v>0.0300257</v>
      </c>
      <c r="P235" s="12">
        <v>0.0297486</v>
      </c>
      <c r="Q235" s="12">
        <v>0.0300187</v>
      </c>
      <c r="R235" s="12">
        <v>0.0300012</v>
      </c>
      <c r="S235" s="12">
        <v>0.0283885</v>
      </c>
      <c r="T235" s="12">
        <v>0.0276907</v>
      </c>
      <c r="U235" s="12">
        <v>0.0271806</v>
      </c>
      <c r="V235" s="12">
        <v>0.0267452</v>
      </c>
      <c r="W235" s="12">
        <v>0.0254558</v>
      </c>
      <c r="X235" s="12">
        <v>0.023341</v>
      </c>
      <c r="Y235" s="12">
        <v>0.0223106</v>
      </c>
      <c r="Z235" s="12">
        <v>0.0226202</v>
      </c>
      <c r="AA235" s="12">
        <v>0.0231944</v>
      </c>
      <c r="AB235" s="12">
        <v>0.0200465</v>
      </c>
      <c r="AC235" s="12">
        <v>0.0156692</v>
      </c>
      <c r="AD235" s="12">
        <v>0.0142594</v>
      </c>
      <c r="AE235" s="12">
        <v>0.0125236</v>
      </c>
      <c r="AF235" s="12">
        <v>0.0110065</v>
      </c>
      <c r="AG235" s="12">
        <v>0.0079749</v>
      </c>
      <c r="AH235" s="12">
        <v>0.0041904</v>
      </c>
      <c r="AI235" s="12">
        <v>0.0017555</v>
      </c>
      <c r="AJ235" s="12">
        <v>2.291E-4</v>
      </c>
      <c r="AK235" s="12">
        <v>3.96E-5</v>
      </c>
      <c r="AL235" s="12">
        <v>0.0</v>
      </c>
      <c r="AM235" s="12">
        <v>0.0</v>
      </c>
      <c r="AN235" s="12">
        <v>0.0</v>
      </c>
      <c r="AO235" s="13">
        <v>0.0</v>
      </c>
      <c r="AP235" s="13">
        <v>0.0</v>
      </c>
      <c r="AQ235" s="13">
        <v>0.0</v>
      </c>
      <c r="AR235" s="13">
        <v>0.0</v>
      </c>
      <c r="AS235" s="12">
        <v>0.0</v>
      </c>
      <c r="AT235" s="12"/>
      <c r="AU235" s="12"/>
      <c r="AV235" s="15"/>
      <c r="AW235" s="15"/>
    </row>
    <row r="236" ht="15.75" customHeight="1">
      <c r="A236" s="22">
        <v>240903.0</v>
      </c>
      <c r="B236" s="22">
        <v>95.0</v>
      </c>
      <c r="C236" s="22">
        <v>3.0</v>
      </c>
      <c r="D236" s="22" t="s">
        <v>197</v>
      </c>
      <c r="E236" s="22">
        <v>9.0</v>
      </c>
      <c r="F236" s="22" t="s">
        <v>48</v>
      </c>
      <c r="G236" s="22" t="s">
        <v>67</v>
      </c>
      <c r="H236" s="22" t="s">
        <v>83</v>
      </c>
      <c r="I236" s="22" t="s">
        <v>146</v>
      </c>
      <c r="J236" s="22" t="s">
        <v>52</v>
      </c>
      <c r="K236" s="22" t="s">
        <v>76</v>
      </c>
      <c r="L236" s="12">
        <v>0.0311723</v>
      </c>
      <c r="M236" s="12">
        <v>0.0298047</v>
      </c>
      <c r="N236" s="12">
        <v>0.0295622</v>
      </c>
      <c r="O236" s="12">
        <v>0.028198</v>
      </c>
      <c r="P236" s="12">
        <v>0.0250591</v>
      </c>
      <c r="Q236" s="12">
        <v>0.0259872</v>
      </c>
      <c r="R236" s="12">
        <v>0.0269259</v>
      </c>
      <c r="S236" s="12">
        <v>0.0241421</v>
      </c>
      <c r="T236" s="12">
        <v>0.0205582</v>
      </c>
      <c r="U236" s="12">
        <v>0.0169839</v>
      </c>
      <c r="V236" s="12">
        <v>0.0138974</v>
      </c>
      <c r="W236" s="12">
        <v>0.0124879</v>
      </c>
      <c r="X236" s="12">
        <v>0.0109166</v>
      </c>
      <c r="Y236" s="12">
        <v>0.0076857</v>
      </c>
      <c r="Z236" s="12">
        <v>0.0050811</v>
      </c>
      <c r="AA236" s="12">
        <v>0.0027002</v>
      </c>
      <c r="AB236" s="12">
        <v>6.939E-4</v>
      </c>
      <c r="AC236" s="12">
        <v>0.0</v>
      </c>
      <c r="AD236" s="12">
        <v>3.006E-4</v>
      </c>
      <c r="AE236" s="12">
        <v>2.983E-4</v>
      </c>
      <c r="AF236" s="12">
        <v>0.0</v>
      </c>
      <c r="AG236" s="12">
        <v>0.0</v>
      </c>
      <c r="AH236" s="12">
        <v>0.0</v>
      </c>
      <c r="AI236" s="12">
        <v>0.0</v>
      </c>
      <c r="AJ236" s="12">
        <v>0.0</v>
      </c>
      <c r="AK236" s="12">
        <v>0.0</v>
      </c>
      <c r="AL236" s="12">
        <v>9.391E-4</v>
      </c>
      <c r="AM236" s="12">
        <v>0.0028796</v>
      </c>
      <c r="AN236" s="12">
        <v>0.0016246</v>
      </c>
      <c r="AO236" s="13">
        <v>0.0</v>
      </c>
      <c r="AP236" s="13">
        <v>0.0</v>
      </c>
      <c r="AQ236" s="13">
        <v>0.0</v>
      </c>
      <c r="AR236" s="13">
        <v>0.0</v>
      </c>
      <c r="AS236" s="12">
        <v>0.0</v>
      </c>
      <c r="AT236" s="12"/>
      <c r="AU236" s="12"/>
      <c r="AV236" s="15"/>
      <c r="AW236" s="15"/>
    </row>
    <row r="237" ht="15.75" customHeight="1">
      <c r="A237" s="22">
        <v>240904.0</v>
      </c>
      <c r="B237" s="22">
        <v>95.0</v>
      </c>
      <c r="C237" s="22">
        <v>3.0</v>
      </c>
      <c r="D237" s="22" t="s">
        <v>198</v>
      </c>
      <c r="E237" s="22">
        <v>9.0</v>
      </c>
      <c r="F237" s="22" t="s">
        <v>48</v>
      </c>
      <c r="G237" s="22" t="s">
        <v>49</v>
      </c>
      <c r="H237" s="22" t="s">
        <v>65</v>
      </c>
      <c r="I237" s="22" t="s">
        <v>146</v>
      </c>
      <c r="J237" s="22" t="s">
        <v>52</v>
      </c>
      <c r="K237" s="22" t="s">
        <v>76</v>
      </c>
      <c r="L237" s="12">
        <v>0.0335419</v>
      </c>
      <c r="M237" s="12">
        <v>0.0306069</v>
      </c>
      <c r="N237" s="12">
        <v>0.0322598</v>
      </c>
      <c r="O237" s="12">
        <v>0.0338047</v>
      </c>
      <c r="P237" s="12">
        <v>0.0307907</v>
      </c>
      <c r="Q237" s="12">
        <v>0.0291205</v>
      </c>
      <c r="R237" s="12">
        <v>0.0288739</v>
      </c>
      <c r="S237" s="12">
        <v>0.0275146</v>
      </c>
      <c r="T237" s="12">
        <v>0.0280825</v>
      </c>
      <c r="U237" s="12">
        <v>0.0273523</v>
      </c>
      <c r="V237" s="12">
        <v>0.0252164</v>
      </c>
      <c r="W237" s="12">
        <v>0.0242839</v>
      </c>
      <c r="X237" s="12">
        <v>0.0231431</v>
      </c>
      <c r="Y237" s="12">
        <v>0.0242549</v>
      </c>
      <c r="Z237" s="12">
        <v>0.024136</v>
      </c>
      <c r="AA237" s="12">
        <v>0.021928</v>
      </c>
      <c r="AB237" s="12">
        <v>0.0206863</v>
      </c>
      <c r="AC237" s="12">
        <v>0.0190807</v>
      </c>
      <c r="AD237" s="12">
        <v>0.0160704</v>
      </c>
      <c r="AE237" s="12">
        <v>0.0114621</v>
      </c>
      <c r="AF237" s="12">
        <v>0.0075696</v>
      </c>
      <c r="AG237" s="12">
        <v>0.0052244</v>
      </c>
      <c r="AH237" s="12">
        <v>0.0037091</v>
      </c>
      <c r="AI237" s="12">
        <v>0.0027791</v>
      </c>
      <c r="AJ237" s="12">
        <v>0.0013189</v>
      </c>
      <c r="AK237" s="12">
        <v>2.8E-4</v>
      </c>
      <c r="AL237" s="12">
        <v>0.0</v>
      </c>
      <c r="AM237" s="12">
        <v>0.0</v>
      </c>
      <c r="AN237" s="12">
        <v>0.0</v>
      </c>
      <c r="AO237" s="13">
        <v>0.0</v>
      </c>
      <c r="AP237" s="13">
        <v>0.0</v>
      </c>
      <c r="AQ237" s="13">
        <v>0.0</v>
      </c>
      <c r="AR237" s="13">
        <v>0.0</v>
      </c>
      <c r="AS237" s="12">
        <v>0.0</v>
      </c>
      <c r="AT237" s="12"/>
      <c r="AU237" s="12"/>
      <c r="AV237" s="15"/>
      <c r="AW237" s="15"/>
    </row>
    <row r="238" ht="15.75" customHeight="1">
      <c r="A238" s="22">
        <v>240904.0</v>
      </c>
      <c r="B238" s="22">
        <v>95.0</v>
      </c>
      <c r="C238" s="22">
        <v>3.0</v>
      </c>
      <c r="D238" s="22" t="s">
        <v>199</v>
      </c>
      <c r="E238" s="22">
        <v>9.0</v>
      </c>
      <c r="F238" s="22" t="s">
        <v>48</v>
      </c>
      <c r="G238" s="22" t="s">
        <v>49</v>
      </c>
      <c r="H238" s="22" t="s">
        <v>63</v>
      </c>
      <c r="I238" s="22" t="s">
        <v>146</v>
      </c>
      <c r="J238" s="22" t="s">
        <v>52</v>
      </c>
      <c r="K238" s="22" t="s">
        <v>76</v>
      </c>
      <c r="L238" s="12">
        <v>0.0204576</v>
      </c>
      <c r="M238" s="12">
        <v>0.0219168</v>
      </c>
      <c r="N238" s="12">
        <v>0.0212815</v>
      </c>
      <c r="O238" s="12">
        <v>0.0181704</v>
      </c>
      <c r="P238" s="12">
        <v>0.0167225</v>
      </c>
      <c r="Q238" s="12">
        <v>0.0173815</v>
      </c>
      <c r="R238" s="12">
        <v>0.0180938</v>
      </c>
      <c r="S238" s="12">
        <v>0.0184783</v>
      </c>
      <c r="T238" s="12">
        <v>0.0167509</v>
      </c>
      <c r="U238" s="12">
        <v>0.0138658</v>
      </c>
      <c r="V238" s="12">
        <v>0.0103891</v>
      </c>
      <c r="W238" s="12">
        <v>0.0066268</v>
      </c>
      <c r="X238" s="12">
        <v>0.0057531</v>
      </c>
      <c r="Y238" s="12">
        <v>0.0054736</v>
      </c>
      <c r="Z238" s="12">
        <v>0.0044864</v>
      </c>
      <c r="AA238" s="12">
        <v>0.0023721</v>
      </c>
      <c r="AB238" s="12">
        <v>6.759E-4</v>
      </c>
      <c r="AC238" s="12">
        <v>5.321E-4</v>
      </c>
      <c r="AD238" s="12">
        <v>6.405E-4</v>
      </c>
      <c r="AE238" s="12">
        <v>7.021E-4</v>
      </c>
      <c r="AF238" s="12">
        <v>3.021E-4</v>
      </c>
      <c r="AG238" s="12">
        <v>9.28E-5</v>
      </c>
      <c r="AH238" s="12">
        <v>0.0</v>
      </c>
      <c r="AI238" s="12">
        <v>0.0</v>
      </c>
      <c r="AJ238" s="12">
        <v>0.0</v>
      </c>
      <c r="AK238" s="12">
        <v>0.0</v>
      </c>
      <c r="AL238" s="12">
        <v>0.0</v>
      </c>
      <c r="AM238" s="12">
        <v>0.0</v>
      </c>
      <c r="AN238" s="12">
        <v>0.0</v>
      </c>
      <c r="AO238" s="13">
        <v>0.0</v>
      </c>
      <c r="AP238" s="13">
        <v>0.0</v>
      </c>
      <c r="AQ238" s="13">
        <v>0.0</v>
      </c>
      <c r="AR238" s="13">
        <v>0.0</v>
      </c>
      <c r="AS238" s="12">
        <v>0.0</v>
      </c>
      <c r="AT238" s="12"/>
      <c r="AU238" s="12"/>
      <c r="AV238" s="15"/>
      <c r="AW238" s="15"/>
    </row>
    <row r="239" ht="15.75" customHeight="1">
      <c r="A239" s="22">
        <v>240904.0</v>
      </c>
      <c r="B239" s="22">
        <v>95.0</v>
      </c>
      <c r="C239" s="22">
        <v>3.0</v>
      </c>
      <c r="D239" s="22" t="s">
        <v>200</v>
      </c>
      <c r="E239" s="22">
        <v>9.0</v>
      </c>
      <c r="F239" s="22" t="s">
        <v>48</v>
      </c>
      <c r="G239" s="22" t="s">
        <v>49</v>
      </c>
      <c r="H239" s="22" t="s">
        <v>50</v>
      </c>
      <c r="I239" s="22" t="s">
        <v>146</v>
      </c>
      <c r="J239" s="22" t="s">
        <v>52</v>
      </c>
      <c r="K239" s="22" t="s">
        <v>76</v>
      </c>
      <c r="L239" s="12">
        <v>0.0256733</v>
      </c>
      <c r="M239" s="12">
        <v>0.0247944</v>
      </c>
      <c r="N239" s="12">
        <v>0.0235411</v>
      </c>
      <c r="O239" s="12">
        <v>0.0228646</v>
      </c>
      <c r="P239" s="12">
        <v>0.0221188</v>
      </c>
      <c r="Q239" s="12">
        <v>0.0214679</v>
      </c>
      <c r="R239" s="12">
        <v>0.0208584</v>
      </c>
      <c r="S239" s="12">
        <v>0.0196182</v>
      </c>
      <c r="T239" s="12">
        <v>0.0211429</v>
      </c>
      <c r="U239" s="12">
        <v>0.0223807</v>
      </c>
      <c r="V239" s="12">
        <v>0.0215582</v>
      </c>
      <c r="W239" s="12">
        <v>0.0216878</v>
      </c>
      <c r="X239" s="12">
        <v>0.0227723</v>
      </c>
      <c r="Y239" s="12">
        <v>0.0240384</v>
      </c>
      <c r="Z239" s="12">
        <v>0.0238715</v>
      </c>
      <c r="AA239" s="12">
        <v>0.0247753</v>
      </c>
      <c r="AB239" s="12">
        <v>0.0262403</v>
      </c>
      <c r="AC239" s="12">
        <v>0.0258952</v>
      </c>
      <c r="AD239" s="12">
        <v>0.0256776</v>
      </c>
      <c r="AE239" s="12">
        <v>0.0241719</v>
      </c>
      <c r="AF239" s="12">
        <v>0.0232011</v>
      </c>
      <c r="AG239" s="12">
        <v>0.0232632</v>
      </c>
      <c r="AH239" s="12">
        <v>0.0204654</v>
      </c>
      <c r="AI239" s="12">
        <v>0.0172531</v>
      </c>
      <c r="AJ239" s="12">
        <v>0.0153222</v>
      </c>
      <c r="AK239" s="12">
        <v>0.0114498</v>
      </c>
      <c r="AL239" s="12">
        <v>0.0053137</v>
      </c>
      <c r="AM239" s="12">
        <v>0.0012154</v>
      </c>
      <c r="AN239" s="12">
        <v>3.571E-4</v>
      </c>
      <c r="AO239" s="12">
        <v>5.881E-4</v>
      </c>
      <c r="AP239" s="13">
        <v>0.0</v>
      </c>
      <c r="AQ239" s="13">
        <v>0.0</v>
      </c>
      <c r="AR239" s="13">
        <v>0.0</v>
      </c>
      <c r="AS239" s="12">
        <v>0.0</v>
      </c>
      <c r="AT239" s="12"/>
      <c r="AU239" s="12"/>
      <c r="AV239" s="15"/>
      <c r="AW239" s="15"/>
    </row>
    <row r="240" ht="15.75" customHeight="1">
      <c r="A240" s="22">
        <v>240904.0</v>
      </c>
      <c r="B240" s="22">
        <v>95.0</v>
      </c>
      <c r="C240" s="22">
        <v>3.0</v>
      </c>
      <c r="D240" s="22" t="s">
        <v>201</v>
      </c>
      <c r="E240" s="22">
        <v>9.0</v>
      </c>
      <c r="F240" s="22" t="s">
        <v>48</v>
      </c>
      <c r="G240" s="22" t="s">
        <v>49</v>
      </c>
      <c r="H240" s="22" t="s">
        <v>61</v>
      </c>
      <c r="I240" s="22" t="s">
        <v>146</v>
      </c>
      <c r="J240" s="22" t="s">
        <v>52</v>
      </c>
      <c r="K240" s="22" t="s">
        <v>76</v>
      </c>
      <c r="L240" s="12">
        <v>0.0263168</v>
      </c>
      <c r="M240" s="12">
        <v>0.0287304</v>
      </c>
      <c r="N240" s="12">
        <v>0.0281147</v>
      </c>
      <c r="O240" s="12">
        <v>0.0263481</v>
      </c>
      <c r="P240" s="12">
        <v>0.0266619</v>
      </c>
      <c r="Q240" s="12">
        <v>0.0274235</v>
      </c>
      <c r="R240" s="12">
        <v>0.028781</v>
      </c>
      <c r="S240" s="12">
        <v>0.0286914</v>
      </c>
      <c r="T240" s="12">
        <v>0.0276163</v>
      </c>
      <c r="U240" s="12">
        <v>0.0274019</v>
      </c>
      <c r="V240" s="12">
        <v>0.0253238</v>
      </c>
      <c r="W240" s="12">
        <v>0.0234321</v>
      </c>
      <c r="X240" s="12">
        <v>0.0226308</v>
      </c>
      <c r="Y240" s="12">
        <v>0.0244779</v>
      </c>
      <c r="Z240" s="12">
        <v>0.0270547</v>
      </c>
      <c r="AA240" s="12">
        <v>0.0267683</v>
      </c>
      <c r="AB240" s="12">
        <v>0.0240872</v>
      </c>
      <c r="AC240" s="12">
        <v>0.0244413</v>
      </c>
      <c r="AD240" s="12">
        <v>0.0265045</v>
      </c>
      <c r="AE240" s="12">
        <v>0.0241259</v>
      </c>
      <c r="AF240" s="12">
        <v>0.018616</v>
      </c>
      <c r="AG240" s="12">
        <v>0.0125765</v>
      </c>
      <c r="AH240" s="12">
        <v>0.0088457</v>
      </c>
      <c r="AI240" s="12">
        <v>0.0043104</v>
      </c>
      <c r="AJ240" s="12">
        <v>6.188E-4</v>
      </c>
      <c r="AK240" s="12">
        <v>0.0</v>
      </c>
      <c r="AL240" s="12">
        <v>0.0</v>
      </c>
      <c r="AM240" s="12">
        <v>0.0</v>
      </c>
      <c r="AN240" s="12">
        <v>0.0</v>
      </c>
      <c r="AO240" s="13">
        <v>0.0</v>
      </c>
      <c r="AP240" s="13">
        <v>0.0</v>
      </c>
      <c r="AQ240" s="13">
        <v>0.0</v>
      </c>
      <c r="AR240" s="13">
        <v>0.0</v>
      </c>
      <c r="AS240" s="12">
        <v>0.0</v>
      </c>
      <c r="AT240" s="12"/>
      <c r="AU240" s="12"/>
      <c r="AV240" s="15"/>
      <c r="AW240" s="15"/>
    </row>
    <row r="241" ht="15.75" customHeight="1">
      <c r="A241" s="22">
        <v>240830.0</v>
      </c>
      <c r="B241" s="22">
        <v>95.0</v>
      </c>
      <c r="C241" s="22">
        <v>3.0</v>
      </c>
      <c r="D241" s="22" t="s">
        <v>186</v>
      </c>
      <c r="E241" s="22">
        <v>9.0</v>
      </c>
      <c r="F241" s="22" t="s">
        <v>56</v>
      </c>
      <c r="G241" s="22" t="s">
        <v>49</v>
      </c>
      <c r="H241" s="22" t="s">
        <v>65</v>
      </c>
      <c r="I241" s="22" t="s">
        <v>185</v>
      </c>
      <c r="J241" s="22" t="s">
        <v>52</v>
      </c>
      <c r="K241" s="22" t="s">
        <v>70</v>
      </c>
      <c r="L241" s="12">
        <v>0.00461</v>
      </c>
      <c r="M241" s="12">
        <v>0.0047778</v>
      </c>
      <c r="N241" s="12">
        <v>0.0056017</v>
      </c>
      <c r="O241" s="12">
        <v>0.0053558</v>
      </c>
      <c r="P241" s="12">
        <v>0.0051204</v>
      </c>
      <c r="Q241" s="12">
        <v>0.0054773</v>
      </c>
      <c r="R241" s="12">
        <v>0.0042899</v>
      </c>
      <c r="S241" s="12">
        <v>0.0045662</v>
      </c>
      <c r="T241" s="12">
        <v>0.0059636</v>
      </c>
      <c r="U241" s="12">
        <v>0.0053627</v>
      </c>
      <c r="V241" s="12">
        <v>0.0048791</v>
      </c>
      <c r="W241" s="12">
        <v>0.0037971</v>
      </c>
      <c r="X241" s="12">
        <v>0.0028285</v>
      </c>
      <c r="Y241" s="12">
        <v>0.0029632</v>
      </c>
      <c r="Z241" s="12">
        <v>0.0028631</v>
      </c>
      <c r="AA241" s="12">
        <v>0.003242</v>
      </c>
      <c r="AB241" s="12">
        <v>0.0029304</v>
      </c>
      <c r="AC241" s="12">
        <v>0.0019244</v>
      </c>
      <c r="AD241" s="12">
        <v>7.53E-4</v>
      </c>
      <c r="AE241" s="12">
        <v>1.143E-4</v>
      </c>
      <c r="AF241" s="12">
        <v>0.0</v>
      </c>
      <c r="AG241" s="12">
        <v>0.0</v>
      </c>
      <c r="AH241" s="12">
        <v>0.0</v>
      </c>
      <c r="AI241" s="12">
        <v>2.59E-5</v>
      </c>
      <c r="AJ241" s="12">
        <v>2.61E-5</v>
      </c>
      <c r="AK241" s="12">
        <v>0.0</v>
      </c>
      <c r="AL241" s="12">
        <v>0.0</v>
      </c>
      <c r="AM241" s="12">
        <v>0.0</v>
      </c>
      <c r="AN241" s="12">
        <v>0.0</v>
      </c>
      <c r="AO241" s="13">
        <v>0.0</v>
      </c>
      <c r="AP241" s="13">
        <v>0.0</v>
      </c>
      <c r="AQ241" s="13">
        <v>0.0</v>
      </c>
      <c r="AR241" s="13">
        <v>0.0</v>
      </c>
      <c r="AS241" s="12">
        <v>0.0</v>
      </c>
      <c r="AT241" s="12"/>
      <c r="AU241" s="12"/>
      <c r="AV241" s="15"/>
      <c r="AW241" s="15"/>
    </row>
    <row r="242" ht="15.75" customHeight="1">
      <c r="A242" s="22">
        <v>240830.0</v>
      </c>
      <c r="B242" s="22">
        <v>95.0</v>
      </c>
      <c r="C242" s="22">
        <v>3.0</v>
      </c>
      <c r="D242" s="22" t="s">
        <v>187</v>
      </c>
      <c r="E242" s="22">
        <v>9.0</v>
      </c>
      <c r="F242" s="22" t="s">
        <v>56</v>
      </c>
      <c r="G242" s="22" t="s">
        <v>49</v>
      </c>
      <c r="H242" s="22" t="s">
        <v>61</v>
      </c>
      <c r="I242" s="22" t="s">
        <v>185</v>
      </c>
      <c r="J242" s="22" t="s">
        <v>52</v>
      </c>
      <c r="K242" s="22" t="s">
        <v>70</v>
      </c>
      <c r="L242" s="12">
        <v>0.0021453</v>
      </c>
      <c r="M242" s="12">
        <v>0.0043748</v>
      </c>
      <c r="N242" s="12">
        <v>0.0063597</v>
      </c>
      <c r="O242" s="12">
        <v>0.0074753</v>
      </c>
      <c r="P242" s="12">
        <v>0.0061047</v>
      </c>
      <c r="Q242" s="12">
        <v>0.0058858</v>
      </c>
      <c r="R242" s="12">
        <v>0.0069038</v>
      </c>
      <c r="S242" s="12">
        <v>0.005764</v>
      </c>
      <c r="T242" s="12">
        <v>0.0058657</v>
      </c>
      <c r="U242" s="12">
        <v>0.0046999</v>
      </c>
      <c r="V242" s="12">
        <v>0.0026493</v>
      </c>
      <c r="W242" s="12">
        <v>0.0029554</v>
      </c>
      <c r="X242" s="12">
        <v>0.0043959</v>
      </c>
      <c r="Y242" s="12">
        <v>0.0059753</v>
      </c>
      <c r="Z242" s="12">
        <v>0.0060006</v>
      </c>
      <c r="AA242" s="12">
        <v>0.0051863</v>
      </c>
      <c r="AB242" s="12">
        <v>0.0041332</v>
      </c>
      <c r="AC242" s="12">
        <v>0.003337</v>
      </c>
      <c r="AD242" s="12">
        <v>0.0025458</v>
      </c>
      <c r="AE242" s="12">
        <v>0.0014407</v>
      </c>
      <c r="AF242" s="12">
        <v>4.811E-4</v>
      </c>
      <c r="AG242" s="12">
        <v>0.0</v>
      </c>
      <c r="AH242" s="12">
        <v>0.0</v>
      </c>
      <c r="AI242" s="12">
        <v>0.0</v>
      </c>
      <c r="AJ242" s="12">
        <v>0.0</v>
      </c>
      <c r="AK242" s="12">
        <v>3.18E-5</v>
      </c>
      <c r="AL242" s="12">
        <v>3.407E-4</v>
      </c>
      <c r="AM242" s="12">
        <v>6.355E-4</v>
      </c>
      <c r="AN242" s="12">
        <v>1.385E-4</v>
      </c>
      <c r="AO242" s="13">
        <v>0.0</v>
      </c>
      <c r="AP242" s="13">
        <v>0.0</v>
      </c>
      <c r="AQ242" s="13">
        <v>0.0</v>
      </c>
      <c r="AR242" s="13">
        <v>0.0</v>
      </c>
      <c r="AS242" s="12">
        <v>0.0</v>
      </c>
      <c r="AT242" s="12"/>
      <c r="AU242" s="12"/>
      <c r="AV242" s="15"/>
      <c r="AW242" s="15"/>
    </row>
    <row r="243" ht="15.75" customHeight="1">
      <c r="A243" s="22">
        <v>240830.0</v>
      </c>
      <c r="B243" s="22">
        <v>95.0</v>
      </c>
      <c r="C243" s="22">
        <v>3.0</v>
      </c>
      <c r="D243" s="22" t="s">
        <v>188</v>
      </c>
      <c r="E243" s="22">
        <v>9.0</v>
      </c>
      <c r="F243" s="22" t="s">
        <v>56</v>
      </c>
      <c r="G243" s="22" t="s">
        <v>49</v>
      </c>
      <c r="H243" s="22" t="s">
        <v>50</v>
      </c>
      <c r="I243" s="22" t="s">
        <v>185</v>
      </c>
      <c r="J243" s="22" t="s">
        <v>52</v>
      </c>
      <c r="K243" s="22" t="s">
        <v>70</v>
      </c>
      <c r="L243" s="12">
        <v>0.0203917</v>
      </c>
      <c r="M243" s="12">
        <v>0.024197</v>
      </c>
      <c r="N243" s="12">
        <v>0.025126</v>
      </c>
      <c r="O243" s="12">
        <v>0.0231597</v>
      </c>
      <c r="P243" s="12">
        <v>0.0213005</v>
      </c>
      <c r="Q243" s="12">
        <v>0.0169844</v>
      </c>
      <c r="R243" s="12">
        <v>0.0139027</v>
      </c>
      <c r="S243" s="12">
        <v>0.0137435</v>
      </c>
      <c r="T243" s="12">
        <v>0.012824</v>
      </c>
      <c r="U243" s="12">
        <v>0.0109796</v>
      </c>
      <c r="V243" s="12">
        <v>0.0084155</v>
      </c>
      <c r="W243" s="12">
        <v>0.0079714</v>
      </c>
      <c r="X243" s="12">
        <v>0.0078944</v>
      </c>
      <c r="Y243" s="12">
        <v>0.0067467</v>
      </c>
      <c r="Z243" s="12">
        <v>0.0056796</v>
      </c>
      <c r="AA243" s="12">
        <v>0.0053659</v>
      </c>
      <c r="AB243" s="12">
        <v>0.0068716</v>
      </c>
      <c r="AC243" s="12">
        <v>0.0094917</v>
      </c>
      <c r="AD243" s="12">
        <v>0.0090781</v>
      </c>
      <c r="AE243" s="12">
        <v>0.0059272</v>
      </c>
      <c r="AF243" s="12">
        <v>0.0060453</v>
      </c>
      <c r="AG243" s="12">
        <v>0.0048743</v>
      </c>
      <c r="AH243" s="12">
        <v>0.0017176</v>
      </c>
      <c r="AI243" s="12">
        <v>3.536E-4</v>
      </c>
      <c r="AJ243" s="12">
        <v>0.0</v>
      </c>
      <c r="AK243" s="12">
        <v>0.0</v>
      </c>
      <c r="AL243" s="12">
        <v>0.0</v>
      </c>
      <c r="AM243" s="12">
        <v>0.0</v>
      </c>
      <c r="AN243" s="12">
        <v>0.0</v>
      </c>
      <c r="AO243" s="13">
        <v>0.0</v>
      </c>
      <c r="AP243" s="13">
        <v>0.0</v>
      </c>
      <c r="AQ243" s="13">
        <v>0.0</v>
      </c>
      <c r="AR243" s="13">
        <v>0.0</v>
      </c>
      <c r="AS243" s="12">
        <v>0.0</v>
      </c>
      <c r="AT243" s="12"/>
      <c r="AU243" s="12"/>
      <c r="AV243" s="15"/>
      <c r="AW243" s="15"/>
    </row>
    <row r="244" ht="15.75" customHeight="1">
      <c r="A244" s="22">
        <v>240830.0</v>
      </c>
      <c r="B244" s="22">
        <v>95.0</v>
      </c>
      <c r="C244" s="22">
        <v>3.0</v>
      </c>
      <c r="D244" s="22" t="s">
        <v>189</v>
      </c>
      <c r="E244" s="22">
        <v>9.0</v>
      </c>
      <c r="F244" s="22" t="s">
        <v>56</v>
      </c>
      <c r="G244" s="22" t="s">
        <v>49</v>
      </c>
      <c r="H244" s="22" t="s">
        <v>63</v>
      </c>
      <c r="I244" s="22" t="s">
        <v>185</v>
      </c>
      <c r="J244" s="22" t="s">
        <v>52</v>
      </c>
      <c r="K244" s="22" t="s">
        <v>70</v>
      </c>
      <c r="L244" s="12">
        <v>0.0223487</v>
      </c>
      <c r="M244" s="12">
        <v>0.0204845</v>
      </c>
      <c r="N244" s="12">
        <v>0.0224912</v>
      </c>
      <c r="O244" s="12">
        <v>0.0237714</v>
      </c>
      <c r="P244" s="12">
        <v>0.0202881</v>
      </c>
      <c r="Q244" s="12">
        <v>0.018953</v>
      </c>
      <c r="R244" s="12">
        <v>0.0193556</v>
      </c>
      <c r="S244" s="12">
        <v>0.0183878</v>
      </c>
      <c r="T244" s="12">
        <v>0.0181137</v>
      </c>
      <c r="U244" s="12">
        <v>0.0171287</v>
      </c>
      <c r="V244" s="12">
        <v>0.0142445</v>
      </c>
      <c r="W244" s="12">
        <v>0.0117688</v>
      </c>
      <c r="X244" s="12">
        <v>0.0100332</v>
      </c>
      <c r="Y244" s="12">
        <v>0.0082033</v>
      </c>
      <c r="Z244" s="12">
        <v>0.0060975</v>
      </c>
      <c r="AA244" s="12">
        <v>0.0044034</v>
      </c>
      <c r="AB244" s="12">
        <v>0.0039749</v>
      </c>
      <c r="AC244" s="12">
        <v>0.0031901</v>
      </c>
      <c r="AD244" s="12">
        <v>0.0026239</v>
      </c>
      <c r="AE244" s="12">
        <v>0.0022337</v>
      </c>
      <c r="AF244" s="12">
        <v>0.0021602</v>
      </c>
      <c r="AG244" s="12">
        <v>0.0024752</v>
      </c>
      <c r="AH244" s="12">
        <v>0.0015428</v>
      </c>
      <c r="AI244" s="12">
        <v>6.16E-4</v>
      </c>
      <c r="AJ244" s="12">
        <v>4.0E-4</v>
      </c>
      <c r="AK244" s="12">
        <v>2.678E-4</v>
      </c>
      <c r="AL244" s="12">
        <v>4.5E-5</v>
      </c>
      <c r="AM244" s="12">
        <v>0.0</v>
      </c>
      <c r="AN244" s="12">
        <v>1.27E-4</v>
      </c>
      <c r="AO244" s="12">
        <v>1.845E-4</v>
      </c>
      <c r="AP244" s="13">
        <v>0.0</v>
      </c>
      <c r="AQ244" s="13">
        <v>0.0</v>
      </c>
      <c r="AR244" s="13">
        <v>0.0</v>
      </c>
      <c r="AS244" s="12">
        <v>0.0</v>
      </c>
      <c r="AT244" s="12"/>
      <c r="AU244" s="12"/>
      <c r="AV244" s="15"/>
      <c r="AW244" s="15"/>
    </row>
    <row r="245" ht="15.75" customHeight="1">
      <c r="A245" s="7">
        <v>240902.0</v>
      </c>
      <c r="B245" s="7">
        <v>95.0</v>
      </c>
      <c r="C245" s="7">
        <v>3.0</v>
      </c>
      <c r="D245" s="8" t="s">
        <v>190</v>
      </c>
      <c r="E245" s="7">
        <v>9.0</v>
      </c>
      <c r="F245" s="8" t="s">
        <v>56</v>
      </c>
      <c r="G245" s="8" t="s">
        <v>67</v>
      </c>
      <c r="H245" s="8" t="s">
        <v>65</v>
      </c>
      <c r="I245" s="22" t="s">
        <v>185</v>
      </c>
      <c r="J245" s="22" t="s">
        <v>52</v>
      </c>
      <c r="K245" s="22" t="s">
        <v>70</v>
      </c>
      <c r="L245" s="12">
        <v>0.0059017</v>
      </c>
      <c r="M245" s="12">
        <v>0.0051497</v>
      </c>
      <c r="N245" s="12">
        <v>0.0034127</v>
      </c>
      <c r="O245" s="12">
        <v>0.0025504</v>
      </c>
      <c r="P245" s="12">
        <v>0.0028676</v>
      </c>
      <c r="Q245" s="12">
        <v>0.0032633</v>
      </c>
      <c r="R245" s="12">
        <v>0.0034035</v>
      </c>
      <c r="S245" s="12">
        <v>0.0025169</v>
      </c>
      <c r="T245" s="12">
        <v>0.002444</v>
      </c>
      <c r="U245" s="12">
        <v>0.0028147</v>
      </c>
      <c r="V245" s="12">
        <v>0.0017769</v>
      </c>
      <c r="W245" s="12">
        <v>6.742E-4</v>
      </c>
      <c r="X245" s="12">
        <v>2.03E-4</v>
      </c>
      <c r="Y245" s="12">
        <v>2.491E-4</v>
      </c>
      <c r="Z245" s="12">
        <v>5.942E-4</v>
      </c>
      <c r="AA245" s="12">
        <v>5.699E-4</v>
      </c>
      <c r="AB245" s="12">
        <v>2.549E-4</v>
      </c>
      <c r="AC245" s="12">
        <v>2.688E-4</v>
      </c>
      <c r="AD245" s="12">
        <v>1.942E-4</v>
      </c>
      <c r="AE245" s="12">
        <v>0.0</v>
      </c>
      <c r="AF245" s="12">
        <v>0.0</v>
      </c>
      <c r="AG245" s="12">
        <v>0.0</v>
      </c>
      <c r="AH245" s="12">
        <v>0.0</v>
      </c>
      <c r="AI245" s="12">
        <v>0.0</v>
      </c>
      <c r="AJ245" s="12">
        <v>0.0</v>
      </c>
      <c r="AK245" s="12">
        <v>0.0</v>
      </c>
      <c r="AL245" s="12">
        <v>0.0</v>
      </c>
      <c r="AM245" s="12">
        <v>0.0</v>
      </c>
      <c r="AN245" s="12">
        <v>0.0</v>
      </c>
      <c r="AO245" s="13">
        <v>0.0</v>
      </c>
      <c r="AP245" s="13">
        <v>0.0</v>
      </c>
      <c r="AQ245" s="13">
        <v>0.0</v>
      </c>
      <c r="AR245" s="13">
        <v>0.0</v>
      </c>
      <c r="AS245" s="12">
        <v>0.0</v>
      </c>
      <c r="AT245" s="12"/>
      <c r="AU245" s="12"/>
      <c r="AV245" s="15"/>
      <c r="AW245" s="15"/>
    </row>
    <row r="246" ht="15.75" customHeight="1">
      <c r="A246" s="7">
        <v>240902.0</v>
      </c>
      <c r="B246" s="7">
        <v>95.0</v>
      </c>
      <c r="C246" s="7">
        <v>3.0</v>
      </c>
      <c r="D246" s="8" t="s">
        <v>191</v>
      </c>
      <c r="E246" s="7">
        <v>9.0</v>
      </c>
      <c r="F246" s="8" t="s">
        <v>56</v>
      </c>
      <c r="G246" s="8" t="s">
        <v>67</v>
      </c>
      <c r="H246" s="8" t="s">
        <v>61</v>
      </c>
      <c r="I246" s="22" t="s">
        <v>185</v>
      </c>
      <c r="J246" s="22" t="s">
        <v>52</v>
      </c>
      <c r="K246" s="22" t="s">
        <v>70</v>
      </c>
      <c r="L246" s="12">
        <v>0.0018793</v>
      </c>
      <c r="M246" s="12">
        <v>8.423E-4</v>
      </c>
      <c r="N246" s="12">
        <v>6.69E-4</v>
      </c>
      <c r="O246" s="12">
        <v>6.374E-4</v>
      </c>
      <c r="P246" s="12">
        <v>5.633E-4</v>
      </c>
      <c r="Q246" s="12">
        <v>0.0011022</v>
      </c>
      <c r="R246" s="12">
        <v>0.0013003</v>
      </c>
      <c r="S246" s="12">
        <v>0.0014551</v>
      </c>
      <c r="T246" s="12">
        <v>0.0013488</v>
      </c>
      <c r="U246" s="12">
        <v>8.443E-4</v>
      </c>
      <c r="V246" s="12">
        <v>6.267E-4</v>
      </c>
      <c r="W246" s="12">
        <v>9.365E-4</v>
      </c>
      <c r="X246" s="12">
        <v>0.001858</v>
      </c>
      <c r="Y246" s="12">
        <v>0.0014684</v>
      </c>
      <c r="Z246" s="12">
        <v>2.995E-4</v>
      </c>
      <c r="AA246" s="12">
        <v>0.0</v>
      </c>
      <c r="AB246" s="12">
        <v>0.0</v>
      </c>
      <c r="AC246" s="12">
        <v>0.0</v>
      </c>
      <c r="AD246" s="12">
        <v>0.0</v>
      </c>
      <c r="AE246" s="12">
        <v>0.0</v>
      </c>
      <c r="AF246" s="12">
        <v>0.0</v>
      </c>
      <c r="AG246" s="12">
        <v>0.0</v>
      </c>
      <c r="AH246" s="12">
        <v>0.0</v>
      </c>
      <c r="AI246" s="12">
        <v>0.0</v>
      </c>
      <c r="AJ246" s="12">
        <v>0.0</v>
      </c>
      <c r="AK246" s="12">
        <v>0.0</v>
      </c>
      <c r="AL246" s="12">
        <v>0.0</v>
      </c>
      <c r="AM246" s="12">
        <v>0.0</v>
      </c>
      <c r="AN246" s="12">
        <v>0.0</v>
      </c>
      <c r="AO246" s="13">
        <v>0.0</v>
      </c>
      <c r="AP246" s="13">
        <v>0.0</v>
      </c>
      <c r="AQ246" s="13">
        <v>0.0</v>
      </c>
      <c r="AR246" s="13">
        <v>0.0</v>
      </c>
      <c r="AS246" s="12">
        <v>0.0</v>
      </c>
      <c r="AT246" s="12"/>
      <c r="AU246" s="12"/>
      <c r="AV246" s="15"/>
      <c r="AW246" s="15"/>
    </row>
    <row r="247" ht="15.75" customHeight="1">
      <c r="A247" s="7">
        <v>240902.0</v>
      </c>
      <c r="B247" s="7">
        <v>95.0</v>
      </c>
      <c r="C247" s="7">
        <v>3.0</v>
      </c>
      <c r="D247" s="8" t="s">
        <v>192</v>
      </c>
      <c r="E247" s="7">
        <v>9.0</v>
      </c>
      <c r="F247" s="8" t="s">
        <v>56</v>
      </c>
      <c r="G247" s="8" t="s">
        <v>67</v>
      </c>
      <c r="H247" s="8" t="s">
        <v>50</v>
      </c>
      <c r="I247" s="22" t="s">
        <v>185</v>
      </c>
      <c r="J247" s="22" t="s">
        <v>52</v>
      </c>
      <c r="K247" s="22" t="s">
        <v>70</v>
      </c>
      <c r="L247" s="12">
        <v>0.0029217</v>
      </c>
      <c r="M247" s="12">
        <v>0.0019686</v>
      </c>
      <c r="N247" s="12">
        <v>9.76E-4</v>
      </c>
      <c r="O247" s="12">
        <v>8.801E-4</v>
      </c>
      <c r="P247" s="12">
        <v>0.0012645</v>
      </c>
      <c r="Q247" s="12">
        <v>0.0015274</v>
      </c>
      <c r="R247" s="12">
        <v>8.782E-4</v>
      </c>
      <c r="S247" s="12">
        <v>6.314E-4</v>
      </c>
      <c r="T247" s="12">
        <v>9.943E-4</v>
      </c>
      <c r="U247" s="12">
        <v>7.568E-4</v>
      </c>
      <c r="V247" s="12">
        <v>7.642E-4</v>
      </c>
      <c r="W247" s="12">
        <v>4.582E-4</v>
      </c>
      <c r="X247" s="12">
        <v>2.14E-5</v>
      </c>
      <c r="Y247" s="12">
        <v>0.0</v>
      </c>
      <c r="Z247" s="12">
        <v>0.0</v>
      </c>
      <c r="AA247" s="12">
        <v>0.0</v>
      </c>
      <c r="AB247" s="12">
        <v>0.0</v>
      </c>
      <c r="AC247" s="12">
        <v>0.0</v>
      </c>
      <c r="AD247" s="12">
        <v>0.0</v>
      </c>
      <c r="AE247" s="12">
        <v>0.0</v>
      </c>
      <c r="AF247" s="12">
        <v>2.09E-5</v>
      </c>
      <c r="AG247" s="12">
        <v>1.775E-4</v>
      </c>
      <c r="AH247" s="12">
        <v>4.184E-4</v>
      </c>
      <c r="AI247" s="12">
        <v>8.251E-4</v>
      </c>
      <c r="AJ247" s="12">
        <v>8.604E-4</v>
      </c>
      <c r="AK247" s="12">
        <v>3.005E-4</v>
      </c>
      <c r="AL247" s="12">
        <v>0.0</v>
      </c>
      <c r="AM247" s="12">
        <v>0.0</v>
      </c>
      <c r="AN247" s="12">
        <v>0.0</v>
      </c>
      <c r="AO247" s="13">
        <v>0.0</v>
      </c>
      <c r="AP247" s="13">
        <v>0.0</v>
      </c>
      <c r="AQ247" s="13">
        <v>0.0</v>
      </c>
      <c r="AR247" s="13">
        <v>0.0</v>
      </c>
      <c r="AS247" s="12">
        <v>0.0</v>
      </c>
      <c r="AT247" s="12"/>
      <c r="AU247" s="12"/>
      <c r="AV247" s="15"/>
      <c r="AW247" s="15"/>
    </row>
    <row r="248" ht="15.75" customHeight="1">
      <c r="A248" s="7">
        <v>240903.0</v>
      </c>
      <c r="B248" s="7">
        <v>95.0</v>
      </c>
      <c r="C248" s="7">
        <v>3.0</v>
      </c>
      <c r="D248" s="8" t="s">
        <v>193</v>
      </c>
      <c r="E248" s="7">
        <v>9.0</v>
      </c>
      <c r="F248" s="8" t="s">
        <v>56</v>
      </c>
      <c r="G248" s="8" t="s">
        <v>67</v>
      </c>
      <c r="H248" s="8" t="s">
        <v>63</v>
      </c>
      <c r="I248" s="22" t="s">
        <v>185</v>
      </c>
      <c r="J248" s="22" t="s">
        <v>52</v>
      </c>
      <c r="K248" s="22" t="s">
        <v>70</v>
      </c>
      <c r="L248" s="12">
        <v>0.0016817</v>
      </c>
      <c r="M248" s="12">
        <v>7.551E-4</v>
      </c>
      <c r="N248" s="12">
        <v>1.295E-4</v>
      </c>
      <c r="O248" s="12">
        <v>0.0</v>
      </c>
      <c r="P248" s="12">
        <v>0.0</v>
      </c>
      <c r="Q248" s="12">
        <v>6.84E-5</v>
      </c>
      <c r="R248" s="12">
        <v>4.54E-4</v>
      </c>
      <c r="S248" s="12">
        <v>7.561E-4</v>
      </c>
      <c r="T248" s="12">
        <v>5.524E-4</v>
      </c>
      <c r="U248" s="12">
        <v>5.841E-4</v>
      </c>
      <c r="V248" s="12">
        <v>6.291E-4</v>
      </c>
      <c r="W248" s="12">
        <v>2.602E-4</v>
      </c>
      <c r="X248" s="12">
        <v>1.072E-4</v>
      </c>
      <c r="Y248" s="12">
        <v>4.604E-4</v>
      </c>
      <c r="Z248" s="12">
        <v>8.796E-4</v>
      </c>
      <c r="AA248" s="12">
        <v>9.483E-4</v>
      </c>
      <c r="AB248" s="12">
        <v>0.0011459</v>
      </c>
      <c r="AC248" s="12">
        <v>0.0013122</v>
      </c>
      <c r="AD248" s="12">
        <v>6.178E-4</v>
      </c>
      <c r="AE248" s="12">
        <v>3.52E-4</v>
      </c>
      <c r="AF248" s="12">
        <v>7.448E-4</v>
      </c>
      <c r="AG248" s="12">
        <v>3.948E-4</v>
      </c>
      <c r="AH248" s="12">
        <v>0.0</v>
      </c>
      <c r="AI248" s="12">
        <v>0.0</v>
      </c>
      <c r="AJ248" s="12">
        <v>0.0</v>
      </c>
      <c r="AK248" s="12">
        <v>0.0</v>
      </c>
      <c r="AL248" s="12">
        <v>0.0</v>
      </c>
      <c r="AM248" s="12">
        <v>0.0</v>
      </c>
      <c r="AN248" s="12">
        <v>0.0</v>
      </c>
      <c r="AO248" s="13">
        <v>0.0</v>
      </c>
      <c r="AP248" s="13">
        <v>0.0</v>
      </c>
      <c r="AQ248" s="13">
        <v>0.0</v>
      </c>
      <c r="AR248" s="13">
        <v>0.0</v>
      </c>
      <c r="AS248" s="12">
        <v>0.0</v>
      </c>
      <c r="AT248" s="12"/>
      <c r="AU248" s="12"/>
      <c r="AV248" s="15"/>
      <c r="AW248" s="15"/>
    </row>
    <row r="249" ht="15.75" customHeight="1">
      <c r="A249" s="22">
        <v>240903.0</v>
      </c>
      <c r="B249" s="22">
        <v>95.0</v>
      </c>
      <c r="C249" s="22">
        <v>3.0</v>
      </c>
      <c r="D249" s="22" t="s">
        <v>194</v>
      </c>
      <c r="E249" s="22">
        <v>9.0</v>
      </c>
      <c r="F249" s="22" t="s">
        <v>48</v>
      </c>
      <c r="G249" s="22" t="s">
        <v>67</v>
      </c>
      <c r="H249" s="22" t="s">
        <v>83</v>
      </c>
      <c r="I249" s="22" t="s">
        <v>185</v>
      </c>
      <c r="J249" s="22" t="s">
        <v>52</v>
      </c>
      <c r="K249" s="22" t="s">
        <v>76</v>
      </c>
      <c r="L249" s="12">
        <v>0.0027717</v>
      </c>
      <c r="M249" s="12">
        <v>0.0010866</v>
      </c>
      <c r="N249" s="12">
        <v>9.017E-4</v>
      </c>
      <c r="O249" s="12">
        <v>0.0032272</v>
      </c>
      <c r="P249" s="12">
        <v>0.0037778</v>
      </c>
      <c r="Q249" s="12">
        <v>0.0034475</v>
      </c>
      <c r="R249" s="12">
        <v>0.002878</v>
      </c>
      <c r="S249" s="12">
        <v>0.0023357</v>
      </c>
      <c r="T249" s="12">
        <v>0.0024438</v>
      </c>
      <c r="U249" s="12">
        <v>0.0021495</v>
      </c>
      <c r="V249" s="12">
        <v>0.0024108</v>
      </c>
      <c r="W249" s="12">
        <v>0.0016329</v>
      </c>
      <c r="X249" s="12">
        <v>0.0019044</v>
      </c>
      <c r="Y249" s="12">
        <v>0.0025565</v>
      </c>
      <c r="Z249" s="12">
        <v>0.0030272</v>
      </c>
      <c r="AA249" s="12">
        <v>0.0030823</v>
      </c>
      <c r="AB249" s="12">
        <v>0.0023228</v>
      </c>
      <c r="AC249" s="12">
        <v>0.0029451</v>
      </c>
      <c r="AD249" s="12">
        <v>0.0034333</v>
      </c>
      <c r="AE249" s="12">
        <v>0.0028076</v>
      </c>
      <c r="AF249" s="12">
        <v>0.0016575</v>
      </c>
      <c r="AG249" s="12">
        <v>8.307E-4</v>
      </c>
      <c r="AH249" s="12">
        <v>0.0010845</v>
      </c>
      <c r="AI249" s="12">
        <v>0.0011428</v>
      </c>
      <c r="AJ249" s="12">
        <v>3.559E-4</v>
      </c>
      <c r="AK249" s="12">
        <v>4.43E-5</v>
      </c>
      <c r="AL249" s="12">
        <v>0.0</v>
      </c>
      <c r="AM249" s="12">
        <v>0.0</v>
      </c>
      <c r="AN249" s="12">
        <v>0.0</v>
      </c>
      <c r="AO249" s="13">
        <v>0.0</v>
      </c>
      <c r="AP249" s="13">
        <v>0.0</v>
      </c>
      <c r="AQ249" s="13">
        <v>0.0</v>
      </c>
      <c r="AR249" s="13">
        <v>0.0</v>
      </c>
      <c r="AS249" s="12">
        <v>0.0</v>
      </c>
      <c r="AT249" s="12"/>
      <c r="AU249" s="12"/>
      <c r="AV249" s="15"/>
      <c r="AW249" s="15"/>
    </row>
    <row r="250" ht="15.75" customHeight="1">
      <c r="A250" s="22">
        <v>240903.0</v>
      </c>
      <c r="B250" s="22">
        <v>95.0</v>
      </c>
      <c r="C250" s="22">
        <v>3.0</v>
      </c>
      <c r="D250" s="22" t="s">
        <v>195</v>
      </c>
      <c r="E250" s="22">
        <v>9.0</v>
      </c>
      <c r="F250" s="22" t="s">
        <v>48</v>
      </c>
      <c r="G250" s="22" t="s">
        <v>67</v>
      </c>
      <c r="H250" s="22" t="s">
        <v>83</v>
      </c>
      <c r="I250" s="22" t="s">
        <v>185</v>
      </c>
      <c r="J250" s="22" t="s">
        <v>52</v>
      </c>
      <c r="K250" s="22" t="s">
        <v>76</v>
      </c>
      <c r="L250" s="12">
        <v>9.36E-4</v>
      </c>
      <c r="M250" s="12">
        <v>0.0019407</v>
      </c>
      <c r="N250" s="12">
        <v>0.0026824</v>
      </c>
      <c r="O250" s="12">
        <v>0.002603</v>
      </c>
      <c r="P250" s="12">
        <v>0.0016738</v>
      </c>
      <c r="Q250" s="12">
        <v>0.0010575</v>
      </c>
      <c r="R250" s="12">
        <v>4.737E-4</v>
      </c>
      <c r="S250" s="12">
        <v>5.4E-6</v>
      </c>
      <c r="T250" s="12">
        <v>1.624E-4</v>
      </c>
      <c r="U250" s="12">
        <v>8.297E-4</v>
      </c>
      <c r="V250" s="12">
        <v>0.0014888</v>
      </c>
      <c r="W250" s="12">
        <v>0.0019104</v>
      </c>
      <c r="X250" s="12">
        <v>0.0023098</v>
      </c>
      <c r="Y250" s="12">
        <v>0.001905</v>
      </c>
      <c r="Z250" s="12">
        <v>0.0015135</v>
      </c>
      <c r="AA250" s="12">
        <v>0.0014979</v>
      </c>
      <c r="AB250" s="12">
        <v>0.0019868</v>
      </c>
      <c r="AC250" s="12">
        <v>0.0025396</v>
      </c>
      <c r="AD250" s="12">
        <v>0.0030325</v>
      </c>
      <c r="AE250" s="12">
        <v>0.0030117</v>
      </c>
      <c r="AF250" s="12">
        <v>0.0013341</v>
      </c>
      <c r="AG250" s="12">
        <v>5.435E-4</v>
      </c>
      <c r="AH250" s="12">
        <v>6.107E-4</v>
      </c>
      <c r="AI250" s="12">
        <v>0.0010708</v>
      </c>
      <c r="AJ250" s="12">
        <v>0.0022352</v>
      </c>
      <c r="AK250" s="12">
        <v>0.0032267</v>
      </c>
      <c r="AL250" s="12">
        <v>0.0034333</v>
      </c>
      <c r="AM250" s="12">
        <v>0.0022162</v>
      </c>
      <c r="AN250" s="12">
        <v>0.0</v>
      </c>
      <c r="AO250" s="13">
        <v>0.0</v>
      </c>
      <c r="AP250" s="13">
        <v>0.0</v>
      </c>
      <c r="AQ250" s="13">
        <v>0.0</v>
      </c>
      <c r="AR250" s="13">
        <v>0.0</v>
      </c>
      <c r="AS250" s="12">
        <v>0.0</v>
      </c>
      <c r="AT250" s="12"/>
      <c r="AU250" s="12"/>
      <c r="AV250" s="15"/>
      <c r="AW250" s="15"/>
    </row>
    <row r="251" ht="15.75" customHeight="1">
      <c r="A251" s="22">
        <v>240903.0</v>
      </c>
      <c r="B251" s="22">
        <v>95.0</v>
      </c>
      <c r="C251" s="22">
        <v>3.0</v>
      </c>
      <c r="D251" s="22" t="s">
        <v>196</v>
      </c>
      <c r="E251" s="22">
        <v>9.0</v>
      </c>
      <c r="F251" s="22" t="s">
        <v>48</v>
      </c>
      <c r="G251" s="22" t="s">
        <v>67</v>
      </c>
      <c r="H251" s="22" t="s">
        <v>83</v>
      </c>
      <c r="I251" s="22" t="s">
        <v>185</v>
      </c>
      <c r="J251" s="22" t="s">
        <v>52</v>
      </c>
      <c r="K251" s="22" t="s">
        <v>76</v>
      </c>
      <c r="L251" s="12">
        <v>0.0030362</v>
      </c>
      <c r="M251" s="12">
        <v>0.0029535</v>
      </c>
      <c r="N251" s="12">
        <v>0.0029619</v>
      </c>
      <c r="O251" s="12">
        <v>0.0021556</v>
      </c>
      <c r="P251" s="12">
        <v>0.0010419</v>
      </c>
      <c r="Q251" s="12">
        <v>0.0010983</v>
      </c>
      <c r="R251" s="12">
        <v>0.0020732</v>
      </c>
      <c r="S251" s="12">
        <v>0.0028315</v>
      </c>
      <c r="T251" s="12">
        <v>0.0024218</v>
      </c>
      <c r="U251" s="12">
        <v>0.0016251</v>
      </c>
      <c r="V251" s="12">
        <v>0.0018461</v>
      </c>
      <c r="W251" s="12">
        <v>0.0034985</v>
      </c>
      <c r="X251" s="12">
        <v>0.0050782</v>
      </c>
      <c r="Y251" s="12">
        <v>0.0045542</v>
      </c>
      <c r="Z251" s="12">
        <v>0.0041246</v>
      </c>
      <c r="AA251" s="12">
        <v>0.0035426</v>
      </c>
      <c r="AB251" s="12">
        <v>0.0017047</v>
      </c>
      <c r="AC251" s="12">
        <v>0.0015367</v>
      </c>
      <c r="AD251" s="12">
        <v>0.0016622</v>
      </c>
      <c r="AE251" s="12">
        <v>0.0010079</v>
      </c>
      <c r="AF251" s="12">
        <v>0.0010462</v>
      </c>
      <c r="AG251" s="12">
        <v>0.0010141</v>
      </c>
      <c r="AH251" s="12">
        <v>3.852E-4</v>
      </c>
      <c r="AI251" s="12">
        <v>0.0</v>
      </c>
      <c r="AJ251" s="12">
        <v>0.0</v>
      </c>
      <c r="AK251" s="12">
        <v>0.0</v>
      </c>
      <c r="AL251" s="12">
        <v>0.0</v>
      </c>
      <c r="AM251" s="12">
        <v>0.0</v>
      </c>
      <c r="AN251" s="12">
        <v>0.0</v>
      </c>
      <c r="AO251" s="13">
        <v>0.0</v>
      </c>
      <c r="AP251" s="13">
        <v>0.0</v>
      </c>
      <c r="AQ251" s="13">
        <v>0.0</v>
      </c>
      <c r="AR251" s="13">
        <v>0.0</v>
      </c>
      <c r="AS251" s="12">
        <v>0.0</v>
      </c>
      <c r="AT251" s="12"/>
      <c r="AU251" s="12"/>
      <c r="AV251" s="15"/>
      <c r="AW251" s="15"/>
    </row>
    <row r="252" ht="15.75" customHeight="1">
      <c r="A252" s="22">
        <v>240903.0</v>
      </c>
      <c r="B252" s="22">
        <v>95.0</v>
      </c>
      <c r="C252" s="22">
        <v>3.0</v>
      </c>
      <c r="D252" s="22" t="s">
        <v>197</v>
      </c>
      <c r="E252" s="22">
        <v>9.0</v>
      </c>
      <c r="F252" s="22" t="s">
        <v>48</v>
      </c>
      <c r="G252" s="22" t="s">
        <v>67</v>
      </c>
      <c r="H252" s="22" t="s">
        <v>83</v>
      </c>
      <c r="I252" s="22" t="s">
        <v>185</v>
      </c>
      <c r="J252" s="22" t="s">
        <v>52</v>
      </c>
      <c r="K252" s="22" t="s">
        <v>76</v>
      </c>
      <c r="L252" s="12">
        <v>0.0132429</v>
      </c>
      <c r="M252" s="12">
        <v>0.0063257</v>
      </c>
      <c r="N252" s="12">
        <v>0.0035164</v>
      </c>
      <c r="O252" s="12">
        <v>0.0029524</v>
      </c>
      <c r="P252" s="12">
        <v>0.0040694</v>
      </c>
      <c r="Q252" s="12">
        <v>0.0037614</v>
      </c>
      <c r="R252" s="12">
        <v>0.002073</v>
      </c>
      <c r="S252" s="12">
        <v>0.0015053</v>
      </c>
      <c r="T252" s="12">
        <v>6.571E-4</v>
      </c>
      <c r="U252" s="12">
        <v>2.982E-4</v>
      </c>
      <c r="V252" s="12">
        <v>6.937E-4</v>
      </c>
      <c r="W252" s="12">
        <v>8.141E-4</v>
      </c>
      <c r="X252" s="12">
        <v>5.293E-4</v>
      </c>
      <c r="Y252" s="12">
        <v>6.416E-4</v>
      </c>
      <c r="Z252" s="12">
        <v>3.797E-4</v>
      </c>
      <c r="AA252" s="12">
        <v>0.0</v>
      </c>
      <c r="AB252" s="12">
        <v>0.0</v>
      </c>
      <c r="AC252" s="12">
        <v>0.0</v>
      </c>
      <c r="AD252" s="12">
        <v>0.0</v>
      </c>
      <c r="AE252" s="12">
        <v>0.0</v>
      </c>
      <c r="AF252" s="12">
        <v>0.0</v>
      </c>
      <c r="AG252" s="12">
        <v>0.0</v>
      </c>
      <c r="AH252" s="12">
        <v>0.0</v>
      </c>
      <c r="AI252" s="12">
        <v>0.0</v>
      </c>
      <c r="AJ252" s="12">
        <v>0.0</v>
      </c>
      <c r="AK252" s="12">
        <v>0.0</v>
      </c>
      <c r="AL252" s="12">
        <v>0.0</v>
      </c>
      <c r="AM252" s="12">
        <v>0.0</v>
      </c>
      <c r="AN252" s="12">
        <v>0.0</v>
      </c>
      <c r="AO252" s="13">
        <v>0.0</v>
      </c>
      <c r="AP252" s="13">
        <v>0.0</v>
      </c>
      <c r="AQ252" s="13">
        <v>0.0</v>
      </c>
      <c r="AR252" s="13">
        <v>0.0</v>
      </c>
      <c r="AS252" s="12">
        <v>0.0</v>
      </c>
      <c r="AT252" s="12"/>
      <c r="AU252" s="12"/>
      <c r="AV252" s="15"/>
      <c r="AW252" s="15"/>
    </row>
    <row r="253" ht="15.75" customHeight="1">
      <c r="A253" s="22">
        <v>240904.0</v>
      </c>
      <c r="B253" s="22">
        <v>95.0</v>
      </c>
      <c r="C253" s="22">
        <v>3.0</v>
      </c>
      <c r="D253" s="22" t="s">
        <v>198</v>
      </c>
      <c r="E253" s="22">
        <v>9.0</v>
      </c>
      <c r="F253" s="22" t="s">
        <v>48</v>
      </c>
      <c r="G253" s="22" t="s">
        <v>49</v>
      </c>
      <c r="H253" s="22" t="s">
        <v>65</v>
      </c>
      <c r="I253" s="22" t="s">
        <v>185</v>
      </c>
      <c r="J253" s="22" t="s">
        <v>52</v>
      </c>
      <c r="K253" s="22" t="s">
        <v>76</v>
      </c>
      <c r="L253" s="12">
        <v>0.0048196</v>
      </c>
      <c r="M253" s="12">
        <v>0.0063262</v>
      </c>
      <c r="N253" s="12">
        <v>0.0044407</v>
      </c>
      <c r="O253" s="12">
        <v>0.0019129</v>
      </c>
      <c r="P253" s="12">
        <v>0.0011711</v>
      </c>
      <c r="Q253" s="12">
        <v>0.0013953</v>
      </c>
      <c r="R253" s="12">
        <v>0.0015371</v>
      </c>
      <c r="S253" s="12">
        <v>0.0016758</v>
      </c>
      <c r="T253" s="12">
        <v>0.0015657</v>
      </c>
      <c r="U253" s="12">
        <v>0.0016373</v>
      </c>
      <c r="V253" s="12">
        <v>0.0014393</v>
      </c>
      <c r="W253" s="12">
        <v>0.0011032</v>
      </c>
      <c r="X253" s="12">
        <v>0.001229</v>
      </c>
      <c r="Y253" s="12">
        <v>4.732E-4</v>
      </c>
      <c r="Z253" s="12">
        <v>0.0016053</v>
      </c>
      <c r="AA253" s="12">
        <v>0.0023049</v>
      </c>
      <c r="AB253" s="12">
        <v>0.001117</v>
      </c>
      <c r="AC253" s="12">
        <v>9.705E-4</v>
      </c>
      <c r="AD253" s="12">
        <v>0.0012923</v>
      </c>
      <c r="AE253" s="12">
        <v>8.024E-4</v>
      </c>
      <c r="AF253" s="12">
        <v>6.984E-4</v>
      </c>
      <c r="AG253" s="12">
        <v>0.0011581</v>
      </c>
      <c r="AH253" s="12">
        <v>7.777E-4</v>
      </c>
      <c r="AI253" s="12">
        <v>3.02E-5</v>
      </c>
      <c r="AJ253" s="12">
        <v>0.0</v>
      </c>
      <c r="AK253" s="12">
        <v>0.0</v>
      </c>
      <c r="AL253" s="12">
        <v>0.0</v>
      </c>
      <c r="AM253" s="12">
        <v>0.0</v>
      </c>
      <c r="AN253" s="12">
        <v>0.0</v>
      </c>
      <c r="AO253" s="13">
        <v>0.0</v>
      </c>
      <c r="AP253" s="13">
        <v>0.0</v>
      </c>
      <c r="AQ253" s="13">
        <v>0.0</v>
      </c>
      <c r="AR253" s="13">
        <v>0.0</v>
      </c>
      <c r="AS253" s="12">
        <v>0.0</v>
      </c>
      <c r="AT253" s="12"/>
      <c r="AU253" s="12"/>
      <c r="AV253" s="15"/>
      <c r="AW253" s="15"/>
    </row>
    <row r="254" ht="15.75" customHeight="1">
      <c r="A254" s="22">
        <v>240904.0</v>
      </c>
      <c r="B254" s="22">
        <v>95.0</v>
      </c>
      <c r="C254" s="22">
        <v>3.0</v>
      </c>
      <c r="D254" s="22" t="s">
        <v>199</v>
      </c>
      <c r="E254" s="22">
        <v>9.0</v>
      </c>
      <c r="F254" s="22" t="s">
        <v>48</v>
      </c>
      <c r="G254" s="22" t="s">
        <v>49</v>
      </c>
      <c r="H254" s="22" t="s">
        <v>63</v>
      </c>
      <c r="I254" s="22" t="s">
        <v>185</v>
      </c>
      <c r="J254" s="22" t="s">
        <v>52</v>
      </c>
      <c r="K254" s="22" t="s">
        <v>76</v>
      </c>
      <c r="L254" s="12">
        <v>0.0048572</v>
      </c>
      <c r="M254" s="12">
        <v>0.0040125</v>
      </c>
      <c r="N254" s="12">
        <v>0.0037474</v>
      </c>
      <c r="O254" s="12">
        <v>0.0042506</v>
      </c>
      <c r="P254" s="12">
        <v>0.0027149</v>
      </c>
      <c r="Q254" s="12">
        <v>9.75E-4</v>
      </c>
      <c r="R254" s="12">
        <v>0.001257</v>
      </c>
      <c r="S254" s="12">
        <v>0.0013042</v>
      </c>
      <c r="T254" s="12">
        <v>8.714E-4</v>
      </c>
      <c r="U254" s="12">
        <v>5.203E-4</v>
      </c>
      <c r="V254" s="12">
        <v>5.975E-4</v>
      </c>
      <c r="W254" s="12">
        <v>5.947E-4</v>
      </c>
      <c r="X254" s="12">
        <v>2.332E-4</v>
      </c>
      <c r="Y254" s="12">
        <v>6.35E-5</v>
      </c>
      <c r="Z254" s="12">
        <v>1.102E-4</v>
      </c>
      <c r="AA254" s="12">
        <v>1.11E-4</v>
      </c>
      <c r="AB254" s="12">
        <v>0.0</v>
      </c>
      <c r="AC254" s="12">
        <v>1.722E-4</v>
      </c>
      <c r="AD254" s="12">
        <v>1.665E-4</v>
      </c>
      <c r="AE254" s="12">
        <v>0.0</v>
      </c>
      <c r="AF254" s="12">
        <v>0.0</v>
      </c>
      <c r="AG254" s="12">
        <v>0.0</v>
      </c>
      <c r="AH254" s="12">
        <v>0.0</v>
      </c>
      <c r="AI254" s="12">
        <v>0.0</v>
      </c>
      <c r="AJ254" s="12">
        <v>0.0</v>
      </c>
      <c r="AK254" s="12">
        <v>0.0</v>
      </c>
      <c r="AL254" s="12">
        <v>0.0</v>
      </c>
      <c r="AM254" s="12">
        <v>0.0</v>
      </c>
      <c r="AN254" s="12">
        <v>0.0</v>
      </c>
      <c r="AO254" s="13">
        <v>0.0</v>
      </c>
      <c r="AP254" s="13">
        <v>0.0</v>
      </c>
      <c r="AQ254" s="13">
        <v>0.0</v>
      </c>
      <c r="AR254" s="13">
        <v>0.0</v>
      </c>
      <c r="AS254" s="12">
        <v>0.0</v>
      </c>
      <c r="AT254" s="12"/>
      <c r="AU254" s="12"/>
      <c r="AV254" s="15"/>
      <c r="AW254" s="15"/>
    </row>
    <row r="255" ht="15.75" customHeight="1">
      <c r="A255" s="22">
        <v>240904.0</v>
      </c>
      <c r="B255" s="22">
        <v>95.0</v>
      </c>
      <c r="C255" s="22">
        <v>3.0</v>
      </c>
      <c r="D255" s="22" t="s">
        <v>200</v>
      </c>
      <c r="E255" s="22">
        <v>9.0</v>
      </c>
      <c r="F255" s="22" t="s">
        <v>48</v>
      </c>
      <c r="G255" s="22" t="s">
        <v>49</v>
      </c>
      <c r="H255" s="22" t="s">
        <v>50</v>
      </c>
      <c r="I255" s="22" t="s">
        <v>185</v>
      </c>
      <c r="J255" s="22" t="s">
        <v>52</v>
      </c>
      <c r="K255" s="22" t="s">
        <v>76</v>
      </c>
      <c r="L255" s="12">
        <v>0.0097663</v>
      </c>
      <c r="M255" s="12">
        <v>0.0039541</v>
      </c>
      <c r="N255" s="12">
        <v>0.002516</v>
      </c>
      <c r="O255" s="12">
        <v>0.0031481</v>
      </c>
      <c r="P255" s="12">
        <v>0.0028008</v>
      </c>
      <c r="Q255" s="12">
        <v>0.0022355</v>
      </c>
      <c r="R255" s="12">
        <v>0.0014465</v>
      </c>
      <c r="S255" s="12">
        <v>9.442E-4</v>
      </c>
      <c r="T255" s="12">
        <v>0.0010554</v>
      </c>
      <c r="U255" s="12">
        <v>0.0013167</v>
      </c>
      <c r="V255" s="12">
        <v>0.0015553</v>
      </c>
      <c r="W255" s="12">
        <v>0.0015972</v>
      </c>
      <c r="X255" s="12">
        <v>0.0013794</v>
      </c>
      <c r="Y255" s="12">
        <v>0.0012517</v>
      </c>
      <c r="Z255" s="12">
        <v>0.0011663</v>
      </c>
      <c r="AA255" s="12">
        <v>6.837E-4</v>
      </c>
      <c r="AB255" s="12">
        <v>3.926E-4</v>
      </c>
      <c r="AC255" s="12">
        <v>0.0013765</v>
      </c>
      <c r="AD255" s="12">
        <v>0.0028248</v>
      </c>
      <c r="AE255" s="12">
        <v>0.0027287</v>
      </c>
      <c r="AF255" s="12">
        <v>0.0017512</v>
      </c>
      <c r="AG255" s="12">
        <v>0.0013017</v>
      </c>
      <c r="AH255" s="12">
        <v>8.127E-4</v>
      </c>
      <c r="AI255" s="12">
        <v>0.0014181</v>
      </c>
      <c r="AJ255" s="12">
        <v>0.0028164</v>
      </c>
      <c r="AK255" s="12">
        <v>0.0024117</v>
      </c>
      <c r="AL255" s="12">
        <v>0.0014192</v>
      </c>
      <c r="AM255" s="12">
        <v>7.094E-4</v>
      </c>
      <c r="AN255" s="12">
        <v>0.0</v>
      </c>
      <c r="AO255" s="13">
        <v>0.0</v>
      </c>
      <c r="AP255" s="13">
        <v>0.0</v>
      </c>
      <c r="AQ255" s="13">
        <v>0.0</v>
      </c>
      <c r="AR255" s="13">
        <v>0.0</v>
      </c>
      <c r="AS255" s="12">
        <v>0.0</v>
      </c>
      <c r="AT255" s="12"/>
      <c r="AU255" s="12"/>
      <c r="AV255" s="15"/>
      <c r="AW255" s="15"/>
    </row>
    <row r="256" ht="15.75" customHeight="1">
      <c r="A256" s="22">
        <v>240904.0</v>
      </c>
      <c r="B256" s="22">
        <v>95.0</v>
      </c>
      <c r="C256" s="22">
        <v>3.0</v>
      </c>
      <c r="D256" s="22" t="s">
        <v>201</v>
      </c>
      <c r="E256" s="22">
        <v>9.0</v>
      </c>
      <c r="F256" s="22" t="s">
        <v>48</v>
      </c>
      <c r="G256" s="22" t="s">
        <v>49</v>
      </c>
      <c r="H256" s="22" t="s">
        <v>61</v>
      </c>
      <c r="I256" s="22" t="s">
        <v>185</v>
      </c>
      <c r="J256" s="22" t="s">
        <v>52</v>
      </c>
      <c r="K256" s="22" t="s">
        <v>76</v>
      </c>
      <c r="L256" s="12">
        <v>0.0048449</v>
      </c>
      <c r="M256" s="12">
        <v>0.0032602</v>
      </c>
      <c r="N256" s="12">
        <v>0.0017612</v>
      </c>
      <c r="O256" s="12">
        <v>8.459E-4</v>
      </c>
      <c r="P256" s="12">
        <v>2.892E-4</v>
      </c>
      <c r="Q256" s="12">
        <v>5.412E-4</v>
      </c>
      <c r="R256" s="12">
        <v>0.0016739</v>
      </c>
      <c r="S256" s="12">
        <v>0.0015014</v>
      </c>
      <c r="T256" s="12">
        <v>5.228E-4</v>
      </c>
      <c r="U256" s="12">
        <v>7.083E-4</v>
      </c>
      <c r="V256" s="12">
        <v>7.466E-4</v>
      </c>
      <c r="W256" s="12">
        <v>8.54E-4</v>
      </c>
      <c r="X256" s="12">
        <v>0.0011463</v>
      </c>
      <c r="Y256" s="12">
        <v>0.0011114</v>
      </c>
      <c r="Z256" s="12">
        <v>0.0024736</v>
      </c>
      <c r="AA256" s="12">
        <v>0.0018094</v>
      </c>
      <c r="AB256" s="12">
        <v>8.729E-4</v>
      </c>
      <c r="AC256" s="12">
        <v>0.0010464</v>
      </c>
      <c r="AD256" s="12">
        <v>5.718E-4</v>
      </c>
      <c r="AE256" s="12">
        <v>9.205E-4</v>
      </c>
      <c r="AF256" s="12">
        <v>5.921E-4</v>
      </c>
      <c r="AG256" s="12">
        <v>2.709E-4</v>
      </c>
      <c r="AH256" s="12">
        <v>9.395E-4</v>
      </c>
      <c r="AI256" s="12">
        <v>0.00135</v>
      </c>
      <c r="AJ256" s="12">
        <v>0.0020232</v>
      </c>
      <c r="AK256" s="12">
        <v>0.0017047</v>
      </c>
      <c r="AL256" s="12">
        <v>0.0</v>
      </c>
      <c r="AM256" s="12">
        <v>0.0</v>
      </c>
      <c r="AN256" s="12">
        <v>0.0</v>
      </c>
      <c r="AO256" s="13">
        <v>0.0</v>
      </c>
      <c r="AP256" s="13">
        <v>0.0</v>
      </c>
      <c r="AQ256" s="13">
        <v>0.0</v>
      </c>
      <c r="AR256" s="13">
        <v>0.0</v>
      </c>
      <c r="AS256" s="12">
        <v>0.0</v>
      </c>
      <c r="AT256" s="12"/>
      <c r="AU256" s="12"/>
      <c r="AV256" s="15"/>
      <c r="AW256" s="15"/>
    </row>
    <row r="257" ht="15.75" customHeight="1">
      <c r="A257" s="22">
        <v>240830.0</v>
      </c>
      <c r="B257" s="22">
        <v>95.0</v>
      </c>
      <c r="C257" s="22">
        <v>3.0</v>
      </c>
      <c r="D257" s="22" t="s">
        <v>186</v>
      </c>
      <c r="E257" s="22">
        <v>9.0</v>
      </c>
      <c r="F257" s="22" t="s">
        <v>56</v>
      </c>
      <c r="G257" s="22" t="s">
        <v>49</v>
      </c>
      <c r="H257" s="22" t="s">
        <v>65</v>
      </c>
      <c r="I257" s="22" t="s">
        <v>51</v>
      </c>
      <c r="J257" s="22" t="s">
        <v>52</v>
      </c>
      <c r="K257" s="22" t="s">
        <v>70</v>
      </c>
      <c r="L257" s="12">
        <v>0.0170879</v>
      </c>
      <c r="M257" s="12">
        <v>0.019048</v>
      </c>
      <c r="N257" s="12">
        <v>0.0222054</v>
      </c>
      <c r="O257" s="12">
        <v>0.0239124</v>
      </c>
      <c r="P257" s="12">
        <v>0.0225886</v>
      </c>
      <c r="Q257" s="12">
        <v>0.0227053</v>
      </c>
      <c r="R257" s="12">
        <v>0.0244298</v>
      </c>
      <c r="S257" s="12">
        <v>0.0258416</v>
      </c>
      <c r="T257" s="12">
        <v>0.0270606</v>
      </c>
      <c r="U257" s="12">
        <v>0.0279053</v>
      </c>
      <c r="V257" s="12">
        <v>0.0256869</v>
      </c>
      <c r="W257" s="12">
        <v>0.0243402</v>
      </c>
      <c r="X257" s="12">
        <v>0.0264019</v>
      </c>
      <c r="Y257" s="12">
        <v>0.0270039</v>
      </c>
      <c r="Z257" s="12">
        <v>0.0280825</v>
      </c>
      <c r="AA257" s="12">
        <v>0.0305961</v>
      </c>
      <c r="AB257" s="12">
        <v>0.0327601</v>
      </c>
      <c r="AC257" s="12">
        <v>0.0339987</v>
      </c>
      <c r="AD257" s="12">
        <v>0.0338363</v>
      </c>
      <c r="AE257" s="12">
        <v>0.0325629</v>
      </c>
      <c r="AF257" s="12">
        <v>0.0338045</v>
      </c>
      <c r="AG257" s="12">
        <v>0.0366868</v>
      </c>
      <c r="AH257" s="12">
        <v>0.0374796</v>
      </c>
      <c r="AI257" s="12">
        <v>0.035845</v>
      </c>
      <c r="AJ257" s="12">
        <v>0.0269534</v>
      </c>
      <c r="AK257" s="12">
        <v>0.014961</v>
      </c>
      <c r="AL257" s="12">
        <v>0.0069098</v>
      </c>
      <c r="AM257" s="12">
        <v>0.0024277</v>
      </c>
      <c r="AN257" s="12">
        <v>0.0</v>
      </c>
      <c r="AO257" s="13">
        <v>0.0</v>
      </c>
      <c r="AP257" s="13">
        <v>0.0</v>
      </c>
      <c r="AQ257" s="13">
        <v>0.0</v>
      </c>
      <c r="AR257" s="13">
        <v>0.0</v>
      </c>
      <c r="AS257" s="12">
        <v>0.0</v>
      </c>
      <c r="AT257" s="12"/>
      <c r="AU257" s="12"/>
      <c r="AV257" s="15"/>
      <c r="AW257" s="15"/>
    </row>
    <row r="258" ht="15.75" customHeight="1">
      <c r="A258" s="22">
        <v>240830.0</v>
      </c>
      <c r="B258" s="22">
        <v>95.0</v>
      </c>
      <c r="C258" s="22">
        <v>3.0</v>
      </c>
      <c r="D258" s="22" t="s">
        <v>187</v>
      </c>
      <c r="E258" s="22">
        <v>9.0</v>
      </c>
      <c r="F258" s="22" t="s">
        <v>56</v>
      </c>
      <c r="G258" s="22" t="s">
        <v>49</v>
      </c>
      <c r="H258" s="22" t="s">
        <v>61</v>
      </c>
      <c r="I258" s="22" t="s">
        <v>51</v>
      </c>
      <c r="J258" s="22" t="s">
        <v>52</v>
      </c>
      <c r="K258" s="22" t="s">
        <v>70</v>
      </c>
      <c r="L258" s="12">
        <v>0.0166318</v>
      </c>
      <c r="M258" s="12">
        <v>0.0180927</v>
      </c>
      <c r="N258" s="12">
        <v>0.021125</v>
      </c>
      <c r="O258" s="12">
        <v>0.0227866</v>
      </c>
      <c r="P258" s="12">
        <v>0.0229869</v>
      </c>
      <c r="Q258" s="12">
        <v>0.0218333</v>
      </c>
      <c r="R258" s="12">
        <v>0.0203521</v>
      </c>
      <c r="S258" s="12">
        <v>0.0219455</v>
      </c>
      <c r="T258" s="12">
        <v>0.0235974</v>
      </c>
      <c r="U258" s="12">
        <v>0.0234752</v>
      </c>
      <c r="V258" s="12">
        <v>0.0248112</v>
      </c>
      <c r="W258" s="12">
        <v>0.0260089</v>
      </c>
      <c r="X258" s="12">
        <v>0.0258078</v>
      </c>
      <c r="Y258" s="12">
        <v>0.0273477</v>
      </c>
      <c r="Z258" s="12">
        <v>0.0286476</v>
      </c>
      <c r="AA258" s="12">
        <v>0.0276342</v>
      </c>
      <c r="AB258" s="12">
        <v>0.0265943</v>
      </c>
      <c r="AC258" s="12">
        <v>0.0254987</v>
      </c>
      <c r="AD258" s="12">
        <v>0.0247015</v>
      </c>
      <c r="AE258" s="12">
        <v>0.0260409</v>
      </c>
      <c r="AF258" s="12">
        <v>0.026874</v>
      </c>
      <c r="AG258" s="12">
        <v>0.0256131</v>
      </c>
      <c r="AH258" s="12">
        <v>0.0252638</v>
      </c>
      <c r="AI258" s="12">
        <v>0.0218679</v>
      </c>
      <c r="AJ258" s="12">
        <v>0.0119957</v>
      </c>
      <c r="AK258" s="12">
        <v>0.0044292</v>
      </c>
      <c r="AL258" s="12">
        <v>0.0021731</v>
      </c>
      <c r="AM258" s="12">
        <v>8.967E-4</v>
      </c>
      <c r="AN258" s="12">
        <v>0.0</v>
      </c>
      <c r="AO258" s="13">
        <v>0.0</v>
      </c>
      <c r="AP258" s="13">
        <v>0.0</v>
      </c>
      <c r="AQ258" s="13">
        <v>0.0</v>
      </c>
      <c r="AR258" s="13">
        <v>0.0</v>
      </c>
      <c r="AS258" s="12">
        <v>0.0</v>
      </c>
      <c r="AT258" s="12"/>
      <c r="AU258" s="12"/>
      <c r="AV258" s="15"/>
      <c r="AW258" s="15"/>
    </row>
    <row r="259" ht="15.75" customHeight="1">
      <c r="A259" s="22">
        <v>240830.0</v>
      </c>
      <c r="B259" s="22">
        <v>95.0</v>
      </c>
      <c r="C259" s="22">
        <v>3.0</v>
      </c>
      <c r="D259" s="22" t="s">
        <v>188</v>
      </c>
      <c r="E259" s="22">
        <v>9.0</v>
      </c>
      <c r="F259" s="22" t="s">
        <v>56</v>
      </c>
      <c r="G259" s="22" t="s">
        <v>49</v>
      </c>
      <c r="H259" s="22" t="s">
        <v>50</v>
      </c>
      <c r="I259" s="22" t="s">
        <v>51</v>
      </c>
      <c r="J259" s="22" t="s">
        <v>52</v>
      </c>
      <c r="K259" s="22" t="s">
        <v>70</v>
      </c>
      <c r="L259" s="12">
        <v>0.0211119</v>
      </c>
      <c r="M259" s="12">
        <v>0.0228586</v>
      </c>
      <c r="N259" s="12">
        <v>0.0235292</v>
      </c>
      <c r="O259" s="12">
        <v>0.0230672</v>
      </c>
      <c r="P259" s="12">
        <v>0.0245967</v>
      </c>
      <c r="Q259" s="12">
        <v>0.0257913</v>
      </c>
      <c r="R259" s="12">
        <v>0.0269672</v>
      </c>
      <c r="S259" s="12">
        <v>0.0284466</v>
      </c>
      <c r="T259" s="12">
        <v>0.0279828</v>
      </c>
      <c r="U259" s="12">
        <v>0.028719</v>
      </c>
      <c r="V259" s="12">
        <v>0.0285487</v>
      </c>
      <c r="W259" s="12">
        <v>0.0285178</v>
      </c>
      <c r="X259" s="12">
        <v>0.029747</v>
      </c>
      <c r="Y259" s="12">
        <v>0.0298652</v>
      </c>
      <c r="Z259" s="12">
        <v>0.0307887</v>
      </c>
      <c r="AA259" s="12">
        <v>0.0314103</v>
      </c>
      <c r="AB259" s="12">
        <v>0.0322973</v>
      </c>
      <c r="AC259" s="12">
        <v>0.0328797</v>
      </c>
      <c r="AD259" s="12">
        <v>0.0327612</v>
      </c>
      <c r="AE259" s="12">
        <v>0.0319436</v>
      </c>
      <c r="AF259" s="12">
        <v>0.0304178</v>
      </c>
      <c r="AG259" s="12">
        <v>0.0310867</v>
      </c>
      <c r="AH259" s="12">
        <v>0.0297907</v>
      </c>
      <c r="AI259" s="12">
        <v>0.0229837</v>
      </c>
      <c r="AJ259" s="12">
        <v>0.0148805</v>
      </c>
      <c r="AK259" s="12">
        <v>0.0070683</v>
      </c>
      <c r="AL259" s="12">
        <v>0.0031332</v>
      </c>
      <c r="AM259" s="12">
        <v>0.0</v>
      </c>
      <c r="AN259" s="12">
        <v>0.0</v>
      </c>
      <c r="AO259" s="13">
        <v>0.0</v>
      </c>
      <c r="AP259" s="13">
        <v>0.0</v>
      </c>
      <c r="AQ259" s="13">
        <v>0.0</v>
      </c>
      <c r="AR259" s="13">
        <v>0.0</v>
      </c>
      <c r="AS259" s="12">
        <v>0.0</v>
      </c>
      <c r="AT259" s="12"/>
      <c r="AU259" s="12"/>
      <c r="AV259" s="15"/>
      <c r="AW259" s="15"/>
    </row>
    <row r="260" ht="15.75" customHeight="1">
      <c r="A260" s="22">
        <v>240830.0</v>
      </c>
      <c r="B260" s="22">
        <v>95.0</v>
      </c>
      <c r="C260" s="22">
        <v>3.0</v>
      </c>
      <c r="D260" s="22" t="s">
        <v>189</v>
      </c>
      <c r="E260" s="22">
        <v>9.0</v>
      </c>
      <c r="F260" s="22" t="s">
        <v>56</v>
      </c>
      <c r="G260" s="22" t="s">
        <v>49</v>
      </c>
      <c r="H260" s="22" t="s">
        <v>63</v>
      </c>
      <c r="I260" s="22" t="s">
        <v>51</v>
      </c>
      <c r="J260" s="22" t="s">
        <v>52</v>
      </c>
      <c r="K260" s="22" t="s">
        <v>70</v>
      </c>
      <c r="L260" s="12">
        <v>0.0221191</v>
      </c>
      <c r="M260" s="12">
        <v>0.0235073</v>
      </c>
      <c r="N260" s="12">
        <v>0.0257083</v>
      </c>
      <c r="O260" s="12">
        <v>0.0272093</v>
      </c>
      <c r="P260" s="12">
        <v>0.0265033</v>
      </c>
      <c r="Q260" s="12">
        <v>0.0249048</v>
      </c>
      <c r="R260" s="12">
        <v>0.025855</v>
      </c>
      <c r="S260" s="12">
        <v>0.0283605</v>
      </c>
      <c r="T260" s="12">
        <v>0.029903</v>
      </c>
      <c r="U260" s="12">
        <v>0.0289994</v>
      </c>
      <c r="V260" s="12">
        <v>0.0262231</v>
      </c>
      <c r="W260" s="12">
        <v>0.0253832</v>
      </c>
      <c r="X260" s="12">
        <v>0.0274509</v>
      </c>
      <c r="Y260" s="12">
        <v>0.0305801</v>
      </c>
      <c r="Z260" s="12">
        <v>0.0313673</v>
      </c>
      <c r="AA260" s="12">
        <v>0.0295361</v>
      </c>
      <c r="AB260" s="12">
        <v>0.0276888</v>
      </c>
      <c r="AC260" s="12">
        <v>0.0274424</v>
      </c>
      <c r="AD260" s="12">
        <v>0.0307226</v>
      </c>
      <c r="AE260" s="12">
        <v>0.0334785</v>
      </c>
      <c r="AF260" s="12">
        <v>0.0344527</v>
      </c>
      <c r="AG260" s="12">
        <v>0.0346826</v>
      </c>
      <c r="AH260" s="12">
        <v>0.0343327</v>
      </c>
      <c r="AI260" s="12">
        <v>0.0349009</v>
      </c>
      <c r="AJ260" s="12">
        <v>0.0343977</v>
      </c>
      <c r="AK260" s="12">
        <v>0.0330212</v>
      </c>
      <c r="AL260" s="12">
        <v>0.0309559</v>
      </c>
      <c r="AM260" s="12">
        <v>0.0240445</v>
      </c>
      <c r="AN260" s="12">
        <v>0.0164664</v>
      </c>
      <c r="AO260" s="23">
        <v>0.0096174</v>
      </c>
      <c r="AP260" s="13">
        <v>0.0030464</v>
      </c>
      <c r="AQ260" s="13">
        <v>0.0015753</v>
      </c>
      <c r="AR260" s="13">
        <v>0.0</v>
      </c>
      <c r="AS260" s="12">
        <v>0.0</v>
      </c>
      <c r="AT260" s="12"/>
      <c r="AU260" s="12"/>
      <c r="AV260" s="15"/>
      <c r="AW260" s="15"/>
    </row>
    <row r="261" ht="15.75" customHeight="1">
      <c r="A261" s="22">
        <v>240902.0</v>
      </c>
      <c r="B261" s="22">
        <v>95.0</v>
      </c>
      <c r="C261" s="22">
        <v>3.0</v>
      </c>
      <c r="D261" s="22" t="s">
        <v>190</v>
      </c>
      <c r="E261" s="22">
        <v>9.0</v>
      </c>
      <c r="F261" s="22" t="s">
        <v>56</v>
      </c>
      <c r="G261" s="22" t="s">
        <v>67</v>
      </c>
      <c r="H261" s="22" t="s">
        <v>65</v>
      </c>
      <c r="I261" s="22" t="s">
        <v>51</v>
      </c>
      <c r="J261" s="22" t="s">
        <v>52</v>
      </c>
      <c r="K261" s="22" t="s">
        <v>70</v>
      </c>
      <c r="L261" s="12">
        <v>0.0254463</v>
      </c>
      <c r="M261" s="12">
        <v>0.021565</v>
      </c>
      <c r="N261" s="12">
        <v>0.020378</v>
      </c>
      <c r="O261" s="12">
        <v>0.0222008</v>
      </c>
      <c r="P261" s="12">
        <v>0.0239003</v>
      </c>
      <c r="Q261" s="12">
        <v>0.0242388</v>
      </c>
      <c r="R261" s="12">
        <v>0.0225463</v>
      </c>
      <c r="S261" s="12">
        <v>0.0221397</v>
      </c>
      <c r="T261" s="12">
        <v>0.0250808</v>
      </c>
      <c r="U261" s="12">
        <v>0.0273715</v>
      </c>
      <c r="V261" s="12">
        <v>0.0275521</v>
      </c>
      <c r="W261" s="12">
        <v>0.0281576</v>
      </c>
      <c r="X261" s="12">
        <v>0.0286933</v>
      </c>
      <c r="Y261" s="12">
        <v>0.0304166</v>
      </c>
      <c r="Z261" s="12">
        <v>0.0317957</v>
      </c>
      <c r="AA261" s="12">
        <v>0.0325093</v>
      </c>
      <c r="AB261" s="12">
        <v>0.0348289</v>
      </c>
      <c r="AC261" s="12">
        <v>0.0361979</v>
      </c>
      <c r="AD261" s="12">
        <v>0.0372212</v>
      </c>
      <c r="AE261" s="12">
        <v>0.0383628</v>
      </c>
      <c r="AF261" s="12">
        <v>0.0381415</v>
      </c>
      <c r="AG261" s="12">
        <v>0.0380806</v>
      </c>
      <c r="AH261" s="12">
        <v>0.0400732</v>
      </c>
      <c r="AI261" s="12">
        <v>0.0407189</v>
      </c>
      <c r="AJ261" s="12">
        <v>0.0352443</v>
      </c>
      <c r="AK261" s="12">
        <v>0.0280104</v>
      </c>
      <c r="AL261" s="12">
        <v>0.0174029</v>
      </c>
      <c r="AM261" s="12">
        <v>0.0081963</v>
      </c>
      <c r="AN261" s="12">
        <v>0.0067271</v>
      </c>
      <c r="AO261" s="13">
        <v>0.0</v>
      </c>
      <c r="AP261" s="13">
        <v>0.0</v>
      </c>
      <c r="AQ261" s="13">
        <v>0.0</v>
      </c>
      <c r="AR261" s="13">
        <v>0.0</v>
      </c>
      <c r="AS261" s="12">
        <v>0.0</v>
      </c>
      <c r="AT261" s="12"/>
      <c r="AU261" s="12"/>
      <c r="AV261" s="15"/>
      <c r="AW261" s="15"/>
    </row>
    <row r="262" ht="15.75" customHeight="1">
      <c r="A262" s="22">
        <v>240902.0</v>
      </c>
      <c r="B262" s="22">
        <v>95.0</v>
      </c>
      <c r="C262" s="22">
        <v>3.0</v>
      </c>
      <c r="D262" s="22" t="s">
        <v>191</v>
      </c>
      <c r="E262" s="22">
        <v>9.0</v>
      </c>
      <c r="F262" s="22" t="s">
        <v>56</v>
      </c>
      <c r="G262" s="22" t="s">
        <v>67</v>
      </c>
      <c r="H262" s="22" t="s">
        <v>61</v>
      </c>
      <c r="I262" s="22" t="s">
        <v>51</v>
      </c>
      <c r="J262" s="22" t="s">
        <v>52</v>
      </c>
      <c r="K262" s="22" t="s">
        <v>70</v>
      </c>
      <c r="L262" s="12">
        <v>0.0193412</v>
      </c>
      <c r="M262" s="12">
        <v>0.0229567</v>
      </c>
      <c r="N262" s="12">
        <v>0.0245994</v>
      </c>
      <c r="O262" s="12">
        <v>0.0250353</v>
      </c>
      <c r="P262" s="12">
        <v>0.0245551</v>
      </c>
      <c r="Q262" s="12">
        <v>0.0244562</v>
      </c>
      <c r="R262" s="12">
        <v>0.0239127</v>
      </c>
      <c r="S262" s="12">
        <v>0.0243496</v>
      </c>
      <c r="T262" s="12">
        <v>0.0253988</v>
      </c>
      <c r="U262" s="12">
        <v>0.0232412</v>
      </c>
      <c r="V262" s="12">
        <v>0.0229789</v>
      </c>
      <c r="W262" s="12">
        <v>0.0252116</v>
      </c>
      <c r="X262" s="12">
        <v>0.0247418</v>
      </c>
      <c r="Y262" s="12">
        <v>0.0247858</v>
      </c>
      <c r="Z262" s="12">
        <v>0.0259215</v>
      </c>
      <c r="AA262" s="12">
        <v>0.0286192</v>
      </c>
      <c r="AB262" s="12">
        <v>0.0317587</v>
      </c>
      <c r="AC262" s="12">
        <v>0.0323393</v>
      </c>
      <c r="AD262" s="12">
        <v>0.0315138</v>
      </c>
      <c r="AE262" s="12">
        <v>0.0289662</v>
      </c>
      <c r="AF262" s="12">
        <v>0.0280699</v>
      </c>
      <c r="AG262" s="12">
        <v>0.0310001</v>
      </c>
      <c r="AH262" s="12">
        <v>0.0335617</v>
      </c>
      <c r="AI262" s="12">
        <v>0.0335847</v>
      </c>
      <c r="AJ262" s="12">
        <v>0.0328205</v>
      </c>
      <c r="AK262" s="12">
        <v>0.0306967</v>
      </c>
      <c r="AL262" s="12">
        <v>0.0252111</v>
      </c>
      <c r="AM262" s="12">
        <v>0.0149717</v>
      </c>
      <c r="AN262" s="12">
        <v>0.0069311</v>
      </c>
      <c r="AO262" s="12">
        <v>0.0021592</v>
      </c>
      <c r="AP262" s="13">
        <v>0.0</v>
      </c>
      <c r="AQ262" s="13">
        <v>0.0</v>
      </c>
      <c r="AR262" s="13">
        <v>0.0</v>
      </c>
      <c r="AS262" s="12">
        <v>0.0</v>
      </c>
      <c r="AT262" s="12"/>
      <c r="AU262" s="12"/>
      <c r="AV262" s="15"/>
      <c r="AW262" s="15"/>
    </row>
    <row r="263" ht="15.75" customHeight="1">
      <c r="A263" s="22">
        <v>240902.0</v>
      </c>
      <c r="B263" s="22">
        <v>95.0</v>
      </c>
      <c r="C263" s="22">
        <v>3.0</v>
      </c>
      <c r="D263" s="22" t="s">
        <v>192</v>
      </c>
      <c r="E263" s="22">
        <v>9.0</v>
      </c>
      <c r="F263" s="22" t="s">
        <v>56</v>
      </c>
      <c r="G263" s="22" t="s">
        <v>67</v>
      </c>
      <c r="H263" s="22" t="s">
        <v>50</v>
      </c>
      <c r="I263" s="22" t="s">
        <v>51</v>
      </c>
      <c r="J263" s="22" t="s">
        <v>52</v>
      </c>
      <c r="K263" s="22" t="s">
        <v>70</v>
      </c>
      <c r="L263" s="12">
        <v>0.0129712</v>
      </c>
      <c r="M263" s="12">
        <v>0.0158897</v>
      </c>
      <c r="N263" s="12">
        <v>0.0173464</v>
      </c>
      <c r="O263" s="12">
        <v>0.0194658</v>
      </c>
      <c r="P263" s="12">
        <v>0.0214904</v>
      </c>
      <c r="Q263" s="12">
        <v>0.0222755</v>
      </c>
      <c r="R263" s="12">
        <v>0.0218739</v>
      </c>
      <c r="S263" s="12">
        <v>0.0207028</v>
      </c>
      <c r="T263" s="12">
        <v>0.0196837</v>
      </c>
      <c r="U263" s="12">
        <v>0.0192886</v>
      </c>
      <c r="V263" s="12">
        <v>0.0195725</v>
      </c>
      <c r="W263" s="12">
        <v>0.0190384</v>
      </c>
      <c r="X263" s="12">
        <v>0.0215405</v>
      </c>
      <c r="Y263" s="12">
        <v>0.0242023</v>
      </c>
      <c r="Z263" s="12">
        <v>0.0225152</v>
      </c>
      <c r="AA263" s="12">
        <v>0.0204495</v>
      </c>
      <c r="AB263" s="12">
        <v>0.019993</v>
      </c>
      <c r="AC263" s="12">
        <v>0.0218238</v>
      </c>
      <c r="AD263" s="12">
        <v>0.0225354</v>
      </c>
      <c r="AE263" s="12">
        <v>0.0215827</v>
      </c>
      <c r="AF263" s="12">
        <v>0.0215653</v>
      </c>
      <c r="AG263" s="12">
        <v>0.0225898</v>
      </c>
      <c r="AH263" s="12">
        <v>0.0221675</v>
      </c>
      <c r="AI263" s="12">
        <v>0.021433</v>
      </c>
      <c r="AJ263" s="12">
        <v>0.0207158</v>
      </c>
      <c r="AK263" s="12">
        <v>0.0162459</v>
      </c>
      <c r="AL263" s="12">
        <v>0.0109258</v>
      </c>
      <c r="AM263" s="12">
        <v>0.0076175</v>
      </c>
      <c r="AN263" s="12">
        <v>0.0050372</v>
      </c>
      <c r="AO263" s="13">
        <v>0.0</v>
      </c>
      <c r="AP263" s="13">
        <v>0.0</v>
      </c>
      <c r="AQ263" s="13">
        <v>0.0</v>
      </c>
      <c r="AR263" s="13">
        <v>0.0</v>
      </c>
      <c r="AS263" s="12">
        <v>0.0</v>
      </c>
      <c r="AT263" s="12"/>
      <c r="AU263" s="12"/>
      <c r="AV263" s="15"/>
      <c r="AW263" s="15"/>
    </row>
    <row r="264" ht="15.75" customHeight="1">
      <c r="A264" s="22">
        <v>240903.0</v>
      </c>
      <c r="B264" s="22">
        <v>95.0</v>
      </c>
      <c r="C264" s="22">
        <v>3.0</v>
      </c>
      <c r="D264" s="22" t="s">
        <v>193</v>
      </c>
      <c r="E264" s="22">
        <v>9.0</v>
      </c>
      <c r="F264" s="22" t="s">
        <v>56</v>
      </c>
      <c r="G264" s="22" t="s">
        <v>67</v>
      </c>
      <c r="H264" s="22" t="s">
        <v>63</v>
      </c>
      <c r="I264" s="22" t="s">
        <v>51</v>
      </c>
      <c r="J264" s="22" t="s">
        <v>52</v>
      </c>
      <c r="K264" s="22" t="s">
        <v>70</v>
      </c>
      <c r="L264" s="12">
        <v>0.0159953</v>
      </c>
      <c r="M264" s="12">
        <v>0.0194699</v>
      </c>
      <c r="N264" s="12">
        <v>0.0209838</v>
      </c>
      <c r="O264" s="12">
        <v>0.0220908</v>
      </c>
      <c r="P264" s="12">
        <v>0.0213498</v>
      </c>
      <c r="Q264" s="12">
        <v>0.0200795</v>
      </c>
      <c r="R264" s="12">
        <v>0.0224235</v>
      </c>
      <c r="S264" s="12">
        <v>0.025109</v>
      </c>
      <c r="T264" s="12">
        <v>0.0234868</v>
      </c>
      <c r="U264" s="12">
        <v>0.0212673</v>
      </c>
      <c r="V264" s="12">
        <v>0.0227419</v>
      </c>
      <c r="W264" s="12">
        <v>0.0250163</v>
      </c>
      <c r="X264" s="12">
        <v>0.0263078</v>
      </c>
      <c r="Y264" s="12">
        <v>0.027461</v>
      </c>
      <c r="Z264" s="12">
        <v>0.0260216</v>
      </c>
      <c r="AA264" s="12">
        <v>0.0257277</v>
      </c>
      <c r="AB264" s="12">
        <v>0.0282575</v>
      </c>
      <c r="AC264" s="12">
        <v>0.0282551</v>
      </c>
      <c r="AD264" s="12">
        <v>0.027236</v>
      </c>
      <c r="AE264" s="12">
        <v>0.0285459</v>
      </c>
      <c r="AF264" s="12">
        <v>0.0299613</v>
      </c>
      <c r="AG264" s="12">
        <v>0.0303563</v>
      </c>
      <c r="AH264" s="12">
        <v>0.0315634</v>
      </c>
      <c r="AI264" s="12">
        <v>0.0320281</v>
      </c>
      <c r="AJ264" s="12">
        <v>0.0271133</v>
      </c>
      <c r="AK264" s="12">
        <v>0.0131399</v>
      </c>
      <c r="AL264" s="12">
        <v>0.0019322</v>
      </c>
      <c r="AM264" s="12">
        <v>0.0</v>
      </c>
      <c r="AN264" s="12">
        <v>0.0</v>
      </c>
      <c r="AO264" s="13">
        <v>0.0</v>
      </c>
      <c r="AP264" s="13">
        <v>0.0</v>
      </c>
      <c r="AQ264" s="13">
        <v>0.0</v>
      </c>
      <c r="AR264" s="13">
        <v>0.0</v>
      </c>
      <c r="AS264" s="12">
        <v>0.0</v>
      </c>
      <c r="AT264" s="12"/>
      <c r="AU264" s="12"/>
      <c r="AV264" s="15"/>
      <c r="AW264" s="15"/>
    </row>
    <row r="265" ht="15.75" customHeight="1">
      <c r="A265" s="22">
        <v>240903.0</v>
      </c>
      <c r="B265" s="22">
        <v>95.0</v>
      </c>
      <c r="C265" s="22">
        <v>3.0</v>
      </c>
      <c r="D265" s="22" t="s">
        <v>194</v>
      </c>
      <c r="E265" s="22">
        <v>9.0</v>
      </c>
      <c r="F265" s="22" t="s">
        <v>48</v>
      </c>
      <c r="G265" s="22" t="s">
        <v>67</v>
      </c>
      <c r="H265" s="22" t="s">
        <v>83</v>
      </c>
      <c r="I265" s="22" t="s">
        <v>51</v>
      </c>
      <c r="J265" s="22" t="s">
        <v>52</v>
      </c>
      <c r="K265" s="22" t="s">
        <v>76</v>
      </c>
      <c r="L265" s="12">
        <v>0.0163474</v>
      </c>
      <c r="M265" s="12">
        <v>0.0190894</v>
      </c>
      <c r="N265" s="12">
        <v>0.0196504</v>
      </c>
      <c r="O265" s="12">
        <v>0.0184981</v>
      </c>
      <c r="P265" s="12">
        <v>0.0201474</v>
      </c>
      <c r="Q265" s="12">
        <v>0.022403</v>
      </c>
      <c r="R265" s="12">
        <v>0.0213173</v>
      </c>
      <c r="S265" s="12">
        <v>0.0206598</v>
      </c>
      <c r="T265" s="12">
        <v>0.0214603</v>
      </c>
      <c r="U265" s="12">
        <v>0.0212184</v>
      </c>
      <c r="V265" s="12">
        <v>0.021346</v>
      </c>
      <c r="W265" s="12">
        <v>0.0226897</v>
      </c>
      <c r="X265" s="12">
        <v>0.0234063</v>
      </c>
      <c r="Y265" s="12">
        <v>0.0228336</v>
      </c>
      <c r="Z265" s="12">
        <v>0.0241527</v>
      </c>
      <c r="AA265" s="12">
        <v>0.0260711</v>
      </c>
      <c r="AB265" s="12">
        <v>0.0264648</v>
      </c>
      <c r="AC265" s="12">
        <v>0.0267471</v>
      </c>
      <c r="AD265" s="12">
        <v>0.0267411</v>
      </c>
      <c r="AE265" s="12">
        <v>0.027922</v>
      </c>
      <c r="AF265" s="12">
        <v>0.0302443</v>
      </c>
      <c r="AG265" s="12">
        <v>0.0307859</v>
      </c>
      <c r="AH265" s="12">
        <v>0.02976</v>
      </c>
      <c r="AI265" s="12">
        <v>0.0271286</v>
      </c>
      <c r="AJ265" s="12">
        <v>0.0168257</v>
      </c>
      <c r="AK265" s="12">
        <v>0.0050623</v>
      </c>
      <c r="AL265" s="12">
        <v>6.046E-4</v>
      </c>
      <c r="AM265" s="12">
        <v>0.0</v>
      </c>
      <c r="AN265" s="12">
        <v>0.0</v>
      </c>
      <c r="AO265" s="13">
        <v>0.0</v>
      </c>
      <c r="AP265" s="13">
        <v>0.0</v>
      </c>
      <c r="AQ265" s="13">
        <v>0.0</v>
      </c>
      <c r="AR265" s="13">
        <v>0.0</v>
      </c>
      <c r="AS265" s="12">
        <v>0.0</v>
      </c>
      <c r="AT265" s="12"/>
      <c r="AU265" s="12"/>
      <c r="AV265" s="15"/>
      <c r="AW265" s="15"/>
    </row>
    <row r="266" ht="15.75" customHeight="1">
      <c r="A266" s="22">
        <v>240903.0</v>
      </c>
      <c r="B266" s="22">
        <v>95.0</v>
      </c>
      <c r="C266" s="22">
        <v>3.0</v>
      </c>
      <c r="D266" s="22" t="s">
        <v>195</v>
      </c>
      <c r="E266" s="22">
        <v>9.0</v>
      </c>
      <c r="F266" s="22" t="s">
        <v>48</v>
      </c>
      <c r="G266" s="22" t="s">
        <v>67</v>
      </c>
      <c r="H266" s="22" t="s">
        <v>83</v>
      </c>
      <c r="I266" s="22" t="s">
        <v>51</v>
      </c>
      <c r="J266" s="22" t="s">
        <v>52</v>
      </c>
      <c r="K266" s="22" t="s">
        <v>76</v>
      </c>
      <c r="L266" s="12">
        <v>0.0210487</v>
      </c>
      <c r="M266" s="12">
        <v>0.0212666</v>
      </c>
      <c r="N266" s="12">
        <v>0.0224397</v>
      </c>
      <c r="O266" s="12">
        <v>0.0241043</v>
      </c>
      <c r="P266" s="12">
        <v>0.023994</v>
      </c>
      <c r="Q266" s="12">
        <v>0.0233893</v>
      </c>
      <c r="R266" s="12">
        <v>0.0211</v>
      </c>
      <c r="S266" s="12">
        <v>0.0196198</v>
      </c>
      <c r="T266" s="12">
        <v>0.0223551</v>
      </c>
      <c r="U266" s="12">
        <v>0.0245137</v>
      </c>
      <c r="V266" s="12">
        <v>0.0232711</v>
      </c>
      <c r="W266" s="12">
        <v>0.0224603</v>
      </c>
      <c r="X266" s="12">
        <v>0.0227115</v>
      </c>
      <c r="Y266" s="12">
        <v>0.0221108</v>
      </c>
      <c r="Z266" s="12">
        <v>0.0227872</v>
      </c>
      <c r="AA266" s="12">
        <v>0.0234167</v>
      </c>
      <c r="AB266" s="12">
        <v>0.0257908</v>
      </c>
      <c r="AC266" s="12">
        <v>0.0274324</v>
      </c>
      <c r="AD266" s="12">
        <v>0.0260771</v>
      </c>
      <c r="AE266" s="12">
        <v>0.0257697</v>
      </c>
      <c r="AF266" s="12">
        <v>0.0262786</v>
      </c>
      <c r="AG266" s="12">
        <v>0.0277129</v>
      </c>
      <c r="AH266" s="12">
        <v>0.0311839</v>
      </c>
      <c r="AI266" s="12">
        <v>0.0344157</v>
      </c>
      <c r="AJ266" s="12">
        <v>0.0340417</v>
      </c>
      <c r="AK266" s="12">
        <v>0.0316618</v>
      </c>
      <c r="AL266" s="12">
        <v>0.0228726</v>
      </c>
      <c r="AM266" s="12">
        <v>0.0098428</v>
      </c>
      <c r="AN266" s="12">
        <v>0.0</v>
      </c>
      <c r="AO266" s="13">
        <v>0.0</v>
      </c>
      <c r="AP266" s="13">
        <v>0.0</v>
      </c>
      <c r="AQ266" s="13">
        <v>0.0</v>
      </c>
      <c r="AR266" s="13">
        <v>0.0</v>
      </c>
      <c r="AS266" s="12">
        <v>0.0</v>
      </c>
      <c r="AT266" s="12"/>
      <c r="AU266" s="12"/>
      <c r="AV266" s="15"/>
      <c r="AW266" s="15"/>
    </row>
    <row r="267" ht="15.75" customHeight="1">
      <c r="A267" s="22">
        <v>240903.0</v>
      </c>
      <c r="B267" s="22">
        <v>95.0</v>
      </c>
      <c r="C267" s="22">
        <v>3.0</v>
      </c>
      <c r="D267" s="22" t="s">
        <v>196</v>
      </c>
      <c r="E267" s="22">
        <v>9.0</v>
      </c>
      <c r="F267" s="22" t="s">
        <v>48</v>
      </c>
      <c r="G267" s="22" t="s">
        <v>67</v>
      </c>
      <c r="H267" s="22" t="s">
        <v>83</v>
      </c>
      <c r="I267" s="22" t="s">
        <v>51</v>
      </c>
      <c r="J267" s="22" t="s">
        <v>52</v>
      </c>
      <c r="K267" s="22" t="s">
        <v>76</v>
      </c>
      <c r="L267" s="12">
        <v>0.0210903</v>
      </c>
      <c r="M267" s="12">
        <v>0.0202377</v>
      </c>
      <c r="N267" s="12">
        <v>0.0196434</v>
      </c>
      <c r="O267" s="12">
        <v>0.0214972</v>
      </c>
      <c r="P267" s="12">
        <v>0.0247078</v>
      </c>
      <c r="Q267" s="12">
        <v>0.0250371</v>
      </c>
      <c r="R267" s="12">
        <v>0.0249831</v>
      </c>
      <c r="S267" s="12">
        <v>0.0261691</v>
      </c>
      <c r="T267" s="12">
        <v>0.0261833</v>
      </c>
      <c r="U267" s="12">
        <v>0.0266396</v>
      </c>
      <c r="V267" s="12">
        <v>0.0280657</v>
      </c>
      <c r="W267" s="12">
        <v>0.0280827</v>
      </c>
      <c r="X267" s="12">
        <v>0.0306044</v>
      </c>
      <c r="Y267" s="12">
        <v>0.0320409</v>
      </c>
      <c r="Z267" s="12">
        <v>0.0333564</v>
      </c>
      <c r="AA267" s="12">
        <v>0.035116</v>
      </c>
      <c r="AB267" s="12">
        <v>0.0334415</v>
      </c>
      <c r="AC267" s="12">
        <v>0.0325728</v>
      </c>
      <c r="AD267" s="12">
        <v>0.0330563</v>
      </c>
      <c r="AE267" s="12">
        <v>0.0327375</v>
      </c>
      <c r="AF267" s="12">
        <v>0.0338212</v>
      </c>
      <c r="AG267" s="12">
        <v>0.0364508</v>
      </c>
      <c r="AH267" s="12">
        <v>0.0396361</v>
      </c>
      <c r="AI267" s="12">
        <v>0.0400011</v>
      </c>
      <c r="AJ267" s="12">
        <v>0.036828</v>
      </c>
      <c r="AK267" s="12">
        <v>0.0357372</v>
      </c>
      <c r="AL267" s="12">
        <v>0.0320199</v>
      </c>
      <c r="AM267" s="12">
        <v>0.0180039</v>
      </c>
      <c r="AN267" s="12">
        <v>8.217E-4</v>
      </c>
      <c r="AO267" s="13">
        <v>0.0</v>
      </c>
      <c r="AP267" s="13">
        <v>0.0</v>
      </c>
      <c r="AQ267" s="13">
        <v>0.0</v>
      </c>
      <c r="AR267" s="13">
        <v>0.0</v>
      </c>
      <c r="AS267" s="12">
        <v>0.0</v>
      </c>
      <c r="AT267" s="12"/>
      <c r="AU267" s="12"/>
      <c r="AV267" s="15"/>
      <c r="AW267" s="15"/>
    </row>
    <row r="268" ht="15.75" customHeight="1">
      <c r="A268" s="22">
        <v>240903.0</v>
      </c>
      <c r="B268" s="22">
        <v>95.0</v>
      </c>
      <c r="C268" s="22">
        <v>3.0</v>
      </c>
      <c r="D268" s="22" t="s">
        <v>197</v>
      </c>
      <c r="E268" s="22">
        <v>9.0</v>
      </c>
      <c r="F268" s="22" t="s">
        <v>48</v>
      </c>
      <c r="G268" s="22" t="s">
        <v>67</v>
      </c>
      <c r="H268" s="22" t="s">
        <v>83</v>
      </c>
      <c r="I268" s="22" t="s">
        <v>51</v>
      </c>
      <c r="J268" s="22" t="s">
        <v>52</v>
      </c>
      <c r="K268" s="22" t="s">
        <v>76</v>
      </c>
      <c r="L268" s="12">
        <v>0.0217638</v>
      </c>
      <c r="M268" s="12">
        <v>0.0191751</v>
      </c>
      <c r="N268" s="12">
        <v>0.0211566</v>
      </c>
      <c r="O268" s="12">
        <v>0.0231383</v>
      </c>
      <c r="P268" s="12">
        <v>0.0246641</v>
      </c>
      <c r="Q268" s="12">
        <v>0.0249811</v>
      </c>
      <c r="R268" s="12">
        <v>0.0279089</v>
      </c>
      <c r="S268" s="12">
        <v>0.0319727</v>
      </c>
      <c r="T268" s="12">
        <v>0.0332379</v>
      </c>
      <c r="U268" s="12">
        <v>0.0329582</v>
      </c>
      <c r="V268" s="12">
        <v>0.0327727</v>
      </c>
      <c r="W268" s="12">
        <v>0.0339305</v>
      </c>
      <c r="X268" s="12">
        <v>0.0343377</v>
      </c>
      <c r="Y268" s="12">
        <v>0.0341277</v>
      </c>
      <c r="Z268" s="12">
        <v>0.0334793</v>
      </c>
      <c r="AA268" s="12">
        <v>0.03129</v>
      </c>
      <c r="AB268" s="12">
        <v>0.0325832</v>
      </c>
      <c r="AC268" s="12">
        <v>0.0377192</v>
      </c>
      <c r="AD268" s="12">
        <v>0.0404148</v>
      </c>
      <c r="AE268" s="12">
        <v>0.0427977</v>
      </c>
      <c r="AF268" s="12">
        <v>0.0442547</v>
      </c>
      <c r="AG268" s="12">
        <v>0.0440574</v>
      </c>
      <c r="AH268" s="12">
        <v>0.0423723</v>
      </c>
      <c r="AI268" s="12">
        <v>0.0325886</v>
      </c>
      <c r="AJ268" s="12">
        <v>0.0233443</v>
      </c>
      <c r="AK268" s="12">
        <v>0.0210888</v>
      </c>
      <c r="AL268" s="12">
        <v>0.0143881</v>
      </c>
      <c r="AM268" s="12">
        <v>0.0048886</v>
      </c>
      <c r="AN268" s="12">
        <v>0.0025142</v>
      </c>
      <c r="AO268" s="13">
        <v>0.0</v>
      </c>
      <c r="AP268" s="13">
        <v>0.0</v>
      </c>
      <c r="AQ268" s="13">
        <v>0.0</v>
      </c>
      <c r="AR268" s="13">
        <v>0.0</v>
      </c>
      <c r="AS268" s="12">
        <v>0.0</v>
      </c>
      <c r="AT268" s="12"/>
      <c r="AU268" s="12"/>
      <c r="AV268" s="15"/>
      <c r="AW268" s="15"/>
    </row>
    <row r="269" ht="15.75" customHeight="1">
      <c r="A269" s="22">
        <v>240904.0</v>
      </c>
      <c r="B269" s="22">
        <v>95.0</v>
      </c>
      <c r="C269" s="22">
        <v>3.0</v>
      </c>
      <c r="D269" s="22" t="s">
        <v>198</v>
      </c>
      <c r="E269" s="22">
        <v>9.0</v>
      </c>
      <c r="F269" s="22" t="s">
        <v>48</v>
      </c>
      <c r="G269" s="22" t="s">
        <v>49</v>
      </c>
      <c r="H269" s="22" t="s">
        <v>65</v>
      </c>
      <c r="I269" s="22" t="s">
        <v>51</v>
      </c>
      <c r="J269" s="22" t="s">
        <v>52</v>
      </c>
      <c r="K269" s="22" t="s">
        <v>76</v>
      </c>
      <c r="L269" s="12">
        <v>0.0208429</v>
      </c>
      <c r="M269" s="12">
        <v>0.0258205</v>
      </c>
      <c r="N269" s="12">
        <v>0.025693</v>
      </c>
      <c r="O269" s="12">
        <v>0.0229141</v>
      </c>
      <c r="P269" s="12">
        <v>0.0227229</v>
      </c>
      <c r="Q269" s="12">
        <v>0.0228771</v>
      </c>
      <c r="R269" s="12">
        <v>0.022017</v>
      </c>
      <c r="S269" s="12">
        <v>0.0222389</v>
      </c>
      <c r="T269" s="12">
        <v>0.0250827</v>
      </c>
      <c r="U269" s="12">
        <v>0.0265178</v>
      </c>
      <c r="V269" s="12">
        <v>0.0234097</v>
      </c>
      <c r="W269" s="12">
        <v>0.0234337</v>
      </c>
      <c r="X269" s="12">
        <v>0.0272961</v>
      </c>
      <c r="Y269" s="12">
        <v>0.0284381</v>
      </c>
      <c r="Z269" s="12">
        <v>0.0279658</v>
      </c>
      <c r="AA269" s="12">
        <v>0.0305115</v>
      </c>
      <c r="AB269" s="12">
        <v>0.0342489</v>
      </c>
      <c r="AC269" s="12">
        <v>0.0334735</v>
      </c>
      <c r="AD269" s="12">
        <v>0.0328375</v>
      </c>
      <c r="AE269" s="12">
        <v>0.0325526</v>
      </c>
      <c r="AF269" s="12">
        <v>0.0321448</v>
      </c>
      <c r="AG269" s="12">
        <v>0.03505</v>
      </c>
      <c r="AH269" s="12">
        <v>0.0373565</v>
      </c>
      <c r="AI269" s="12">
        <v>0.0388008</v>
      </c>
      <c r="AJ269" s="12">
        <v>0.0392999</v>
      </c>
      <c r="AK269" s="12">
        <v>0.0365449</v>
      </c>
      <c r="AL269" s="12">
        <v>0.0322529</v>
      </c>
      <c r="AM269" s="12">
        <v>0.0257763</v>
      </c>
      <c r="AN269" s="12">
        <v>0.0192012</v>
      </c>
      <c r="AO269" s="12">
        <v>0.0151442</v>
      </c>
      <c r="AP269" s="13">
        <v>0.0</v>
      </c>
      <c r="AQ269" s="13">
        <v>0.0</v>
      </c>
      <c r="AR269" s="13">
        <v>0.0</v>
      </c>
      <c r="AS269" s="12">
        <v>0.0</v>
      </c>
      <c r="AT269" s="12"/>
      <c r="AU269" s="12"/>
      <c r="AV269" s="15"/>
      <c r="AW269" s="15"/>
    </row>
    <row r="270" ht="15.75" customHeight="1">
      <c r="A270" s="22">
        <v>240904.0</v>
      </c>
      <c r="B270" s="22">
        <v>95.0</v>
      </c>
      <c r="C270" s="22">
        <v>3.0</v>
      </c>
      <c r="D270" s="22" t="s">
        <v>199</v>
      </c>
      <c r="E270" s="22">
        <v>9.0</v>
      </c>
      <c r="F270" s="22" t="s">
        <v>48</v>
      </c>
      <c r="G270" s="22" t="s">
        <v>49</v>
      </c>
      <c r="H270" s="22" t="s">
        <v>63</v>
      </c>
      <c r="I270" s="22" t="s">
        <v>51</v>
      </c>
      <c r="J270" s="22" t="s">
        <v>52</v>
      </c>
      <c r="K270" s="22" t="s">
        <v>76</v>
      </c>
      <c r="L270" s="12">
        <v>0.0235699</v>
      </c>
      <c r="M270" s="12">
        <v>0.0241522</v>
      </c>
      <c r="N270" s="12">
        <v>0.0214964</v>
      </c>
      <c r="O270" s="12">
        <v>0.0200111</v>
      </c>
      <c r="P270" s="12">
        <v>0.0209053</v>
      </c>
      <c r="Q270" s="12">
        <v>0.0221228</v>
      </c>
      <c r="R270" s="12">
        <v>0.0217708</v>
      </c>
      <c r="S270" s="12">
        <v>0.0214758</v>
      </c>
      <c r="T270" s="12">
        <v>0.025028</v>
      </c>
      <c r="U270" s="12">
        <v>0.0290923</v>
      </c>
      <c r="V270" s="12">
        <v>0.0292433</v>
      </c>
      <c r="W270" s="12">
        <v>0.0262837</v>
      </c>
      <c r="X270" s="12">
        <v>0.0275458</v>
      </c>
      <c r="Y270" s="12">
        <v>0.0321714</v>
      </c>
      <c r="Z270" s="12">
        <v>0.0343576</v>
      </c>
      <c r="AA270" s="12">
        <v>0.0345089</v>
      </c>
      <c r="AB270" s="12">
        <v>0.0348331</v>
      </c>
      <c r="AC270" s="12">
        <v>0.0341375</v>
      </c>
      <c r="AD270" s="12">
        <v>0.0333086</v>
      </c>
      <c r="AE270" s="12">
        <v>0.0354074</v>
      </c>
      <c r="AF270" s="12">
        <v>0.036619</v>
      </c>
      <c r="AG270" s="12">
        <v>0.0313429</v>
      </c>
      <c r="AH270" s="12">
        <v>0.0192215</v>
      </c>
      <c r="AI270" s="12">
        <v>0.0110589</v>
      </c>
      <c r="AJ270" s="12">
        <v>0.0101972</v>
      </c>
      <c r="AK270" s="12">
        <v>0.0085588</v>
      </c>
      <c r="AL270" s="12">
        <v>5.372E-4</v>
      </c>
      <c r="AM270" s="12">
        <v>0.0</v>
      </c>
      <c r="AN270" s="12">
        <v>0.0</v>
      </c>
      <c r="AO270" s="13">
        <v>0.0</v>
      </c>
      <c r="AP270" s="13">
        <v>0.0</v>
      </c>
      <c r="AQ270" s="13">
        <v>0.0</v>
      </c>
      <c r="AR270" s="13">
        <v>0.0</v>
      </c>
      <c r="AS270" s="12">
        <v>0.0</v>
      </c>
      <c r="AT270" s="12"/>
      <c r="AU270" s="12"/>
      <c r="AV270" s="15"/>
      <c r="AW270" s="15"/>
    </row>
    <row r="271" ht="15.75" customHeight="1">
      <c r="A271" s="22">
        <v>240904.0</v>
      </c>
      <c r="B271" s="22">
        <v>95.0</v>
      </c>
      <c r="C271" s="22">
        <v>3.0</v>
      </c>
      <c r="D271" s="22" t="s">
        <v>200</v>
      </c>
      <c r="E271" s="22">
        <v>9.0</v>
      </c>
      <c r="F271" s="22" t="s">
        <v>48</v>
      </c>
      <c r="G271" s="22" t="s">
        <v>49</v>
      </c>
      <c r="H271" s="22" t="s">
        <v>50</v>
      </c>
      <c r="I271" s="22" t="s">
        <v>51</v>
      </c>
      <c r="J271" s="22" t="s">
        <v>52</v>
      </c>
      <c r="K271" s="22" t="s">
        <v>76</v>
      </c>
      <c r="L271" s="12">
        <v>0.0216842</v>
      </c>
      <c r="M271" s="12">
        <v>0.0220481</v>
      </c>
      <c r="N271" s="12">
        <v>0.0225452</v>
      </c>
      <c r="O271" s="12">
        <v>0.0213335</v>
      </c>
      <c r="P271" s="12">
        <v>0.0211621</v>
      </c>
      <c r="Q271" s="12">
        <v>0.0210353</v>
      </c>
      <c r="R271" s="12">
        <v>0.0183678</v>
      </c>
      <c r="S271" s="12">
        <v>0.0175015</v>
      </c>
      <c r="T271" s="12">
        <v>0.0183193</v>
      </c>
      <c r="U271" s="12">
        <v>0.0189461</v>
      </c>
      <c r="V271" s="12">
        <v>0.0199844</v>
      </c>
      <c r="W271" s="12">
        <v>0.0215258</v>
      </c>
      <c r="X271" s="12">
        <v>0.0203482</v>
      </c>
      <c r="Y271" s="12">
        <v>0.0199693</v>
      </c>
      <c r="Z271" s="12">
        <v>0.021831</v>
      </c>
      <c r="AA271" s="12">
        <v>0.0222897</v>
      </c>
      <c r="AB271" s="12">
        <v>0.0247591</v>
      </c>
      <c r="AC271" s="12">
        <v>0.0282273</v>
      </c>
      <c r="AD271" s="12">
        <v>0.0284169</v>
      </c>
      <c r="AE271" s="12">
        <v>0.0272449</v>
      </c>
      <c r="AF271" s="12">
        <v>0.025221</v>
      </c>
      <c r="AG271" s="12">
        <v>0.0244506</v>
      </c>
      <c r="AH271" s="12">
        <v>0.0260432</v>
      </c>
      <c r="AI271" s="12">
        <v>0.0257418</v>
      </c>
      <c r="AJ271" s="12">
        <v>0.0257947</v>
      </c>
      <c r="AK271" s="12">
        <v>0.0245522</v>
      </c>
      <c r="AL271" s="12">
        <v>0.0218209</v>
      </c>
      <c r="AM271" s="12">
        <v>0.0204951</v>
      </c>
      <c r="AN271" s="12">
        <v>0.014101</v>
      </c>
      <c r="AO271" s="12">
        <v>0.0011163</v>
      </c>
      <c r="AP271" s="13">
        <v>0.0</v>
      </c>
      <c r="AQ271" s="13">
        <v>0.0</v>
      </c>
      <c r="AR271" s="13">
        <v>0.0</v>
      </c>
      <c r="AS271" s="12">
        <v>0.0</v>
      </c>
      <c r="AT271" s="12"/>
      <c r="AU271" s="12"/>
      <c r="AV271" s="15"/>
      <c r="AW271" s="15"/>
    </row>
    <row r="272" ht="15.75" customHeight="1">
      <c r="A272" s="22">
        <v>240904.0</v>
      </c>
      <c r="B272" s="22">
        <v>95.0</v>
      </c>
      <c r="C272" s="22">
        <v>3.0</v>
      </c>
      <c r="D272" s="22" t="s">
        <v>201</v>
      </c>
      <c r="E272" s="22">
        <v>9.0</v>
      </c>
      <c r="F272" s="22" t="s">
        <v>48</v>
      </c>
      <c r="G272" s="22" t="s">
        <v>49</v>
      </c>
      <c r="H272" s="22" t="s">
        <v>61</v>
      </c>
      <c r="I272" s="22" t="s">
        <v>51</v>
      </c>
      <c r="J272" s="22" t="s">
        <v>52</v>
      </c>
      <c r="K272" s="22" t="s">
        <v>76</v>
      </c>
      <c r="L272" s="12">
        <v>0.0262923</v>
      </c>
      <c r="M272" s="12">
        <v>0.0214676</v>
      </c>
      <c r="N272" s="12">
        <v>0.0214431</v>
      </c>
      <c r="O272" s="12">
        <v>0.0219248</v>
      </c>
      <c r="P272" s="12">
        <v>0.0208328</v>
      </c>
      <c r="Q272" s="12">
        <v>0.021644</v>
      </c>
      <c r="R272" s="12">
        <v>0.022149</v>
      </c>
      <c r="S272" s="12">
        <v>0.0232061</v>
      </c>
      <c r="T272" s="12">
        <v>0.024816</v>
      </c>
      <c r="U272" s="12">
        <v>0.0248487</v>
      </c>
      <c r="V272" s="12">
        <v>0.0233673</v>
      </c>
      <c r="W272" s="12">
        <v>0.0230767</v>
      </c>
      <c r="X272" s="12">
        <v>0.022909</v>
      </c>
      <c r="Y272" s="12">
        <v>0.0239837</v>
      </c>
      <c r="Z272" s="12">
        <v>0.0260297</v>
      </c>
      <c r="AA272" s="12">
        <v>0.0258614</v>
      </c>
      <c r="AB272" s="12">
        <v>0.0269343</v>
      </c>
      <c r="AC272" s="12">
        <v>0.028478</v>
      </c>
      <c r="AD272" s="12">
        <v>0.0305782</v>
      </c>
      <c r="AE272" s="12">
        <v>0.0315736</v>
      </c>
      <c r="AF272" s="12">
        <v>0.0313978</v>
      </c>
      <c r="AG272" s="12">
        <v>0.0320761</v>
      </c>
      <c r="AH272" s="12">
        <v>0.0335057</v>
      </c>
      <c r="AI272" s="12">
        <v>0.0346314</v>
      </c>
      <c r="AJ272" s="12">
        <v>0.0240475</v>
      </c>
      <c r="AK272" s="12">
        <v>0.0076909</v>
      </c>
      <c r="AL272" s="12">
        <v>0.0</v>
      </c>
      <c r="AM272" s="12">
        <v>0.0</v>
      </c>
      <c r="AN272" s="12">
        <v>0.0</v>
      </c>
      <c r="AO272" s="13">
        <v>0.0</v>
      </c>
      <c r="AP272" s="13">
        <v>0.0</v>
      </c>
      <c r="AQ272" s="13">
        <v>0.0</v>
      </c>
      <c r="AR272" s="13">
        <v>0.0</v>
      </c>
      <c r="AS272" s="12">
        <v>0.0</v>
      </c>
      <c r="AT272" s="12"/>
      <c r="AU272" s="12"/>
      <c r="AV272" s="15"/>
      <c r="AW272" s="15"/>
    </row>
    <row r="273" ht="15.75" customHeight="1">
      <c r="I273" s="2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3"/>
      <c r="AQ273" s="13"/>
      <c r="AR273" s="13"/>
      <c r="AS273" s="13"/>
      <c r="AT273" s="12"/>
      <c r="AU273" s="12"/>
      <c r="AV273" s="14"/>
      <c r="AW273" s="15"/>
      <c r="AX273" s="15"/>
    </row>
    <row r="274" ht="15.75" customHeight="1"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3"/>
      <c r="AQ274" s="13"/>
      <c r="AR274" s="13"/>
      <c r="AS274" s="13"/>
      <c r="AT274" s="12"/>
      <c r="AU274" s="12"/>
      <c r="AV274" s="14"/>
      <c r="AW274" s="15"/>
      <c r="AX274" s="15"/>
    </row>
    <row r="275" ht="15.75" customHeight="1">
      <c r="A275" s="7">
        <v>230913.0</v>
      </c>
      <c r="B275" s="7">
        <v>61.0</v>
      </c>
      <c r="C275" s="7">
        <v>1.0</v>
      </c>
      <c r="D275" s="8" t="s">
        <v>202</v>
      </c>
      <c r="E275" s="7">
        <v>10.0</v>
      </c>
      <c r="F275" s="8" t="s">
        <v>56</v>
      </c>
      <c r="G275" s="8" t="s">
        <v>67</v>
      </c>
      <c r="H275" s="8" t="s">
        <v>50</v>
      </c>
      <c r="I275" s="22" t="s">
        <v>146</v>
      </c>
      <c r="J275" s="22" t="s">
        <v>52</v>
      </c>
      <c r="K275" s="11" t="s">
        <v>53</v>
      </c>
      <c r="L275" s="18">
        <v>0.022072</v>
      </c>
      <c r="M275" s="18">
        <v>0.021656</v>
      </c>
      <c r="N275" s="18">
        <v>0.023041</v>
      </c>
      <c r="O275" s="18">
        <v>0.023859</v>
      </c>
      <c r="P275" s="18">
        <v>0.021438</v>
      </c>
      <c r="Q275" s="18">
        <v>0.022223</v>
      </c>
      <c r="R275" s="18">
        <v>0.023783</v>
      </c>
      <c r="S275" s="18">
        <v>0.023834</v>
      </c>
      <c r="T275" s="18">
        <v>0.021681</v>
      </c>
      <c r="U275" s="18">
        <v>0.017399</v>
      </c>
      <c r="V275" s="18">
        <v>0.015317</v>
      </c>
      <c r="W275" s="18">
        <v>0.012842</v>
      </c>
      <c r="X275" s="18">
        <v>0.00954</v>
      </c>
      <c r="Y275" s="18">
        <v>0.006854</v>
      </c>
      <c r="Z275" s="18">
        <v>0.004125</v>
      </c>
      <c r="AA275" s="18">
        <v>0.002393</v>
      </c>
      <c r="AB275" s="18">
        <v>0.001165</v>
      </c>
      <c r="AC275" s="18">
        <v>7.74E-4</v>
      </c>
      <c r="AD275" s="18">
        <v>7.68E-4</v>
      </c>
      <c r="AE275" s="18">
        <v>2.9E-4</v>
      </c>
      <c r="AF275" s="18">
        <v>0.0</v>
      </c>
      <c r="AG275" s="18">
        <v>0.0</v>
      </c>
      <c r="AH275" s="18">
        <v>0.0</v>
      </c>
      <c r="AI275" s="18">
        <v>0.0</v>
      </c>
      <c r="AJ275" s="2">
        <v>0.0</v>
      </c>
      <c r="AK275" s="18">
        <v>0.0</v>
      </c>
      <c r="AL275" s="18">
        <v>0.0</v>
      </c>
      <c r="AM275" s="18">
        <v>0.0</v>
      </c>
      <c r="AN275" s="18">
        <v>0.0</v>
      </c>
      <c r="AO275" s="18">
        <v>0.0</v>
      </c>
      <c r="AP275" s="20">
        <v>0.0</v>
      </c>
      <c r="AQ275" s="20">
        <v>0.0</v>
      </c>
      <c r="AR275" s="20">
        <v>0.0</v>
      </c>
      <c r="AS275" s="20">
        <v>0.0</v>
      </c>
      <c r="AT275" s="2">
        <f>AVERAGE(L275:AE275)</f>
        <v>0.0137527</v>
      </c>
      <c r="AU275" s="12">
        <f t="shared" ref="AU275:AU385" si="29">AVERAGEIF(L275:AS275, "&gt;0")
</f>
        <v>0.0137527</v>
      </c>
      <c r="AV275" s="14"/>
      <c r="AW275" s="15"/>
      <c r="AX275" s="15"/>
    </row>
    <row r="276" ht="15.75" customHeight="1">
      <c r="A276" s="7">
        <v>230913.0</v>
      </c>
      <c r="B276" s="7">
        <v>61.0</v>
      </c>
      <c r="C276" s="7">
        <v>1.0</v>
      </c>
      <c r="D276" s="8" t="s">
        <v>203</v>
      </c>
      <c r="E276" s="7">
        <v>10.0</v>
      </c>
      <c r="F276" s="8" t="s">
        <v>56</v>
      </c>
      <c r="G276" s="8" t="s">
        <v>67</v>
      </c>
      <c r="H276" s="8" t="s">
        <v>63</v>
      </c>
      <c r="I276" s="22" t="s">
        <v>146</v>
      </c>
      <c r="J276" s="22" t="s">
        <v>52</v>
      </c>
      <c r="K276" s="11" t="s">
        <v>53</v>
      </c>
      <c r="L276" s="18">
        <v>0.020995</v>
      </c>
      <c r="M276" s="18">
        <v>0.020498</v>
      </c>
      <c r="N276" s="18">
        <v>0.019771</v>
      </c>
      <c r="O276" s="18">
        <v>0.01851</v>
      </c>
      <c r="P276" s="18">
        <v>0.01156</v>
      </c>
      <c r="Q276" s="18">
        <v>0.004853</v>
      </c>
      <c r="R276" s="18">
        <v>0.002366</v>
      </c>
      <c r="S276" s="18">
        <v>8.35E-4</v>
      </c>
      <c r="T276" s="18">
        <v>8.53E-4</v>
      </c>
      <c r="U276" s="18">
        <v>6.66E-4</v>
      </c>
      <c r="V276" s="18">
        <v>9.8E-5</v>
      </c>
      <c r="W276" s="18">
        <v>0.0</v>
      </c>
      <c r="X276" s="18">
        <v>0.0</v>
      </c>
      <c r="Y276" s="18">
        <v>0.0</v>
      </c>
      <c r="Z276" s="18">
        <v>0.0</v>
      </c>
      <c r="AA276" s="18">
        <v>0.0</v>
      </c>
      <c r="AB276" s="18">
        <v>0.0</v>
      </c>
      <c r="AC276" s="18">
        <v>0.0</v>
      </c>
      <c r="AD276" s="18">
        <v>0.0</v>
      </c>
      <c r="AE276" s="18">
        <v>0.0</v>
      </c>
      <c r="AF276" s="18">
        <v>2.1E-4</v>
      </c>
      <c r="AG276" s="18">
        <v>4.58E-4</v>
      </c>
      <c r="AH276" s="18">
        <v>4.08E-4</v>
      </c>
      <c r="AI276" s="18">
        <v>2.99E-4</v>
      </c>
      <c r="AJ276" s="18">
        <v>2.77E-4</v>
      </c>
      <c r="AK276" s="18">
        <v>0.001126</v>
      </c>
      <c r="AL276" s="18">
        <v>0.003286</v>
      </c>
      <c r="AM276" s="18">
        <v>0.006373</v>
      </c>
      <c r="AN276" s="2">
        <v>0.0</v>
      </c>
      <c r="AO276" s="2">
        <v>0.0</v>
      </c>
      <c r="AP276" s="20">
        <v>0.0</v>
      </c>
      <c r="AQ276" s="20">
        <v>0.0</v>
      </c>
      <c r="AR276" s="20">
        <v>0.0</v>
      </c>
      <c r="AS276" s="20">
        <v>0.0</v>
      </c>
      <c r="AT276" s="2">
        <f>AVERAGE(L276:AM276)</f>
        <v>0.0040515</v>
      </c>
      <c r="AU276" s="12">
        <f t="shared" si="29"/>
        <v>0.005970631579</v>
      </c>
      <c r="AV276" s="14"/>
      <c r="AW276" s="15"/>
      <c r="AX276" s="15"/>
    </row>
    <row r="277" ht="15.75" customHeight="1">
      <c r="A277" s="7">
        <v>230913.0</v>
      </c>
      <c r="B277" s="7">
        <v>61.0</v>
      </c>
      <c r="C277" s="7">
        <v>1.0</v>
      </c>
      <c r="D277" s="8" t="s">
        <v>204</v>
      </c>
      <c r="E277" s="7">
        <v>10.0</v>
      </c>
      <c r="F277" s="8" t="s">
        <v>56</v>
      </c>
      <c r="G277" s="8" t="s">
        <v>67</v>
      </c>
      <c r="H277" s="8" t="s">
        <v>65</v>
      </c>
      <c r="I277" s="22" t="s">
        <v>146</v>
      </c>
      <c r="J277" s="22" t="s">
        <v>52</v>
      </c>
      <c r="K277" s="11" t="s">
        <v>53</v>
      </c>
      <c r="L277" s="18">
        <v>0.025953</v>
      </c>
      <c r="M277" s="18">
        <v>0.023806</v>
      </c>
      <c r="N277" s="18">
        <v>0.021682</v>
      </c>
      <c r="O277" s="18">
        <v>0.018873</v>
      </c>
      <c r="P277" s="18">
        <v>0.012716</v>
      </c>
      <c r="Q277" s="18">
        <v>0.008396</v>
      </c>
      <c r="R277" s="18">
        <v>0.006959</v>
      </c>
      <c r="S277" s="18">
        <v>0.005566</v>
      </c>
      <c r="T277" s="18">
        <v>0.007457</v>
      </c>
      <c r="U277" s="18">
        <v>0.00639</v>
      </c>
      <c r="V277" s="18">
        <v>0.002751</v>
      </c>
      <c r="W277" s="18">
        <v>0.002068</v>
      </c>
      <c r="X277" s="18">
        <v>0.001243</v>
      </c>
      <c r="Y277" s="18">
        <v>3.65E-4</v>
      </c>
      <c r="Z277" s="18">
        <v>7.96E-5</v>
      </c>
      <c r="AA277" s="18">
        <v>0.0</v>
      </c>
      <c r="AB277" s="18">
        <v>0.0</v>
      </c>
      <c r="AC277" s="18">
        <v>0.0</v>
      </c>
      <c r="AD277" s="18">
        <v>0.0</v>
      </c>
      <c r="AE277" s="18">
        <v>1.33E-4</v>
      </c>
      <c r="AF277" s="18">
        <v>0.001497</v>
      </c>
      <c r="AG277" s="18">
        <v>0.005928</v>
      </c>
      <c r="AH277" s="18">
        <v>0.01128</v>
      </c>
      <c r="AI277" s="18">
        <v>0.016001</v>
      </c>
      <c r="AJ277" s="2">
        <v>0.0</v>
      </c>
      <c r="AK277" s="18">
        <v>0.0</v>
      </c>
      <c r="AL277" s="18">
        <v>0.0</v>
      </c>
      <c r="AM277" s="18">
        <v>0.0</v>
      </c>
      <c r="AN277" s="18">
        <v>0.0</v>
      </c>
      <c r="AO277" s="18">
        <v>0.0</v>
      </c>
      <c r="AP277" s="20">
        <v>0.0</v>
      </c>
      <c r="AQ277" s="20">
        <v>0.0</v>
      </c>
      <c r="AR277" s="20">
        <v>0.0</v>
      </c>
      <c r="AS277" s="20">
        <v>0.0</v>
      </c>
      <c r="AT277" s="2">
        <f>AVERAGE(L277:AI277)</f>
        <v>0.007464316667</v>
      </c>
      <c r="AU277" s="12">
        <f t="shared" si="29"/>
        <v>0.00895718</v>
      </c>
      <c r="AV277" s="14"/>
      <c r="AW277" s="15"/>
      <c r="AX277" s="15"/>
    </row>
    <row r="278" ht="15.75" customHeight="1">
      <c r="A278" s="7">
        <v>230914.0</v>
      </c>
      <c r="B278" s="7">
        <v>61.0</v>
      </c>
      <c r="C278" s="7">
        <v>1.0</v>
      </c>
      <c r="D278" s="8" t="s">
        <v>205</v>
      </c>
      <c r="E278" s="7">
        <v>10.0</v>
      </c>
      <c r="F278" s="8" t="s">
        <v>56</v>
      </c>
      <c r="G278" s="8" t="s">
        <v>49</v>
      </c>
      <c r="H278" s="8" t="s">
        <v>63</v>
      </c>
      <c r="I278" s="22" t="s">
        <v>146</v>
      </c>
      <c r="J278" s="22" t="s">
        <v>52</v>
      </c>
      <c r="K278" s="11" t="s">
        <v>53</v>
      </c>
      <c r="L278" s="18">
        <v>0.023645</v>
      </c>
      <c r="M278" s="18">
        <v>0.022282</v>
      </c>
      <c r="N278" s="18">
        <v>0.017749</v>
      </c>
      <c r="O278" s="18">
        <v>0.014092</v>
      </c>
      <c r="P278" s="18">
        <v>0.012844</v>
      </c>
      <c r="Q278" s="18">
        <v>0.011979</v>
      </c>
      <c r="R278" s="18">
        <v>0.013854</v>
      </c>
      <c r="S278" s="18">
        <v>0.01276</v>
      </c>
      <c r="T278" s="18">
        <v>0.007987</v>
      </c>
      <c r="U278" s="18">
        <v>0.006352</v>
      </c>
      <c r="V278" s="18">
        <v>0.006467</v>
      </c>
      <c r="W278" s="18">
        <v>0.006446</v>
      </c>
      <c r="X278" s="18">
        <v>0.006488</v>
      </c>
      <c r="Y278" s="18">
        <v>0.007014</v>
      </c>
      <c r="Z278" s="18">
        <v>0.006434</v>
      </c>
      <c r="AA278" s="18">
        <v>0.004007</v>
      </c>
      <c r="AB278" s="18">
        <v>0.002264</v>
      </c>
      <c r="AC278" s="18">
        <v>0.001007</v>
      </c>
      <c r="AD278" s="18">
        <v>1.02E-4</v>
      </c>
      <c r="AE278" s="18">
        <v>3.78E-5</v>
      </c>
      <c r="AF278" s="18">
        <v>0.0</v>
      </c>
      <c r="AG278" s="18">
        <v>0.0</v>
      </c>
      <c r="AH278" s="18">
        <v>0.0</v>
      </c>
      <c r="AI278" s="18">
        <v>0.0</v>
      </c>
      <c r="AJ278" s="18">
        <v>0.0</v>
      </c>
      <c r="AK278" s="18">
        <v>1.62E-4</v>
      </c>
      <c r="AL278" s="18">
        <v>4.44E-4</v>
      </c>
      <c r="AM278" s="18">
        <v>0.0</v>
      </c>
      <c r="AN278" s="2">
        <v>0.0</v>
      </c>
      <c r="AO278" s="2">
        <v>0.0</v>
      </c>
      <c r="AP278" s="20">
        <v>0.0</v>
      </c>
      <c r="AQ278" s="20">
        <v>0.0</v>
      </c>
      <c r="AR278" s="20">
        <v>0.0</v>
      </c>
      <c r="AS278" s="20">
        <v>0.0</v>
      </c>
      <c r="AT278" s="2">
        <f>AVERAGE(L278:AL278)</f>
        <v>0.006830251852</v>
      </c>
      <c r="AU278" s="12">
        <f t="shared" si="29"/>
        <v>0.008382581818</v>
      </c>
      <c r="AV278" s="14"/>
      <c r="AW278" s="15"/>
      <c r="AX278" s="15"/>
    </row>
    <row r="279" ht="15.75" customHeight="1">
      <c r="A279" s="7">
        <v>230914.0</v>
      </c>
      <c r="B279" s="7">
        <v>61.0</v>
      </c>
      <c r="C279" s="7">
        <v>1.0</v>
      </c>
      <c r="D279" s="8" t="s">
        <v>206</v>
      </c>
      <c r="E279" s="7">
        <v>10.0</v>
      </c>
      <c r="F279" s="8" t="s">
        <v>56</v>
      </c>
      <c r="G279" s="8" t="s">
        <v>49</v>
      </c>
      <c r="H279" s="8" t="s">
        <v>65</v>
      </c>
      <c r="I279" s="22" t="s">
        <v>146</v>
      </c>
      <c r="J279" s="22" t="s">
        <v>52</v>
      </c>
      <c r="K279" s="11" t="s">
        <v>53</v>
      </c>
      <c r="L279" s="18">
        <v>0.019387</v>
      </c>
      <c r="M279" s="18">
        <v>0.018793</v>
      </c>
      <c r="N279" s="18">
        <v>0.018079</v>
      </c>
      <c r="O279" s="18">
        <v>0.018027</v>
      </c>
      <c r="P279" s="18">
        <v>0.018386</v>
      </c>
      <c r="Q279" s="18">
        <v>0.018287</v>
      </c>
      <c r="R279" s="18">
        <v>0.016995</v>
      </c>
      <c r="S279" s="18">
        <v>0.01664</v>
      </c>
      <c r="T279" s="18">
        <v>0.015582</v>
      </c>
      <c r="U279" s="18">
        <v>0.013146</v>
      </c>
      <c r="V279" s="18">
        <v>0.012517</v>
      </c>
      <c r="W279" s="18">
        <v>0.011966</v>
      </c>
      <c r="X279" s="18">
        <v>0.010068</v>
      </c>
      <c r="Y279" s="18">
        <v>0.006112</v>
      </c>
      <c r="Z279" s="18">
        <v>0.002896</v>
      </c>
      <c r="AA279" s="18">
        <v>0.00146</v>
      </c>
      <c r="AB279" s="18">
        <v>4.04E-4</v>
      </c>
      <c r="AC279" s="18">
        <v>3.08E-4</v>
      </c>
      <c r="AD279" s="18">
        <v>8.7E-4</v>
      </c>
      <c r="AE279" s="18">
        <v>0.001091</v>
      </c>
      <c r="AF279" s="18">
        <v>5.13E-4</v>
      </c>
      <c r="AG279" s="18">
        <v>1.33E-4</v>
      </c>
      <c r="AH279" s="18">
        <v>4.17E-5</v>
      </c>
      <c r="AI279" s="18">
        <v>3.15E-5</v>
      </c>
      <c r="AJ279" s="18">
        <v>3.87E-4</v>
      </c>
      <c r="AK279" s="18">
        <v>0.001187</v>
      </c>
      <c r="AL279" s="18">
        <v>0.001421</v>
      </c>
      <c r="AM279" s="18">
        <v>0.001491</v>
      </c>
      <c r="AN279" s="18">
        <v>0.002551</v>
      </c>
      <c r="AO279" s="2">
        <v>0.0</v>
      </c>
      <c r="AP279" s="20">
        <v>0.0</v>
      </c>
      <c r="AQ279" s="20">
        <v>0.0</v>
      </c>
      <c r="AR279" s="20">
        <v>0.0</v>
      </c>
      <c r="AS279" s="20">
        <v>0.0</v>
      </c>
      <c r="AT279" s="2">
        <f>AVERAGE(L279:AN279)</f>
        <v>0.007888627586</v>
      </c>
      <c r="AU279" s="12">
        <f t="shared" si="29"/>
        <v>0.007888627586</v>
      </c>
      <c r="AV279" s="14"/>
      <c r="AW279" s="15"/>
      <c r="AX279" s="15"/>
    </row>
    <row r="280" ht="15.75" customHeight="1">
      <c r="A280" s="7">
        <v>230914.0</v>
      </c>
      <c r="B280" s="7">
        <v>61.0</v>
      </c>
      <c r="C280" s="7">
        <v>1.0</v>
      </c>
      <c r="D280" s="8" t="s">
        <v>207</v>
      </c>
      <c r="E280" s="7">
        <v>10.0</v>
      </c>
      <c r="F280" s="8" t="s">
        <v>56</v>
      </c>
      <c r="G280" s="8" t="s">
        <v>49</v>
      </c>
      <c r="H280" s="8" t="s">
        <v>50</v>
      </c>
      <c r="I280" s="22" t="s">
        <v>146</v>
      </c>
      <c r="J280" s="22" t="s">
        <v>52</v>
      </c>
      <c r="K280" s="11" t="s">
        <v>53</v>
      </c>
      <c r="L280" s="18">
        <v>0.018322</v>
      </c>
      <c r="M280" s="18">
        <v>0.020427</v>
      </c>
      <c r="N280" s="18">
        <v>0.02294</v>
      </c>
      <c r="O280" s="18">
        <v>0.025747</v>
      </c>
      <c r="P280" s="18">
        <v>0.026436</v>
      </c>
      <c r="Q280" s="18">
        <v>0.026478</v>
      </c>
      <c r="R280" s="18">
        <v>0.028474</v>
      </c>
      <c r="S280" s="18">
        <v>0.027545</v>
      </c>
      <c r="T280" s="18">
        <v>0.024147</v>
      </c>
      <c r="U280" s="18">
        <v>0.021643</v>
      </c>
      <c r="V280" s="18">
        <v>0.01964</v>
      </c>
      <c r="W280" s="18">
        <v>0.022177</v>
      </c>
      <c r="X280" s="18">
        <v>0.024747</v>
      </c>
      <c r="Y280" s="18">
        <v>0.022658</v>
      </c>
      <c r="Z280" s="18">
        <v>0.019122</v>
      </c>
      <c r="AA280" s="18">
        <v>0.01831</v>
      </c>
      <c r="AB280" s="18">
        <v>0.018159</v>
      </c>
      <c r="AC280" s="18">
        <v>0.01354</v>
      </c>
      <c r="AD280" s="18">
        <v>0.008728</v>
      </c>
      <c r="AE280" s="18">
        <v>0.004305</v>
      </c>
      <c r="AF280" s="18">
        <v>0.001221</v>
      </c>
      <c r="AG280" s="18">
        <v>4.79E-4</v>
      </c>
      <c r="AH280" s="18">
        <v>6.1E-4</v>
      </c>
      <c r="AI280" s="18">
        <v>0.002213</v>
      </c>
      <c r="AJ280" s="18">
        <v>0.002459</v>
      </c>
      <c r="AK280" s="18">
        <v>0.002107</v>
      </c>
      <c r="AL280" s="18">
        <v>0.00313</v>
      </c>
      <c r="AM280" s="18">
        <v>0.008365</v>
      </c>
      <c r="AN280" s="18">
        <v>0.018473</v>
      </c>
      <c r="AO280" s="18">
        <v>0.027555</v>
      </c>
      <c r="AP280" s="20">
        <v>0.0</v>
      </c>
      <c r="AQ280" s="20">
        <v>0.0</v>
      </c>
      <c r="AR280" s="20">
        <v>0.0</v>
      </c>
      <c r="AS280" s="20">
        <v>0.0</v>
      </c>
      <c r="AT280" s="2">
        <f>AVERAGE(L280:AO280)</f>
        <v>0.01600523333</v>
      </c>
      <c r="AU280" s="12">
        <f t="shared" si="29"/>
        <v>0.01600523333</v>
      </c>
      <c r="AV280" s="14"/>
      <c r="AW280" s="15"/>
      <c r="AX280" s="15"/>
    </row>
    <row r="281" ht="15.75" customHeight="1">
      <c r="A281" s="7">
        <v>230915.0</v>
      </c>
      <c r="B281" s="7">
        <v>61.0</v>
      </c>
      <c r="C281" s="7">
        <v>1.0</v>
      </c>
      <c r="D281" s="8" t="s">
        <v>208</v>
      </c>
      <c r="E281" s="7">
        <v>10.0</v>
      </c>
      <c r="F281" s="8" t="s">
        <v>48</v>
      </c>
      <c r="G281" s="8" t="s">
        <v>67</v>
      </c>
      <c r="H281" s="8" t="s">
        <v>50</v>
      </c>
      <c r="I281" s="22" t="s">
        <v>146</v>
      </c>
      <c r="J281" s="22" t="s">
        <v>52</v>
      </c>
      <c r="K281" s="11" t="s">
        <v>57</v>
      </c>
      <c r="L281" s="18">
        <v>0.027833</v>
      </c>
      <c r="M281" s="18">
        <v>0.027265</v>
      </c>
      <c r="N281" s="18">
        <v>0.027389</v>
      </c>
      <c r="O281" s="18">
        <v>0.029211</v>
      </c>
      <c r="P281" s="18">
        <v>0.028394</v>
      </c>
      <c r="Q281" s="18">
        <v>0.028547</v>
      </c>
      <c r="R281" s="18">
        <v>0.032582</v>
      </c>
      <c r="S281" s="18">
        <v>0.033238</v>
      </c>
      <c r="T281" s="18">
        <v>0.031655</v>
      </c>
      <c r="U281" s="18">
        <v>0.032789</v>
      </c>
      <c r="V281" s="18">
        <v>0.033612</v>
      </c>
      <c r="W281" s="18">
        <v>0.033977</v>
      </c>
      <c r="X281" s="18">
        <v>0.034722</v>
      </c>
      <c r="Y281" s="18">
        <v>0.033763</v>
      </c>
      <c r="Z281" s="18">
        <v>0.034434</v>
      </c>
      <c r="AA281" s="18">
        <v>0.034207</v>
      </c>
      <c r="AB281" s="18">
        <v>0.032048</v>
      </c>
      <c r="AC281" s="18">
        <v>0.031716</v>
      </c>
      <c r="AD281" s="18">
        <v>0.03279</v>
      </c>
      <c r="AE281" s="18">
        <v>0.031954</v>
      </c>
      <c r="AF281" s="18">
        <v>0.031066</v>
      </c>
      <c r="AG281" s="18">
        <v>0.029183</v>
      </c>
      <c r="AH281" s="18">
        <v>0.025279</v>
      </c>
      <c r="AI281" s="18">
        <v>0.016651</v>
      </c>
      <c r="AJ281" s="18">
        <v>0.006094</v>
      </c>
      <c r="AK281" s="18">
        <v>0.001131</v>
      </c>
      <c r="AL281" s="18">
        <v>0.0</v>
      </c>
      <c r="AM281" s="18">
        <v>0.0</v>
      </c>
      <c r="AN281" s="2">
        <v>0.0</v>
      </c>
      <c r="AO281" s="2">
        <v>0.0</v>
      </c>
      <c r="AP281" s="20">
        <v>0.0</v>
      </c>
      <c r="AQ281" s="20">
        <v>0.0</v>
      </c>
      <c r="AR281" s="20">
        <v>0.0</v>
      </c>
      <c r="AS281" s="20">
        <v>0.0</v>
      </c>
      <c r="AT281" s="2">
        <f>AVERAGE(L281:AK281)</f>
        <v>0.02852038462</v>
      </c>
      <c r="AU281" s="12">
        <f t="shared" si="29"/>
        <v>0.02852038462</v>
      </c>
      <c r="AV281" s="14"/>
      <c r="AW281" s="15"/>
      <c r="AX281" s="15"/>
    </row>
    <row r="282" ht="15.75" customHeight="1">
      <c r="A282" s="7">
        <v>230915.0</v>
      </c>
      <c r="B282" s="7">
        <v>61.0</v>
      </c>
      <c r="C282" s="7">
        <v>1.0</v>
      </c>
      <c r="D282" s="8" t="s">
        <v>209</v>
      </c>
      <c r="E282" s="7">
        <v>10.0</v>
      </c>
      <c r="F282" s="8" t="s">
        <v>48</v>
      </c>
      <c r="G282" s="8" t="s">
        <v>67</v>
      </c>
      <c r="H282" s="8" t="s">
        <v>65</v>
      </c>
      <c r="I282" s="22" t="s">
        <v>146</v>
      </c>
      <c r="J282" s="22" t="s">
        <v>52</v>
      </c>
      <c r="K282" s="11" t="s">
        <v>57</v>
      </c>
      <c r="L282" s="18">
        <v>0.0</v>
      </c>
      <c r="M282" s="18">
        <v>7.71E-5</v>
      </c>
      <c r="N282" s="18">
        <v>4.84E-4</v>
      </c>
      <c r="O282" s="18">
        <v>3.15E-4</v>
      </c>
      <c r="P282" s="18">
        <v>0.0</v>
      </c>
      <c r="Q282" s="18">
        <v>0.0</v>
      </c>
      <c r="R282" s="18">
        <v>7.61E-4</v>
      </c>
      <c r="S282" s="18">
        <v>0.002122</v>
      </c>
      <c r="T282" s="18">
        <v>0.003079</v>
      </c>
      <c r="U282" s="18">
        <v>0.005016</v>
      </c>
      <c r="V282" s="18">
        <v>0.00838</v>
      </c>
      <c r="W282" s="18">
        <v>0.011536</v>
      </c>
      <c r="X282" s="18">
        <v>0.013222</v>
      </c>
      <c r="Y282" s="18">
        <v>0.011614</v>
      </c>
      <c r="Z282" s="18">
        <v>0.010428</v>
      </c>
      <c r="AA282" s="18">
        <v>0.009724</v>
      </c>
      <c r="AB282" s="18">
        <v>0.010578</v>
      </c>
      <c r="AC282" s="18">
        <v>0.016482</v>
      </c>
      <c r="AD282" s="18">
        <v>0.022026</v>
      </c>
      <c r="AE282" s="18">
        <v>0.024467</v>
      </c>
      <c r="AF282" s="18">
        <v>0.025362</v>
      </c>
      <c r="AG282" s="18">
        <v>0.025727</v>
      </c>
      <c r="AH282" s="18">
        <v>0.027907</v>
      </c>
      <c r="AI282" s="18">
        <v>0.029978</v>
      </c>
      <c r="AJ282" s="18">
        <v>0.028612</v>
      </c>
      <c r="AK282" s="18">
        <v>0.027213</v>
      </c>
      <c r="AL282" s="18">
        <v>0.027062</v>
      </c>
      <c r="AM282" s="18">
        <v>0.025637</v>
      </c>
      <c r="AN282" s="18">
        <v>0.026159</v>
      </c>
      <c r="AO282" s="18">
        <v>0.030093</v>
      </c>
      <c r="AP282" s="20">
        <v>0.0</v>
      </c>
      <c r="AQ282" s="20">
        <v>0.0</v>
      </c>
      <c r="AR282" s="20">
        <v>0.0</v>
      </c>
      <c r="AS282" s="20">
        <v>0.0</v>
      </c>
      <c r="AT282" s="2">
        <f t="shared" ref="AT282:AT283" si="30">AVERAGE(L282:AO282)</f>
        <v>0.01413537</v>
      </c>
      <c r="AU282" s="12">
        <f t="shared" si="29"/>
        <v>0.01570596667</v>
      </c>
      <c r="AV282" s="14"/>
      <c r="AW282" s="15"/>
      <c r="AX282" s="15"/>
    </row>
    <row r="283" ht="15.75" customHeight="1">
      <c r="A283" s="7">
        <v>230915.0</v>
      </c>
      <c r="B283" s="7">
        <v>61.0</v>
      </c>
      <c r="C283" s="7">
        <v>1.0</v>
      </c>
      <c r="D283" s="8" t="s">
        <v>210</v>
      </c>
      <c r="E283" s="7">
        <v>10.0</v>
      </c>
      <c r="F283" s="8" t="s">
        <v>48</v>
      </c>
      <c r="G283" s="8" t="s">
        <v>67</v>
      </c>
      <c r="H283" s="8" t="s">
        <v>63</v>
      </c>
      <c r="I283" s="22" t="s">
        <v>146</v>
      </c>
      <c r="J283" s="22" t="s">
        <v>52</v>
      </c>
      <c r="K283" s="11" t="s">
        <v>57</v>
      </c>
      <c r="L283" s="18">
        <v>0.027551</v>
      </c>
      <c r="M283" s="18">
        <v>0.026739</v>
      </c>
      <c r="N283" s="18">
        <v>0.025985</v>
      </c>
      <c r="O283" s="18">
        <v>0.024807</v>
      </c>
      <c r="P283" s="18">
        <v>0.023984</v>
      </c>
      <c r="Q283" s="18">
        <v>0.025159</v>
      </c>
      <c r="R283" s="18">
        <v>0.02622</v>
      </c>
      <c r="S283" s="18">
        <v>0.026049</v>
      </c>
      <c r="T283" s="18">
        <v>0.024505</v>
      </c>
      <c r="U283" s="18">
        <v>0.025107</v>
      </c>
      <c r="V283" s="18">
        <v>0.024959</v>
      </c>
      <c r="W283" s="18">
        <v>0.021041</v>
      </c>
      <c r="X283" s="18">
        <v>0.019288</v>
      </c>
      <c r="Y283" s="18">
        <v>0.018869</v>
      </c>
      <c r="Z283" s="18">
        <v>0.01933</v>
      </c>
      <c r="AA283" s="18">
        <v>0.019414</v>
      </c>
      <c r="AB283" s="18">
        <v>0.01855</v>
      </c>
      <c r="AC283" s="18">
        <v>0.018308</v>
      </c>
      <c r="AD283" s="18">
        <v>0.016829</v>
      </c>
      <c r="AE283" s="18">
        <v>0.014584</v>
      </c>
      <c r="AF283" s="18">
        <v>0.013667</v>
      </c>
      <c r="AG283" s="18">
        <v>0.012925</v>
      </c>
      <c r="AH283" s="18">
        <v>0.011434</v>
      </c>
      <c r="AI283" s="18">
        <v>0.008825</v>
      </c>
      <c r="AJ283" s="18">
        <v>0.006237</v>
      </c>
      <c r="AK283" s="18">
        <v>0.00405</v>
      </c>
      <c r="AL283" s="18">
        <v>0.001883</v>
      </c>
      <c r="AM283" s="18">
        <v>0.001803</v>
      </c>
      <c r="AN283" s="18">
        <v>0.005426</v>
      </c>
      <c r="AO283" s="18">
        <v>0.019017</v>
      </c>
      <c r="AP283" s="20">
        <v>0.0</v>
      </c>
      <c r="AQ283" s="20">
        <v>0.0</v>
      </c>
      <c r="AR283" s="20">
        <v>0.0</v>
      </c>
      <c r="AS283" s="20">
        <v>0.0</v>
      </c>
      <c r="AT283" s="2">
        <f t="shared" si="30"/>
        <v>0.0177515</v>
      </c>
      <c r="AU283" s="12">
        <f t="shared" si="29"/>
        <v>0.0177515</v>
      </c>
      <c r="AV283" s="14"/>
      <c r="AW283" s="15"/>
      <c r="AX283" s="15"/>
    </row>
    <row r="284" ht="15.75" customHeight="1">
      <c r="A284" s="7">
        <v>230915.0</v>
      </c>
      <c r="B284" s="7">
        <v>61.0</v>
      </c>
      <c r="C284" s="7">
        <v>1.0</v>
      </c>
      <c r="D284" s="8" t="s">
        <v>211</v>
      </c>
      <c r="E284" s="7">
        <v>10.0</v>
      </c>
      <c r="F284" s="8" t="s">
        <v>48</v>
      </c>
      <c r="G284" s="8" t="s">
        <v>67</v>
      </c>
      <c r="H284" s="8" t="s">
        <v>61</v>
      </c>
      <c r="I284" s="22" t="s">
        <v>146</v>
      </c>
      <c r="J284" s="22" t="s">
        <v>52</v>
      </c>
      <c r="K284" s="11" t="s">
        <v>57</v>
      </c>
      <c r="L284" s="18">
        <v>0.030051</v>
      </c>
      <c r="M284" s="18">
        <v>0.029798</v>
      </c>
      <c r="N284" s="18">
        <v>0.029212</v>
      </c>
      <c r="O284" s="18">
        <v>0.02677</v>
      </c>
      <c r="P284" s="18">
        <v>0.025913</v>
      </c>
      <c r="Q284" s="18">
        <v>0.02501</v>
      </c>
      <c r="R284" s="18">
        <v>0.023237</v>
      </c>
      <c r="S284" s="18">
        <v>0.026168</v>
      </c>
      <c r="T284" s="18">
        <v>0.027606</v>
      </c>
      <c r="U284" s="18">
        <v>0.02737</v>
      </c>
      <c r="V284" s="18">
        <v>0.028053</v>
      </c>
      <c r="W284" s="18">
        <v>0.027923</v>
      </c>
      <c r="X284" s="18">
        <v>0.026873</v>
      </c>
      <c r="Y284" s="18">
        <v>0.025975</v>
      </c>
      <c r="Z284" s="18">
        <v>0.02507</v>
      </c>
      <c r="AA284" s="18">
        <v>0.023835</v>
      </c>
      <c r="AB284" s="18">
        <v>0.024554</v>
      </c>
      <c r="AC284" s="18">
        <v>0.024549</v>
      </c>
      <c r="AD284" s="18">
        <v>0.018877</v>
      </c>
      <c r="AE284" s="18">
        <v>0.01002</v>
      </c>
      <c r="AF284" s="18">
        <v>0.003851</v>
      </c>
      <c r="AG284" s="18">
        <v>0.001033</v>
      </c>
      <c r="AH284" s="18">
        <v>1.15E-4</v>
      </c>
      <c r="AI284" s="18">
        <v>7.9E-6</v>
      </c>
      <c r="AJ284" s="18">
        <v>9.9E-6</v>
      </c>
      <c r="AK284" s="18">
        <v>0.0</v>
      </c>
      <c r="AL284" s="18">
        <v>0.0</v>
      </c>
      <c r="AM284" s="2">
        <v>0.0</v>
      </c>
      <c r="AN284" s="2">
        <v>0.0</v>
      </c>
      <c r="AO284" s="2">
        <v>0.0</v>
      </c>
      <c r="AP284" s="20">
        <v>0.0</v>
      </c>
      <c r="AQ284" s="20">
        <v>0.0</v>
      </c>
      <c r="AR284" s="20">
        <v>0.0</v>
      </c>
      <c r="AS284" s="20">
        <v>0.0</v>
      </c>
      <c r="AT284" s="2">
        <f>AVERAGE(L284:AJ284)</f>
        <v>0.020475232</v>
      </c>
      <c r="AU284" s="12">
        <f t="shared" si="29"/>
        <v>0.020475232</v>
      </c>
      <c r="AV284" s="14"/>
      <c r="AW284" s="15"/>
      <c r="AX284" s="15"/>
    </row>
    <row r="285" ht="15.75" customHeight="1">
      <c r="A285" s="7">
        <v>230915.0</v>
      </c>
      <c r="B285" s="7">
        <v>61.0</v>
      </c>
      <c r="C285" s="7">
        <v>1.0</v>
      </c>
      <c r="D285" s="8" t="s">
        <v>212</v>
      </c>
      <c r="E285" s="7">
        <v>10.0</v>
      </c>
      <c r="F285" s="8" t="s">
        <v>48</v>
      </c>
      <c r="G285" s="8" t="s">
        <v>49</v>
      </c>
      <c r="H285" s="16" t="s">
        <v>50</v>
      </c>
      <c r="I285" s="22" t="s">
        <v>146</v>
      </c>
      <c r="J285" s="22" t="s">
        <v>52</v>
      </c>
      <c r="K285" s="11" t="s">
        <v>57</v>
      </c>
      <c r="L285" s="18">
        <v>0.024244</v>
      </c>
      <c r="M285" s="18">
        <v>0.024236</v>
      </c>
      <c r="N285" s="18">
        <v>0.024719</v>
      </c>
      <c r="O285" s="18">
        <v>0.025907</v>
      </c>
      <c r="P285" s="18">
        <v>0.027507</v>
      </c>
      <c r="Q285" s="18">
        <v>0.026523</v>
      </c>
      <c r="R285" s="18">
        <v>0.026769</v>
      </c>
      <c r="S285" s="18">
        <v>0.029003</v>
      </c>
      <c r="T285" s="18">
        <v>0.029198</v>
      </c>
      <c r="U285" s="18">
        <v>0.02774</v>
      </c>
      <c r="V285" s="18">
        <v>0.028605</v>
      </c>
      <c r="W285" s="18">
        <v>0.030191</v>
      </c>
      <c r="X285" s="18">
        <v>0.029567</v>
      </c>
      <c r="Y285" s="18">
        <v>0.030069</v>
      </c>
      <c r="Z285" s="18">
        <v>0.029052</v>
      </c>
      <c r="AA285" s="18">
        <v>0.02766</v>
      </c>
      <c r="AB285" s="18">
        <v>0.028105</v>
      </c>
      <c r="AC285" s="18">
        <v>0.02785</v>
      </c>
      <c r="AD285" s="18">
        <v>0.026242</v>
      </c>
      <c r="AE285" s="18">
        <v>0.022431</v>
      </c>
      <c r="AF285" s="18">
        <v>0.01876</v>
      </c>
      <c r="AG285" s="18">
        <v>0.016468</v>
      </c>
      <c r="AH285" s="18">
        <v>0.01443</v>
      </c>
      <c r="AI285" s="18">
        <v>0.011197</v>
      </c>
      <c r="AJ285" s="18">
        <v>0.00735</v>
      </c>
      <c r="AK285" s="18">
        <v>0.004084</v>
      </c>
      <c r="AL285" s="18">
        <v>7.76E-4</v>
      </c>
      <c r="AM285" s="18">
        <v>0.0</v>
      </c>
      <c r="AN285" s="18">
        <v>0.0</v>
      </c>
      <c r="AO285" s="2">
        <v>0.0</v>
      </c>
      <c r="AP285" s="20">
        <v>0.0</v>
      </c>
      <c r="AQ285" s="20">
        <v>0.0</v>
      </c>
      <c r="AR285" s="20">
        <v>0.0</v>
      </c>
      <c r="AS285" s="20">
        <v>0.0</v>
      </c>
      <c r="AT285" s="2">
        <f>AVERAGE(L285:AL285)</f>
        <v>0.02291418519</v>
      </c>
      <c r="AU285" s="12">
        <f t="shared" si="29"/>
        <v>0.02291418519</v>
      </c>
      <c r="AV285" s="14"/>
      <c r="AW285" s="15"/>
      <c r="AX285" s="15"/>
    </row>
    <row r="286" ht="15.75" customHeight="1">
      <c r="A286" s="7">
        <v>230915.0</v>
      </c>
      <c r="B286" s="7">
        <v>61.0</v>
      </c>
      <c r="C286" s="7">
        <v>1.0</v>
      </c>
      <c r="D286" s="8" t="s">
        <v>213</v>
      </c>
      <c r="E286" s="7">
        <v>10.0</v>
      </c>
      <c r="F286" s="8" t="s">
        <v>48</v>
      </c>
      <c r="G286" s="8" t="s">
        <v>49</v>
      </c>
      <c r="H286" s="16" t="s">
        <v>50</v>
      </c>
      <c r="I286" s="22" t="s">
        <v>146</v>
      </c>
      <c r="J286" s="22" t="s">
        <v>52</v>
      </c>
      <c r="K286" s="11" t="s">
        <v>57</v>
      </c>
      <c r="L286" s="18">
        <v>0.025836</v>
      </c>
      <c r="M286" s="18">
        <v>0.025302</v>
      </c>
      <c r="N286" s="18">
        <v>0.025895</v>
      </c>
      <c r="O286" s="18">
        <v>0.027067</v>
      </c>
      <c r="P286" s="18">
        <v>0.028675</v>
      </c>
      <c r="Q286" s="18">
        <v>0.027374</v>
      </c>
      <c r="R286" s="18">
        <v>0.025181</v>
      </c>
      <c r="S286" s="18">
        <v>0.02647</v>
      </c>
      <c r="T286" s="18">
        <v>0.026963</v>
      </c>
      <c r="U286" s="18">
        <v>0.024352</v>
      </c>
      <c r="V286" s="18">
        <v>0.022977</v>
      </c>
      <c r="W286" s="18">
        <v>0.026663</v>
      </c>
      <c r="X286" s="18">
        <v>0.028169</v>
      </c>
      <c r="Y286" s="18">
        <v>0.028162</v>
      </c>
      <c r="Z286" s="18">
        <v>0.028486</v>
      </c>
      <c r="AA286" s="18">
        <v>0.025885</v>
      </c>
      <c r="AB286" s="18">
        <v>0.023714</v>
      </c>
      <c r="AC286" s="18">
        <v>0.021996</v>
      </c>
      <c r="AD286" s="18">
        <v>0.017693</v>
      </c>
      <c r="AE286" s="18">
        <v>0.012788</v>
      </c>
      <c r="AF286" s="18">
        <v>0.009594</v>
      </c>
      <c r="AG286" s="18">
        <v>0.00713</v>
      </c>
      <c r="AH286" s="18">
        <v>0.004521</v>
      </c>
      <c r="AI286" s="18">
        <v>0.001497</v>
      </c>
      <c r="AJ286" s="18">
        <v>0.0</v>
      </c>
      <c r="AK286" s="18">
        <v>0.0</v>
      </c>
      <c r="AL286" s="2">
        <v>0.0</v>
      </c>
      <c r="AM286" s="2">
        <v>0.0</v>
      </c>
      <c r="AN286" s="2">
        <v>0.0</v>
      </c>
      <c r="AO286" s="2">
        <v>0.0</v>
      </c>
      <c r="AP286" s="20">
        <v>0.0</v>
      </c>
      <c r="AQ286" s="20">
        <v>0.0</v>
      </c>
      <c r="AR286" s="20">
        <v>0.0</v>
      </c>
      <c r="AS286" s="20">
        <v>0.0</v>
      </c>
      <c r="AT286" s="2">
        <f>AVERAGE(L286:AI286)</f>
        <v>0.02176625</v>
      </c>
      <c r="AU286" s="12">
        <f t="shared" si="29"/>
        <v>0.02176625</v>
      </c>
      <c r="AV286" s="14"/>
      <c r="AW286" s="15"/>
      <c r="AX286" s="15"/>
    </row>
    <row r="287" ht="15.75" customHeight="1">
      <c r="A287" s="7">
        <v>231103.0</v>
      </c>
      <c r="B287" s="7">
        <v>65.0</v>
      </c>
      <c r="C287" s="7">
        <v>2.0</v>
      </c>
      <c r="D287" s="8" t="s">
        <v>214</v>
      </c>
      <c r="E287" s="7">
        <v>10.0</v>
      </c>
      <c r="F287" s="8" t="s">
        <v>56</v>
      </c>
      <c r="G287" s="8" t="s">
        <v>49</v>
      </c>
      <c r="H287" s="8" t="s">
        <v>50</v>
      </c>
      <c r="I287" s="22" t="s">
        <v>146</v>
      </c>
      <c r="J287" s="22" t="s">
        <v>52</v>
      </c>
      <c r="K287" s="11" t="s">
        <v>59</v>
      </c>
      <c r="L287" s="18">
        <v>0.033292</v>
      </c>
      <c r="M287" s="18">
        <v>0.033174</v>
      </c>
      <c r="N287" s="18">
        <v>0.034469</v>
      </c>
      <c r="O287" s="18">
        <v>0.036056</v>
      </c>
      <c r="P287" s="18">
        <v>0.03686</v>
      </c>
      <c r="Q287" s="18">
        <v>0.039083</v>
      </c>
      <c r="R287" s="18">
        <v>0.040724</v>
      </c>
      <c r="S287" s="18">
        <v>0.039368</v>
      </c>
      <c r="T287" s="18">
        <v>0.037704</v>
      </c>
      <c r="U287" s="18">
        <v>0.036631</v>
      </c>
      <c r="V287" s="18">
        <v>0.035096</v>
      </c>
      <c r="W287" s="18">
        <v>0.035363</v>
      </c>
      <c r="X287" s="18">
        <v>0.035697</v>
      </c>
      <c r="Y287" s="18">
        <v>0.035192</v>
      </c>
      <c r="Z287" s="18">
        <v>0.03389</v>
      </c>
      <c r="AA287" s="18">
        <v>0.031985</v>
      </c>
      <c r="AB287" s="18">
        <v>0.032286</v>
      </c>
      <c r="AC287" s="18">
        <v>0.031936</v>
      </c>
      <c r="AD287" s="18">
        <v>0.032691</v>
      </c>
      <c r="AE287" s="18">
        <v>0.032865</v>
      </c>
      <c r="AF287" s="18">
        <v>0.030159</v>
      </c>
      <c r="AG287" s="18">
        <v>0.025942</v>
      </c>
      <c r="AH287" s="18">
        <v>0.020251</v>
      </c>
      <c r="AI287" s="18">
        <v>0.015367</v>
      </c>
      <c r="AJ287" s="18">
        <v>0.008313</v>
      </c>
      <c r="AK287" s="18">
        <v>0.001706</v>
      </c>
      <c r="AL287" s="18">
        <v>6.4E-6</v>
      </c>
      <c r="AM287" s="18">
        <v>1.52E-4</v>
      </c>
      <c r="AN287" s="18">
        <v>0.001089</v>
      </c>
      <c r="AO287" s="18">
        <v>0.010244</v>
      </c>
      <c r="AP287" s="20">
        <v>0.0</v>
      </c>
      <c r="AQ287" s="20">
        <v>0.0</v>
      </c>
      <c r="AR287" s="20">
        <v>0.0</v>
      </c>
      <c r="AS287" s="20">
        <v>0.0</v>
      </c>
      <c r="AT287" s="2">
        <f>AVERAGE(L287:AO287)</f>
        <v>0.02725304667</v>
      </c>
      <c r="AU287" s="12">
        <f t="shared" si="29"/>
        <v>0.02725304667</v>
      </c>
      <c r="AV287" s="14"/>
      <c r="AW287" s="15"/>
      <c r="AX287" s="15"/>
    </row>
    <row r="288" ht="15.75" customHeight="1">
      <c r="A288" s="7">
        <v>231103.0</v>
      </c>
      <c r="B288" s="7">
        <v>65.0</v>
      </c>
      <c r="C288" s="7">
        <v>2.0</v>
      </c>
      <c r="D288" s="8" t="s">
        <v>215</v>
      </c>
      <c r="E288" s="7">
        <v>10.0</v>
      </c>
      <c r="F288" s="8" t="s">
        <v>56</v>
      </c>
      <c r="G288" s="8" t="s">
        <v>49</v>
      </c>
      <c r="H288" s="8" t="s">
        <v>65</v>
      </c>
      <c r="I288" s="22" t="s">
        <v>146</v>
      </c>
      <c r="J288" s="22" t="s">
        <v>52</v>
      </c>
      <c r="K288" s="11" t="s">
        <v>59</v>
      </c>
      <c r="L288" s="18">
        <v>0.033982</v>
      </c>
      <c r="M288" s="18">
        <v>0.033823</v>
      </c>
      <c r="N288" s="18">
        <v>0.033222</v>
      </c>
      <c r="O288" s="18">
        <v>0.032521</v>
      </c>
      <c r="P288" s="18">
        <v>0.033235</v>
      </c>
      <c r="Q288" s="18">
        <v>0.03256</v>
      </c>
      <c r="R288" s="18">
        <v>0.031365</v>
      </c>
      <c r="S288" s="18">
        <v>0.032352</v>
      </c>
      <c r="T288" s="18">
        <v>0.030049</v>
      </c>
      <c r="U288" s="18">
        <v>0.025507</v>
      </c>
      <c r="V288" s="18">
        <v>0.023688</v>
      </c>
      <c r="W288" s="18">
        <v>0.022417</v>
      </c>
      <c r="X288" s="18">
        <v>0.021107</v>
      </c>
      <c r="Y288" s="18">
        <v>0.018778</v>
      </c>
      <c r="Z288" s="18">
        <v>0.013356</v>
      </c>
      <c r="AA288" s="18">
        <v>0.010707</v>
      </c>
      <c r="AB288" s="18">
        <v>0.011274</v>
      </c>
      <c r="AC288" s="18">
        <v>0.011282</v>
      </c>
      <c r="AD288" s="18">
        <v>0.010967</v>
      </c>
      <c r="AE288" s="18">
        <v>0.011392</v>
      </c>
      <c r="AF288" s="18">
        <v>0.009883</v>
      </c>
      <c r="AG288" s="18">
        <v>0.005581</v>
      </c>
      <c r="AH288" s="18">
        <v>0.001801</v>
      </c>
      <c r="AI288" s="18">
        <v>8.03E-5</v>
      </c>
      <c r="AJ288" s="18">
        <v>7.12E-5</v>
      </c>
      <c r="AK288" s="18">
        <v>0.0</v>
      </c>
      <c r="AL288" s="18">
        <v>0.0</v>
      </c>
      <c r="AM288" s="18">
        <v>0.0</v>
      </c>
      <c r="AN288" s="18">
        <v>0.0</v>
      </c>
      <c r="AO288" s="18">
        <v>0.0</v>
      </c>
      <c r="AP288" s="20">
        <v>0.0</v>
      </c>
      <c r="AQ288" s="20">
        <v>0.0</v>
      </c>
      <c r="AR288" s="20">
        <v>0.0</v>
      </c>
      <c r="AS288" s="20">
        <v>0.0</v>
      </c>
      <c r="AT288" s="2">
        <f>AVERAGE(L288:AJ288)</f>
        <v>0.01964002</v>
      </c>
      <c r="AU288" s="12">
        <f t="shared" si="29"/>
        <v>0.01964002</v>
      </c>
      <c r="AV288" s="14"/>
      <c r="AW288" s="15"/>
      <c r="AX288" s="15"/>
    </row>
    <row r="289" ht="15.75" customHeight="1">
      <c r="A289" s="7">
        <v>231103.0</v>
      </c>
      <c r="B289" s="7">
        <v>65.0</v>
      </c>
      <c r="C289" s="7">
        <v>2.0</v>
      </c>
      <c r="D289" s="8" t="s">
        <v>216</v>
      </c>
      <c r="E289" s="7">
        <v>10.0</v>
      </c>
      <c r="F289" s="8" t="s">
        <v>56</v>
      </c>
      <c r="G289" s="8" t="s">
        <v>49</v>
      </c>
      <c r="H289" s="8" t="s">
        <v>61</v>
      </c>
      <c r="I289" s="22" t="s">
        <v>146</v>
      </c>
      <c r="J289" s="22" t="s">
        <v>52</v>
      </c>
      <c r="K289" s="11" t="s">
        <v>59</v>
      </c>
      <c r="L289" s="18">
        <v>0.031586</v>
      </c>
      <c r="M289" s="18">
        <v>0.033422</v>
      </c>
      <c r="N289" s="18">
        <v>0.034039</v>
      </c>
      <c r="O289" s="18">
        <v>0.033126</v>
      </c>
      <c r="P289" s="18">
        <v>0.032961</v>
      </c>
      <c r="Q289" s="18">
        <v>0.032722</v>
      </c>
      <c r="R289" s="18">
        <v>0.035348</v>
      </c>
      <c r="S289" s="18">
        <v>0.036592</v>
      </c>
      <c r="T289" s="18">
        <v>0.033163</v>
      </c>
      <c r="U289" s="18">
        <v>0.02975</v>
      </c>
      <c r="V289" s="18">
        <v>0.026728</v>
      </c>
      <c r="W289" s="18">
        <v>0.024247</v>
      </c>
      <c r="X289" s="18">
        <v>0.022575</v>
      </c>
      <c r="Y289" s="18">
        <v>0.024083</v>
      </c>
      <c r="Z289" s="18">
        <v>0.025676</v>
      </c>
      <c r="AA289" s="18">
        <v>0.023495</v>
      </c>
      <c r="AB289" s="18">
        <v>0.017999</v>
      </c>
      <c r="AC289" s="18">
        <v>0.013255</v>
      </c>
      <c r="AD289" s="18">
        <v>0.010076</v>
      </c>
      <c r="AE289" s="18">
        <v>0.005169</v>
      </c>
      <c r="AF289" s="18">
        <v>0.001383</v>
      </c>
      <c r="AG289" s="18">
        <v>4.01E-4</v>
      </c>
      <c r="AH289" s="18">
        <v>9.46E-5</v>
      </c>
      <c r="AI289" s="18">
        <v>2.5E-5</v>
      </c>
      <c r="AJ289" s="18">
        <v>5.44E-4</v>
      </c>
      <c r="AK289" s="18">
        <v>0.001181</v>
      </c>
      <c r="AL289" s="18">
        <v>0.001001</v>
      </c>
      <c r="AM289" s="18">
        <v>0.001229</v>
      </c>
      <c r="AN289" s="18">
        <v>0.002288</v>
      </c>
      <c r="AO289" s="18">
        <v>0.0</v>
      </c>
      <c r="AP289" s="20">
        <v>0.0</v>
      </c>
      <c r="AQ289" s="20">
        <v>0.0</v>
      </c>
      <c r="AR289" s="20">
        <v>0.0</v>
      </c>
      <c r="AS289" s="20">
        <v>0.0</v>
      </c>
      <c r="AT289" s="2">
        <f t="shared" ref="AT289:AT290" si="31">AVERAGE(L289:AN289)</f>
        <v>0.01841926207</v>
      </c>
      <c r="AU289" s="12">
        <f t="shared" si="29"/>
        <v>0.01841926207</v>
      </c>
      <c r="AV289" s="14"/>
      <c r="AW289" s="15"/>
      <c r="AX289" s="15"/>
    </row>
    <row r="290" ht="15.75" customHeight="1">
      <c r="A290" s="7">
        <v>231103.0</v>
      </c>
      <c r="B290" s="7">
        <v>65.0</v>
      </c>
      <c r="C290" s="7">
        <v>2.0</v>
      </c>
      <c r="D290" s="8" t="s">
        <v>217</v>
      </c>
      <c r="E290" s="7">
        <v>10.0</v>
      </c>
      <c r="F290" s="8" t="s">
        <v>56</v>
      </c>
      <c r="G290" s="8" t="s">
        <v>67</v>
      </c>
      <c r="H290" s="8" t="s">
        <v>65</v>
      </c>
      <c r="I290" s="22" t="s">
        <v>146</v>
      </c>
      <c r="J290" s="22" t="s">
        <v>52</v>
      </c>
      <c r="K290" s="11" t="s">
        <v>59</v>
      </c>
      <c r="L290" s="18">
        <v>0.023288</v>
      </c>
      <c r="M290" s="18">
        <v>0.024118</v>
      </c>
      <c r="N290" s="18">
        <v>0.027867</v>
      </c>
      <c r="O290" s="18">
        <v>0.033123</v>
      </c>
      <c r="P290" s="18">
        <v>0.035035</v>
      </c>
      <c r="Q290" s="18">
        <v>0.034186</v>
      </c>
      <c r="R290" s="18">
        <v>0.032992</v>
      </c>
      <c r="S290" s="18">
        <v>0.032956</v>
      </c>
      <c r="T290" s="18">
        <v>0.031267</v>
      </c>
      <c r="U290" s="18">
        <v>0.026947</v>
      </c>
      <c r="V290" s="18">
        <v>0.022097</v>
      </c>
      <c r="W290" s="18">
        <v>0.017326</v>
      </c>
      <c r="X290" s="18">
        <v>0.012692</v>
      </c>
      <c r="Y290" s="18">
        <v>0.007779</v>
      </c>
      <c r="Z290" s="18">
        <v>0.004763</v>
      </c>
      <c r="AA290" s="18">
        <v>0.004454</v>
      </c>
      <c r="AB290" s="18">
        <v>0.004197</v>
      </c>
      <c r="AC290" s="18">
        <v>0.003175</v>
      </c>
      <c r="AD290" s="18">
        <v>0.002424</v>
      </c>
      <c r="AE290" s="18">
        <v>0.001544</v>
      </c>
      <c r="AF290" s="18">
        <v>8.08E-4</v>
      </c>
      <c r="AG290" s="18">
        <v>4.68E-4</v>
      </c>
      <c r="AH290" s="18">
        <v>2.03E-4</v>
      </c>
      <c r="AI290" s="18">
        <v>0.0</v>
      </c>
      <c r="AJ290" s="18">
        <v>0.0</v>
      </c>
      <c r="AK290" s="18">
        <v>0.0</v>
      </c>
      <c r="AL290" s="18">
        <v>0.0</v>
      </c>
      <c r="AM290" s="18">
        <v>2.53E-4</v>
      </c>
      <c r="AN290" s="18">
        <v>7.39E-4</v>
      </c>
      <c r="AO290" s="2">
        <v>0.0</v>
      </c>
      <c r="AP290" s="20">
        <v>0.0</v>
      </c>
      <c r="AQ290" s="20">
        <v>0.0</v>
      </c>
      <c r="AR290" s="20">
        <v>0.0</v>
      </c>
      <c r="AS290" s="20">
        <v>0.0</v>
      </c>
      <c r="AT290" s="2">
        <f t="shared" si="31"/>
        <v>0.01326555172</v>
      </c>
      <c r="AU290" s="12">
        <f t="shared" si="29"/>
        <v>0.01538804</v>
      </c>
      <c r="AV290" s="14"/>
      <c r="AW290" s="15"/>
      <c r="AX290" s="15"/>
    </row>
    <row r="291" ht="15.75" customHeight="1">
      <c r="A291" s="7">
        <v>231103.0</v>
      </c>
      <c r="B291" s="7">
        <v>65.0</v>
      </c>
      <c r="C291" s="7">
        <v>2.0</v>
      </c>
      <c r="D291" s="8" t="s">
        <v>218</v>
      </c>
      <c r="E291" s="7">
        <v>10.0</v>
      </c>
      <c r="F291" s="8" t="s">
        <v>56</v>
      </c>
      <c r="G291" s="8" t="s">
        <v>67</v>
      </c>
      <c r="H291" s="8" t="s">
        <v>61</v>
      </c>
      <c r="I291" s="22" t="s">
        <v>146</v>
      </c>
      <c r="J291" s="22" t="s">
        <v>52</v>
      </c>
      <c r="K291" s="11" t="s">
        <v>59</v>
      </c>
      <c r="L291" s="18">
        <v>0.004894</v>
      </c>
      <c r="M291" s="18">
        <v>0.005098</v>
      </c>
      <c r="N291" s="18">
        <v>0.004336</v>
      </c>
      <c r="O291" s="18">
        <v>0.003109</v>
      </c>
      <c r="P291" s="18">
        <v>0.003171</v>
      </c>
      <c r="Q291" s="18">
        <v>0.003797</v>
      </c>
      <c r="R291" s="18">
        <v>0.004043</v>
      </c>
      <c r="S291" s="18">
        <v>0.005491</v>
      </c>
      <c r="T291" s="18">
        <v>0.00783</v>
      </c>
      <c r="U291" s="18">
        <v>0.010639</v>
      </c>
      <c r="V291" s="18">
        <v>0.014796</v>
      </c>
      <c r="W291" s="18">
        <v>0.019626</v>
      </c>
      <c r="X291" s="18">
        <v>0.019638</v>
      </c>
      <c r="Y291" s="18">
        <v>0.012547</v>
      </c>
      <c r="Z291" s="18">
        <v>0.004828</v>
      </c>
      <c r="AA291" s="18">
        <v>8.65E-4</v>
      </c>
      <c r="AB291" s="18">
        <v>4.13E-4</v>
      </c>
      <c r="AC291" s="18">
        <v>3.8E-4</v>
      </c>
      <c r="AD291" s="18">
        <v>1.07E-5</v>
      </c>
      <c r="AE291" s="18">
        <v>0.0</v>
      </c>
      <c r="AF291" s="18">
        <v>2.75E-4</v>
      </c>
      <c r="AG291" s="18">
        <v>2.94E-4</v>
      </c>
      <c r="AH291" s="18">
        <v>9.11E-5</v>
      </c>
      <c r="AI291" s="18">
        <v>1.73E-4</v>
      </c>
      <c r="AJ291" s="18">
        <v>1.11E-4</v>
      </c>
      <c r="AK291" s="18">
        <v>0.0</v>
      </c>
      <c r="AL291" s="18">
        <v>0.0</v>
      </c>
      <c r="AM291" s="18">
        <v>0.0</v>
      </c>
      <c r="AN291" s="18">
        <v>0.0</v>
      </c>
      <c r="AO291" s="2">
        <v>0.0</v>
      </c>
      <c r="AP291" s="20">
        <v>0.0</v>
      </c>
      <c r="AQ291" s="20">
        <v>0.0</v>
      </c>
      <c r="AR291" s="20">
        <v>0.0</v>
      </c>
      <c r="AS291" s="20">
        <v>0.0</v>
      </c>
      <c r="AT291" s="2">
        <f>AVERAGE(L291:AJ291)</f>
        <v>0.005058232</v>
      </c>
      <c r="AU291" s="12">
        <f t="shared" si="29"/>
        <v>0.005268991667</v>
      </c>
      <c r="AV291" s="14"/>
      <c r="AW291" s="15"/>
      <c r="AX291" s="15"/>
    </row>
    <row r="292" ht="15.75" customHeight="1">
      <c r="A292" s="7">
        <v>231103.0</v>
      </c>
      <c r="B292" s="7">
        <v>65.0</v>
      </c>
      <c r="C292" s="7">
        <v>2.0</v>
      </c>
      <c r="D292" s="8" t="s">
        <v>219</v>
      </c>
      <c r="E292" s="7">
        <v>10.0</v>
      </c>
      <c r="F292" s="8" t="s">
        <v>56</v>
      </c>
      <c r="G292" s="8" t="s">
        <v>67</v>
      </c>
      <c r="H292" s="8" t="s">
        <v>50</v>
      </c>
      <c r="I292" s="22" t="s">
        <v>146</v>
      </c>
      <c r="J292" s="22" t="s">
        <v>52</v>
      </c>
      <c r="K292" s="11" t="s">
        <v>59</v>
      </c>
      <c r="L292" s="18">
        <v>6.36E-4</v>
      </c>
      <c r="M292" s="18">
        <v>0.001869</v>
      </c>
      <c r="N292" s="18">
        <v>0.001221</v>
      </c>
      <c r="O292" s="18">
        <v>2.76E-4</v>
      </c>
      <c r="P292" s="18">
        <v>0.001761</v>
      </c>
      <c r="Q292" s="18">
        <v>0.003914</v>
      </c>
      <c r="R292" s="18">
        <v>0.002987</v>
      </c>
      <c r="S292" s="18">
        <v>0.001779</v>
      </c>
      <c r="T292" s="18">
        <v>0.003812</v>
      </c>
      <c r="U292" s="18">
        <v>0.007695</v>
      </c>
      <c r="V292" s="18">
        <v>0.010614</v>
      </c>
      <c r="W292" s="18">
        <v>0.011172</v>
      </c>
      <c r="X292" s="18">
        <v>0.008041</v>
      </c>
      <c r="Y292" s="18">
        <v>0.002448</v>
      </c>
      <c r="Z292" s="18">
        <v>1.07E-4</v>
      </c>
      <c r="AA292" s="18">
        <v>0.002485</v>
      </c>
      <c r="AB292" s="18">
        <v>0.005489</v>
      </c>
      <c r="AC292" s="18">
        <v>0.004768</v>
      </c>
      <c r="AD292" s="18">
        <v>0.001996</v>
      </c>
      <c r="AE292" s="18">
        <v>3.52E-4</v>
      </c>
      <c r="AF292" s="18">
        <v>0.0</v>
      </c>
      <c r="AG292" s="18">
        <v>0.0</v>
      </c>
      <c r="AH292" s="18">
        <v>0.0</v>
      </c>
      <c r="AI292" s="18">
        <v>0.0</v>
      </c>
      <c r="AJ292" s="18">
        <v>0.0</v>
      </c>
      <c r="AK292" s="18">
        <v>1.78E-4</v>
      </c>
      <c r="AL292" s="18">
        <v>4.93E-4</v>
      </c>
      <c r="AM292" s="18">
        <v>4.03E-4</v>
      </c>
      <c r="AN292" s="18">
        <v>0.0</v>
      </c>
      <c r="AO292" s="18">
        <v>0.0</v>
      </c>
      <c r="AP292" s="20">
        <v>0.0</v>
      </c>
      <c r="AQ292" s="20">
        <v>0.0</v>
      </c>
      <c r="AR292" s="20">
        <v>0.0</v>
      </c>
      <c r="AS292" s="20">
        <v>0.0</v>
      </c>
      <c r="AT292" s="2">
        <f>AVERAGE(L292:AM292)</f>
        <v>0.002660571429</v>
      </c>
      <c r="AU292" s="12">
        <f t="shared" si="29"/>
        <v>0.003238956522</v>
      </c>
      <c r="AV292" s="14"/>
      <c r="AW292" s="15"/>
      <c r="AX292" s="15"/>
    </row>
    <row r="293" ht="15.75" customHeight="1">
      <c r="A293" s="7">
        <v>231103.0</v>
      </c>
      <c r="B293" s="7">
        <v>65.0</v>
      </c>
      <c r="C293" s="7">
        <v>2.0</v>
      </c>
      <c r="D293" s="8" t="s">
        <v>220</v>
      </c>
      <c r="E293" s="7">
        <v>10.0</v>
      </c>
      <c r="F293" s="8" t="s">
        <v>56</v>
      </c>
      <c r="G293" s="8" t="s">
        <v>67</v>
      </c>
      <c r="H293" s="8" t="s">
        <v>63</v>
      </c>
      <c r="I293" s="22" t="s">
        <v>146</v>
      </c>
      <c r="J293" s="22" t="s">
        <v>52</v>
      </c>
      <c r="K293" s="11" t="s">
        <v>59</v>
      </c>
      <c r="L293" s="18">
        <v>2.99E-4</v>
      </c>
      <c r="M293" s="18">
        <v>8.74E-5</v>
      </c>
      <c r="N293" s="18">
        <v>0.0</v>
      </c>
      <c r="O293" s="18">
        <v>8.16E-4</v>
      </c>
      <c r="P293" s="18">
        <v>0.002927</v>
      </c>
      <c r="Q293" s="18">
        <v>0.006243</v>
      </c>
      <c r="R293" s="18">
        <v>0.010343</v>
      </c>
      <c r="S293" s="18">
        <v>0.013452</v>
      </c>
      <c r="T293" s="18">
        <v>0.014061</v>
      </c>
      <c r="U293" s="18">
        <v>0.012169</v>
      </c>
      <c r="V293" s="18">
        <v>0.007557</v>
      </c>
      <c r="W293" s="18">
        <v>0.00251</v>
      </c>
      <c r="X293" s="18">
        <v>4.98E-4</v>
      </c>
      <c r="Y293" s="18">
        <v>6.83E-4</v>
      </c>
      <c r="Z293" s="18">
        <v>0.001127</v>
      </c>
      <c r="AA293" s="18">
        <v>7.16E-4</v>
      </c>
      <c r="AB293" s="18">
        <v>1.35E-4</v>
      </c>
      <c r="AC293" s="18">
        <v>0.0</v>
      </c>
      <c r="AD293" s="18">
        <v>3.96E-4</v>
      </c>
      <c r="AE293" s="18">
        <v>0.001053</v>
      </c>
      <c r="AF293" s="18">
        <v>0.001021</v>
      </c>
      <c r="AG293" s="18">
        <v>3.64E-4</v>
      </c>
      <c r="AH293" s="18">
        <v>0.0</v>
      </c>
      <c r="AI293" s="18">
        <v>0.0</v>
      </c>
      <c r="AJ293" s="18">
        <v>0.0</v>
      </c>
      <c r="AK293" s="18">
        <v>0.0</v>
      </c>
      <c r="AL293" s="18">
        <v>0.0</v>
      </c>
      <c r="AM293" s="18">
        <v>0.0</v>
      </c>
      <c r="AN293" s="18">
        <v>0.0</v>
      </c>
      <c r="AO293" s="2">
        <v>0.0</v>
      </c>
      <c r="AP293" s="20">
        <v>0.0</v>
      </c>
      <c r="AQ293" s="20">
        <v>0.0</v>
      </c>
      <c r="AR293" s="20">
        <v>0.0</v>
      </c>
      <c r="AS293" s="20">
        <v>0.0</v>
      </c>
      <c r="AT293" s="2">
        <f>AVERAGE(L293:AG293)</f>
        <v>0.003475336364</v>
      </c>
      <c r="AU293" s="12">
        <f t="shared" si="29"/>
        <v>0.00382287</v>
      </c>
      <c r="AV293" s="14"/>
      <c r="AW293" s="15"/>
      <c r="AX293" s="15"/>
    </row>
    <row r="294" ht="15.75" customHeight="1">
      <c r="A294" s="7">
        <v>231128.0</v>
      </c>
      <c r="B294" s="7">
        <v>65.0</v>
      </c>
      <c r="C294" s="7">
        <v>2.0</v>
      </c>
      <c r="D294" s="8" t="s">
        <v>221</v>
      </c>
      <c r="E294" s="7">
        <v>10.0</v>
      </c>
      <c r="F294" s="8" t="s">
        <v>48</v>
      </c>
      <c r="G294" s="8" t="s">
        <v>67</v>
      </c>
      <c r="H294" s="8" t="s">
        <v>65</v>
      </c>
      <c r="I294" s="22" t="s">
        <v>146</v>
      </c>
      <c r="J294" s="22" t="s">
        <v>52</v>
      </c>
      <c r="K294" s="11" t="s">
        <v>70</v>
      </c>
      <c r="L294" s="18">
        <v>0.004637</v>
      </c>
      <c r="M294" s="18">
        <v>0.002706</v>
      </c>
      <c r="N294" s="18">
        <v>0.002265</v>
      </c>
      <c r="O294" s="18">
        <v>0.002191</v>
      </c>
      <c r="P294" s="18">
        <v>0.002146</v>
      </c>
      <c r="Q294" s="18">
        <v>0.002655</v>
      </c>
      <c r="R294" s="18">
        <v>0.002677</v>
      </c>
      <c r="S294" s="18">
        <v>0.002448</v>
      </c>
      <c r="T294" s="18">
        <v>0.00279</v>
      </c>
      <c r="U294" s="18">
        <v>0.002974</v>
      </c>
      <c r="V294" s="18">
        <v>0.002317</v>
      </c>
      <c r="W294" s="18">
        <v>0.00169</v>
      </c>
      <c r="X294" s="18">
        <v>0.001568</v>
      </c>
      <c r="Y294" s="18">
        <v>0.001159</v>
      </c>
      <c r="Z294" s="18">
        <v>5.08E-4</v>
      </c>
      <c r="AA294" s="18">
        <v>4.15E-4</v>
      </c>
      <c r="AB294" s="18">
        <v>3.8E-4</v>
      </c>
      <c r="AC294" s="18">
        <v>3.99E-4</v>
      </c>
      <c r="AD294" s="18">
        <v>2.42E-4</v>
      </c>
      <c r="AE294" s="18">
        <v>1.2E-4</v>
      </c>
      <c r="AF294" s="18">
        <v>1.26E-4</v>
      </c>
      <c r="AG294" s="18">
        <v>4.39E-5</v>
      </c>
      <c r="AH294" s="18">
        <v>4.93E-5</v>
      </c>
      <c r="AI294" s="18">
        <v>5.48E-5</v>
      </c>
      <c r="AJ294" s="18">
        <v>1.03E-4</v>
      </c>
      <c r="AK294" s="18">
        <v>4.72E-4</v>
      </c>
      <c r="AL294" s="18">
        <v>7.28E-4</v>
      </c>
      <c r="AM294" s="18">
        <v>6.98E-4</v>
      </c>
      <c r="AN294" s="18">
        <v>6.38E-4</v>
      </c>
      <c r="AO294" s="18">
        <v>2.3E-4</v>
      </c>
      <c r="AP294" s="20">
        <v>0.0</v>
      </c>
      <c r="AQ294" s="20">
        <v>0.0</v>
      </c>
      <c r="AR294" s="20">
        <v>0.0</v>
      </c>
      <c r="AS294" s="20">
        <v>0.0</v>
      </c>
      <c r="AT294" s="2">
        <f>AVERAGE(L294:AO294)</f>
        <v>0.001314333333</v>
      </c>
      <c r="AU294" s="12">
        <f t="shared" si="29"/>
        <v>0.001314333333</v>
      </c>
      <c r="AV294" s="14"/>
      <c r="AW294" s="15"/>
      <c r="AX294" s="15"/>
    </row>
    <row r="295" ht="15.75" customHeight="1">
      <c r="A295" s="7">
        <v>231128.0</v>
      </c>
      <c r="B295" s="7">
        <v>65.0</v>
      </c>
      <c r="C295" s="7">
        <v>2.0</v>
      </c>
      <c r="D295" s="8" t="s">
        <v>222</v>
      </c>
      <c r="E295" s="7">
        <v>10.0</v>
      </c>
      <c r="F295" s="8" t="s">
        <v>48</v>
      </c>
      <c r="G295" s="8" t="s">
        <v>67</v>
      </c>
      <c r="H295" s="8" t="s">
        <v>61</v>
      </c>
      <c r="I295" s="22" t="s">
        <v>146</v>
      </c>
      <c r="J295" s="22" t="s">
        <v>52</v>
      </c>
      <c r="K295" s="11" t="s">
        <v>70</v>
      </c>
      <c r="L295" s="18">
        <v>0.015818</v>
      </c>
      <c r="M295" s="18">
        <v>0.0187</v>
      </c>
      <c r="N295" s="18">
        <v>0.021712</v>
      </c>
      <c r="O295" s="18">
        <v>0.021509</v>
      </c>
      <c r="P295" s="18">
        <v>0.019195</v>
      </c>
      <c r="Q295" s="18">
        <v>0.016609</v>
      </c>
      <c r="R295" s="18">
        <v>0.01473</v>
      </c>
      <c r="S295" s="18">
        <v>0.014419</v>
      </c>
      <c r="T295" s="18">
        <v>0.015995</v>
      </c>
      <c r="U295" s="18">
        <v>0.0177</v>
      </c>
      <c r="V295" s="18">
        <v>0.017541</v>
      </c>
      <c r="W295" s="18">
        <v>0.018516</v>
      </c>
      <c r="X295" s="18">
        <v>0.016875</v>
      </c>
      <c r="Y295" s="18">
        <v>0.014214</v>
      </c>
      <c r="Z295" s="18">
        <v>0.011045</v>
      </c>
      <c r="AA295" s="18">
        <v>0.008053</v>
      </c>
      <c r="AB295" s="18">
        <v>0.007373</v>
      </c>
      <c r="AC295" s="18">
        <v>0.006127</v>
      </c>
      <c r="AD295" s="18">
        <v>0.00354</v>
      </c>
      <c r="AE295" s="18">
        <v>0.001204</v>
      </c>
      <c r="AF295" s="18">
        <v>1.8E-4</v>
      </c>
      <c r="AG295" s="18">
        <v>5.46E-5</v>
      </c>
      <c r="AH295" s="18">
        <v>0.001006</v>
      </c>
      <c r="AI295" s="18">
        <v>0.003814</v>
      </c>
      <c r="AJ295" s="18">
        <v>0.006064</v>
      </c>
      <c r="AK295" s="18">
        <v>0.004891</v>
      </c>
      <c r="AL295" s="18">
        <v>0.001982</v>
      </c>
      <c r="AM295" s="18">
        <v>0.0</v>
      </c>
      <c r="AN295" s="18">
        <v>0.0</v>
      </c>
      <c r="AO295" s="2">
        <v>0.0</v>
      </c>
      <c r="AP295" s="20">
        <v>0.0</v>
      </c>
      <c r="AQ295" s="20">
        <v>0.0</v>
      </c>
      <c r="AR295" s="20">
        <v>0.0</v>
      </c>
      <c r="AS295" s="20">
        <v>0.0</v>
      </c>
      <c r="AT295" s="2">
        <f>AVERAGE(L295:AL295)</f>
        <v>0.01106913333</v>
      </c>
      <c r="AU295" s="12">
        <f t="shared" si="29"/>
        <v>0.01106913333</v>
      </c>
      <c r="AV295" s="14"/>
      <c r="AW295" s="15"/>
      <c r="AX295" s="15"/>
    </row>
    <row r="296" ht="15.75" customHeight="1">
      <c r="A296" s="7">
        <v>231128.0</v>
      </c>
      <c r="B296" s="7">
        <v>65.0</v>
      </c>
      <c r="C296" s="7">
        <v>2.0</v>
      </c>
      <c r="D296" s="8" t="s">
        <v>223</v>
      </c>
      <c r="E296" s="7">
        <v>10.0</v>
      </c>
      <c r="F296" s="8" t="s">
        <v>48</v>
      </c>
      <c r="G296" s="8" t="s">
        <v>67</v>
      </c>
      <c r="H296" s="8" t="s">
        <v>50</v>
      </c>
      <c r="I296" s="22" t="s">
        <v>146</v>
      </c>
      <c r="J296" s="22" t="s">
        <v>52</v>
      </c>
      <c r="K296" s="11" t="s">
        <v>70</v>
      </c>
      <c r="L296" s="18">
        <v>0.019592</v>
      </c>
      <c r="M296" s="18">
        <v>0.017178</v>
      </c>
      <c r="N296" s="18">
        <v>0.016308</v>
      </c>
      <c r="O296" s="18">
        <v>0.019073</v>
      </c>
      <c r="P296" s="18">
        <v>0.020732</v>
      </c>
      <c r="Q296" s="18">
        <v>0.021426</v>
      </c>
      <c r="R296" s="18">
        <v>0.024754</v>
      </c>
      <c r="S296" s="18">
        <v>0.027176</v>
      </c>
      <c r="T296" s="18">
        <v>0.026192</v>
      </c>
      <c r="U296" s="18">
        <v>0.025413</v>
      </c>
      <c r="V296" s="18">
        <v>0.028836</v>
      </c>
      <c r="W296" s="18">
        <v>0.030033</v>
      </c>
      <c r="X296" s="18">
        <v>0.028934</v>
      </c>
      <c r="Y296" s="18">
        <v>0.026933</v>
      </c>
      <c r="Z296" s="18">
        <v>0.02695</v>
      </c>
      <c r="AA296" s="18">
        <v>0.029057</v>
      </c>
      <c r="AB296" s="18">
        <v>0.029011</v>
      </c>
      <c r="AC296" s="18">
        <v>0.028121</v>
      </c>
      <c r="AD296" s="18">
        <v>0.027443</v>
      </c>
      <c r="AE296" s="18">
        <v>0.023954</v>
      </c>
      <c r="AF296" s="18">
        <v>0.020426</v>
      </c>
      <c r="AG296" s="18">
        <v>0.014642</v>
      </c>
      <c r="AH296" s="18">
        <v>0.006977</v>
      </c>
      <c r="AI296" s="18">
        <v>0.002673</v>
      </c>
      <c r="AJ296" s="18">
        <v>5.14E-4</v>
      </c>
      <c r="AK296" s="18">
        <v>2.53E-4</v>
      </c>
      <c r="AL296" s="18">
        <v>6.24E-4</v>
      </c>
      <c r="AM296" s="18">
        <v>7.75E-4</v>
      </c>
      <c r="AN296" s="18">
        <v>4.33E-4</v>
      </c>
      <c r="AO296" s="18">
        <v>6.45E-5</v>
      </c>
      <c r="AP296" s="20">
        <v>0.0</v>
      </c>
      <c r="AQ296" s="20">
        <v>0.0</v>
      </c>
      <c r="AR296" s="20">
        <v>0.0</v>
      </c>
      <c r="AS296" s="20">
        <v>0.0</v>
      </c>
      <c r="AT296" s="2">
        <f>AVERAGE(L296:AO296)</f>
        <v>0.01814991667</v>
      </c>
      <c r="AU296" s="12">
        <f t="shared" si="29"/>
        <v>0.01814991667</v>
      </c>
      <c r="AV296" s="14"/>
      <c r="AW296" s="15"/>
      <c r="AX296" s="15"/>
    </row>
    <row r="297" ht="15.75" customHeight="1">
      <c r="A297" s="7">
        <v>231128.0</v>
      </c>
      <c r="B297" s="7">
        <v>65.0</v>
      </c>
      <c r="C297" s="7">
        <v>2.0</v>
      </c>
      <c r="D297" s="8" t="s">
        <v>224</v>
      </c>
      <c r="E297" s="7">
        <v>10.0</v>
      </c>
      <c r="F297" s="8" t="s">
        <v>48</v>
      </c>
      <c r="G297" s="8" t="s">
        <v>49</v>
      </c>
      <c r="H297" s="8" t="s">
        <v>50</v>
      </c>
      <c r="I297" s="22" t="s">
        <v>146</v>
      </c>
      <c r="J297" s="22" t="s">
        <v>52</v>
      </c>
      <c r="K297" s="11" t="s">
        <v>70</v>
      </c>
      <c r="L297" s="18">
        <v>0.02371</v>
      </c>
      <c r="M297" s="18">
        <v>0.019859</v>
      </c>
      <c r="N297" s="18">
        <v>0.019066</v>
      </c>
      <c r="O297" s="18">
        <v>0.020223</v>
      </c>
      <c r="P297" s="18">
        <v>0.022427</v>
      </c>
      <c r="Q297" s="18">
        <v>0.024009</v>
      </c>
      <c r="R297" s="18">
        <v>0.022492</v>
      </c>
      <c r="S297" s="18">
        <v>0.022815</v>
      </c>
      <c r="T297" s="18">
        <v>0.024028</v>
      </c>
      <c r="U297" s="18">
        <v>0.023776</v>
      </c>
      <c r="V297" s="18">
        <v>0.024038</v>
      </c>
      <c r="W297" s="18">
        <v>0.023868</v>
      </c>
      <c r="X297" s="18">
        <v>0.023812</v>
      </c>
      <c r="Y297" s="18">
        <v>0.023622</v>
      </c>
      <c r="Z297" s="18">
        <v>0.021661</v>
      </c>
      <c r="AA297" s="18">
        <v>0.020855</v>
      </c>
      <c r="AB297" s="18">
        <v>0.020725</v>
      </c>
      <c r="AC297" s="18">
        <v>0.017699</v>
      </c>
      <c r="AD297" s="18">
        <v>0.014289</v>
      </c>
      <c r="AE297" s="18">
        <v>0.01284</v>
      </c>
      <c r="AF297" s="18">
        <v>0.016028</v>
      </c>
      <c r="AG297" s="18">
        <v>0.019404</v>
      </c>
      <c r="AH297" s="18">
        <v>0.020834</v>
      </c>
      <c r="AI297" s="18">
        <v>0.026514</v>
      </c>
      <c r="AJ297" s="18">
        <v>0.033763</v>
      </c>
      <c r="AK297" s="18">
        <v>0.034383</v>
      </c>
      <c r="AL297" s="18">
        <v>0.026388</v>
      </c>
      <c r="AM297" s="18">
        <v>0.015151</v>
      </c>
      <c r="AN297" s="18">
        <v>0.019191</v>
      </c>
      <c r="AO297" s="18">
        <v>0.0</v>
      </c>
      <c r="AP297" s="20">
        <v>0.0</v>
      </c>
      <c r="AQ297" s="20">
        <v>0.0</v>
      </c>
      <c r="AR297" s="20">
        <v>0.0</v>
      </c>
      <c r="AS297" s="20">
        <v>0.0</v>
      </c>
      <c r="AT297" s="2">
        <f>AVERAGE(L297:AN297)</f>
        <v>0.02198172414</v>
      </c>
      <c r="AU297" s="12">
        <f t="shared" si="29"/>
        <v>0.02198172414</v>
      </c>
      <c r="AV297" s="14"/>
      <c r="AW297" s="15"/>
      <c r="AX297" s="15"/>
    </row>
    <row r="298" ht="15.75" customHeight="1">
      <c r="A298" s="7">
        <v>231128.0</v>
      </c>
      <c r="B298" s="7">
        <v>65.0</v>
      </c>
      <c r="C298" s="7">
        <v>2.0</v>
      </c>
      <c r="D298" s="8" t="s">
        <v>225</v>
      </c>
      <c r="E298" s="7">
        <v>10.0</v>
      </c>
      <c r="F298" s="8" t="s">
        <v>48</v>
      </c>
      <c r="G298" s="8" t="s">
        <v>49</v>
      </c>
      <c r="H298" s="8" t="s">
        <v>61</v>
      </c>
      <c r="I298" s="22" t="s">
        <v>146</v>
      </c>
      <c r="J298" s="22" t="s">
        <v>52</v>
      </c>
      <c r="K298" s="11" t="s">
        <v>70</v>
      </c>
      <c r="L298" s="18">
        <v>0.019599</v>
      </c>
      <c r="M298" s="18">
        <v>0.022867</v>
      </c>
      <c r="N298" s="18">
        <v>0.020902</v>
      </c>
      <c r="O298" s="18">
        <v>0.016471</v>
      </c>
      <c r="P298" s="18">
        <v>0.015785</v>
      </c>
      <c r="Q298" s="18">
        <v>0.015537</v>
      </c>
      <c r="R298" s="18">
        <v>0.013481</v>
      </c>
      <c r="S298" s="18">
        <v>0.012054</v>
      </c>
      <c r="T298" s="18">
        <v>0.011437</v>
      </c>
      <c r="U298" s="18">
        <v>0.012375</v>
      </c>
      <c r="V298" s="18">
        <v>0.013745</v>
      </c>
      <c r="W298" s="18">
        <v>0.010682</v>
      </c>
      <c r="X298" s="18">
        <v>0.006957</v>
      </c>
      <c r="Y298" s="18">
        <v>0.005535</v>
      </c>
      <c r="Z298" s="18">
        <v>0.00417</v>
      </c>
      <c r="AA298" s="18">
        <v>0.003598</v>
      </c>
      <c r="AB298" s="18">
        <v>0.001907</v>
      </c>
      <c r="AC298" s="18">
        <v>5.2E-4</v>
      </c>
      <c r="AD298" s="18">
        <v>5.58E-4</v>
      </c>
      <c r="AE298" s="18">
        <v>4.32E-4</v>
      </c>
      <c r="AF298" s="18">
        <v>2.06E-4</v>
      </c>
      <c r="AG298" s="18">
        <v>1.85E-4</v>
      </c>
      <c r="AH298" s="18">
        <v>2.03E-4</v>
      </c>
      <c r="AI298" s="18">
        <v>2.55E-4</v>
      </c>
      <c r="AJ298" s="18">
        <v>2.38E-4</v>
      </c>
      <c r="AK298" s="18">
        <v>8.88E-5</v>
      </c>
      <c r="AL298" s="18">
        <v>0.001357</v>
      </c>
      <c r="AM298" s="18">
        <v>0.00545</v>
      </c>
      <c r="AN298" s="18">
        <v>0.008744</v>
      </c>
      <c r="AO298" s="18">
        <v>0.008636</v>
      </c>
      <c r="AP298" s="20">
        <v>0.0</v>
      </c>
      <c r="AQ298" s="20">
        <v>0.0</v>
      </c>
      <c r="AR298" s="20">
        <v>0.0</v>
      </c>
      <c r="AS298" s="20">
        <v>0.0</v>
      </c>
      <c r="AT298" s="2">
        <f>AVERAGE(L298:AO298)</f>
        <v>0.00779916</v>
      </c>
      <c r="AU298" s="12">
        <f t="shared" si="29"/>
        <v>0.00779916</v>
      </c>
      <c r="AV298" s="14"/>
      <c r="AW298" s="15"/>
      <c r="AX298" s="15"/>
    </row>
    <row r="299" ht="15.75" customHeight="1">
      <c r="A299" s="7">
        <v>231128.0</v>
      </c>
      <c r="B299" s="7">
        <v>65.0</v>
      </c>
      <c r="C299" s="7">
        <v>2.0</v>
      </c>
      <c r="D299" s="8" t="s">
        <v>226</v>
      </c>
      <c r="E299" s="7">
        <v>10.0</v>
      </c>
      <c r="F299" s="8" t="s">
        <v>48</v>
      </c>
      <c r="G299" s="8" t="s">
        <v>49</v>
      </c>
      <c r="H299" s="8" t="s">
        <v>65</v>
      </c>
      <c r="I299" s="22" t="s">
        <v>146</v>
      </c>
      <c r="J299" s="22" t="s">
        <v>52</v>
      </c>
      <c r="K299" s="11" t="s">
        <v>70</v>
      </c>
      <c r="L299" s="18">
        <v>0.012775</v>
      </c>
      <c r="M299" s="18">
        <v>0.015365</v>
      </c>
      <c r="N299" s="18">
        <v>0.015217</v>
      </c>
      <c r="O299" s="18">
        <v>0.013174</v>
      </c>
      <c r="P299" s="18">
        <v>0.013369</v>
      </c>
      <c r="Q299" s="18">
        <v>0.013153</v>
      </c>
      <c r="R299" s="18">
        <v>0.012245</v>
      </c>
      <c r="S299" s="18">
        <v>0.011272</v>
      </c>
      <c r="T299" s="18">
        <v>0.009669</v>
      </c>
      <c r="U299" s="18">
        <v>0.00942</v>
      </c>
      <c r="V299" s="18">
        <v>0.006519</v>
      </c>
      <c r="W299" s="18">
        <v>0.003861</v>
      </c>
      <c r="X299" s="18">
        <v>0.001907</v>
      </c>
      <c r="Y299" s="18">
        <v>4.9E-4</v>
      </c>
      <c r="Z299" s="18">
        <v>5.43E-4</v>
      </c>
      <c r="AA299" s="18">
        <v>1.06E-4</v>
      </c>
      <c r="AB299" s="18">
        <v>2.4E-6</v>
      </c>
      <c r="AC299" s="18">
        <v>1.27E-4</v>
      </c>
      <c r="AD299" s="18">
        <v>2.65E-4</v>
      </c>
      <c r="AE299" s="18">
        <v>1.39E-4</v>
      </c>
      <c r="AF299" s="18">
        <v>2.72E-5</v>
      </c>
      <c r="AG299" s="18">
        <v>1.82E-4</v>
      </c>
      <c r="AH299" s="18">
        <v>2.98E-4</v>
      </c>
      <c r="AI299" s="18">
        <v>1.66E-4</v>
      </c>
      <c r="AJ299" s="18">
        <v>2.43E-5</v>
      </c>
      <c r="AK299" s="18">
        <v>0.0</v>
      </c>
      <c r="AL299" s="18">
        <v>2.39E-4</v>
      </c>
      <c r="AM299" s="18">
        <v>7.52E-4</v>
      </c>
      <c r="AN299" s="18">
        <v>0.0</v>
      </c>
      <c r="AO299" s="2">
        <v>0.0</v>
      </c>
      <c r="AP299" s="20">
        <v>0.0</v>
      </c>
      <c r="AQ299" s="20">
        <v>0.0</v>
      </c>
      <c r="AR299" s="20">
        <v>0.0</v>
      </c>
      <c r="AS299" s="20">
        <v>0.0</v>
      </c>
      <c r="AT299" s="2">
        <f>AVERAGE(L299:AM299)</f>
        <v>0.005046675</v>
      </c>
      <c r="AU299" s="12">
        <f t="shared" si="29"/>
        <v>0.005233588889</v>
      </c>
      <c r="AV299" s="14"/>
      <c r="AW299" s="15"/>
      <c r="AX299" s="15"/>
    </row>
    <row r="300" ht="15.75" customHeight="1">
      <c r="A300" s="7">
        <v>240115.0</v>
      </c>
      <c r="B300" s="7">
        <v>73.0</v>
      </c>
      <c r="C300" s="7">
        <v>3.0</v>
      </c>
      <c r="D300" s="8" t="s">
        <v>227</v>
      </c>
      <c r="E300" s="7">
        <v>10.0</v>
      </c>
      <c r="F300" s="8" t="s">
        <v>48</v>
      </c>
      <c r="G300" s="8" t="s">
        <v>49</v>
      </c>
      <c r="H300" s="8" t="s">
        <v>65</v>
      </c>
      <c r="I300" s="22" t="s">
        <v>146</v>
      </c>
      <c r="J300" s="22" t="s">
        <v>52</v>
      </c>
      <c r="K300" s="11" t="s">
        <v>76</v>
      </c>
      <c r="L300" s="18">
        <v>0.016674</v>
      </c>
      <c r="M300" s="18">
        <v>0.01536</v>
      </c>
      <c r="N300" s="18">
        <v>0.01384</v>
      </c>
      <c r="O300" s="18">
        <v>0.013611</v>
      </c>
      <c r="P300" s="18">
        <v>0.015807</v>
      </c>
      <c r="Q300" s="18">
        <v>0.015516</v>
      </c>
      <c r="R300" s="18">
        <v>0.014199</v>
      </c>
      <c r="S300" s="18">
        <v>0.012655</v>
      </c>
      <c r="T300" s="18">
        <v>0.009573</v>
      </c>
      <c r="U300" s="18">
        <v>0.007617</v>
      </c>
      <c r="V300" s="18">
        <v>0.005848</v>
      </c>
      <c r="W300" s="18">
        <v>0.004491</v>
      </c>
      <c r="X300" s="18">
        <v>0.002789</v>
      </c>
      <c r="Y300" s="18">
        <v>6.67E-4</v>
      </c>
      <c r="Z300" s="18">
        <v>1.46E-4</v>
      </c>
      <c r="AA300" s="18">
        <v>2.99E-4</v>
      </c>
      <c r="AB300" s="18">
        <v>4.34E-4</v>
      </c>
      <c r="AC300" s="18">
        <v>2.53E-4</v>
      </c>
      <c r="AD300" s="18">
        <v>0.0</v>
      </c>
      <c r="AE300" s="18">
        <v>0.0</v>
      </c>
      <c r="AF300" s="18">
        <v>0.0</v>
      </c>
      <c r="AG300" s="18">
        <v>0.0</v>
      </c>
      <c r="AH300" s="18">
        <v>0.0</v>
      </c>
      <c r="AI300" s="18">
        <v>0.0</v>
      </c>
      <c r="AJ300" s="18">
        <v>0.0</v>
      </c>
      <c r="AK300" s="18">
        <v>0.0</v>
      </c>
      <c r="AL300" s="2">
        <v>0.0</v>
      </c>
      <c r="AM300" s="2">
        <v>0.0</v>
      </c>
      <c r="AN300" s="2">
        <v>0.0</v>
      </c>
      <c r="AO300" s="2">
        <v>0.0</v>
      </c>
      <c r="AP300" s="20">
        <v>0.0</v>
      </c>
      <c r="AQ300" s="20">
        <v>0.0</v>
      </c>
      <c r="AR300" s="20">
        <v>0.0</v>
      </c>
      <c r="AS300" s="20">
        <v>0.0</v>
      </c>
      <c r="AT300" s="2">
        <f>AVERAGE(L300:AC300)</f>
        <v>0.008321055556</v>
      </c>
      <c r="AU300" s="12">
        <f t="shared" si="29"/>
        <v>0.008321055556</v>
      </c>
      <c r="AV300" s="14"/>
      <c r="AW300" s="15"/>
      <c r="AX300" s="15"/>
    </row>
    <row r="301" ht="15.75" customHeight="1">
      <c r="A301" s="7">
        <v>240115.0</v>
      </c>
      <c r="B301" s="7">
        <v>73.0</v>
      </c>
      <c r="C301" s="7">
        <v>3.0</v>
      </c>
      <c r="D301" s="8" t="s">
        <v>228</v>
      </c>
      <c r="E301" s="7">
        <v>10.0</v>
      </c>
      <c r="F301" s="8" t="s">
        <v>48</v>
      </c>
      <c r="G301" s="8" t="s">
        <v>49</v>
      </c>
      <c r="H301" s="8" t="s">
        <v>61</v>
      </c>
      <c r="I301" s="22" t="s">
        <v>146</v>
      </c>
      <c r="J301" s="22" t="s">
        <v>52</v>
      </c>
      <c r="K301" s="11" t="s">
        <v>76</v>
      </c>
      <c r="L301" s="18">
        <v>0.022129</v>
      </c>
      <c r="M301" s="18">
        <v>0.021667</v>
      </c>
      <c r="N301" s="18">
        <v>0.019721</v>
      </c>
      <c r="O301" s="18">
        <v>0.018958</v>
      </c>
      <c r="P301" s="18">
        <v>0.02014</v>
      </c>
      <c r="Q301" s="18">
        <v>0.018574</v>
      </c>
      <c r="R301" s="18">
        <v>0.017142</v>
      </c>
      <c r="S301" s="18">
        <v>0.016829</v>
      </c>
      <c r="T301" s="18">
        <v>0.015715</v>
      </c>
      <c r="U301" s="18">
        <v>0.015255</v>
      </c>
      <c r="V301" s="18">
        <v>0.013477</v>
      </c>
      <c r="W301" s="18">
        <v>0.01105</v>
      </c>
      <c r="X301" s="18">
        <v>0.010466</v>
      </c>
      <c r="Y301" s="18">
        <v>0.008046</v>
      </c>
      <c r="Z301" s="18">
        <v>0.004331</v>
      </c>
      <c r="AA301" s="18">
        <v>0.002235</v>
      </c>
      <c r="AB301" s="18">
        <v>0.001014</v>
      </c>
      <c r="AC301" s="18">
        <v>5.72E-4</v>
      </c>
      <c r="AD301" s="18">
        <v>1.91E-4</v>
      </c>
      <c r="AE301" s="18">
        <v>1.47E-5</v>
      </c>
      <c r="AF301" s="18">
        <v>0.0</v>
      </c>
      <c r="AG301" s="18">
        <v>0.0</v>
      </c>
      <c r="AH301" s="18">
        <v>0.0</v>
      </c>
      <c r="AI301" s="18">
        <v>0.0</v>
      </c>
      <c r="AJ301" s="18">
        <v>0.0</v>
      </c>
      <c r="AK301" s="18">
        <v>0.0</v>
      </c>
      <c r="AL301" s="18">
        <v>0.0</v>
      </c>
      <c r="AM301" s="2">
        <v>0.0</v>
      </c>
      <c r="AN301" s="2">
        <v>0.0</v>
      </c>
      <c r="AO301" s="2">
        <v>0.0</v>
      </c>
      <c r="AP301" s="20">
        <v>0.0</v>
      </c>
      <c r="AQ301" s="20">
        <v>0.0</v>
      </c>
      <c r="AR301" s="20">
        <v>0.0</v>
      </c>
      <c r="AS301" s="20">
        <v>0.0</v>
      </c>
      <c r="AT301" s="2">
        <f>AVERAGE(L301:AE301)</f>
        <v>0.011876335</v>
      </c>
      <c r="AU301" s="12">
        <f t="shared" si="29"/>
        <v>0.011876335</v>
      </c>
      <c r="AV301" s="14"/>
      <c r="AW301" s="15"/>
      <c r="AX301" s="15"/>
    </row>
    <row r="302" ht="15.75" customHeight="1">
      <c r="A302" s="7">
        <v>240115.0</v>
      </c>
      <c r="B302" s="7">
        <v>73.0</v>
      </c>
      <c r="C302" s="7">
        <v>3.0</v>
      </c>
      <c r="D302" s="8" t="s">
        <v>229</v>
      </c>
      <c r="E302" s="7">
        <v>10.0</v>
      </c>
      <c r="F302" s="8" t="s">
        <v>48</v>
      </c>
      <c r="G302" s="8" t="s">
        <v>49</v>
      </c>
      <c r="H302" s="8" t="s">
        <v>50</v>
      </c>
      <c r="I302" s="22" t="s">
        <v>146</v>
      </c>
      <c r="J302" s="22" t="s">
        <v>52</v>
      </c>
      <c r="K302" s="11" t="s">
        <v>76</v>
      </c>
      <c r="L302" s="18">
        <v>0.025911</v>
      </c>
      <c r="M302" s="18">
        <v>0.024023</v>
      </c>
      <c r="N302" s="18">
        <v>0.024442</v>
      </c>
      <c r="O302" s="18">
        <v>0.025867</v>
      </c>
      <c r="P302" s="18">
        <v>0.024435</v>
      </c>
      <c r="Q302" s="18">
        <v>0.023401</v>
      </c>
      <c r="R302" s="18">
        <v>0.022297</v>
      </c>
      <c r="S302" s="18">
        <v>0.023023</v>
      </c>
      <c r="T302" s="18">
        <v>0.026008</v>
      </c>
      <c r="U302" s="18">
        <v>0.026739</v>
      </c>
      <c r="V302" s="18">
        <v>0.024716</v>
      </c>
      <c r="W302" s="18">
        <v>0.023992</v>
      </c>
      <c r="X302" s="18">
        <v>0.025128</v>
      </c>
      <c r="Y302" s="18">
        <v>0.022747</v>
      </c>
      <c r="Z302" s="18">
        <v>0.021102</v>
      </c>
      <c r="AA302" s="18">
        <v>0.023232</v>
      </c>
      <c r="AB302" s="18">
        <v>0.022714</v>
      </c>
      <c r="AC302" s="18">
        <v>0.02003</v>
      </c>
      <c r="AD302" s="18">
        <v>0.01574</v>
      </c>
      <c r="AE302" s="18">
        <v>0.01063</v>
      </c>
      <c r="AF302" s="18">
        <v>0.008492</v>
      </c>
      <c r="AG302" s="18">
        <v>0.007374</v>
      </c>
      <c r="AH302" s="18">
        <v>0.004787</v>
      </c>
      <c r="AI302" s="18">
        <v>0.001631</v>
      </c>
      <c r="AJ302" s="18">
        <v>3.67E-4</v>
      </c>
      <c r="AK302" s="18">
        <v>0.0</v>
      </c>
      <c r="AL302" s="18">
        <v>0.0</v>
      </c>
      <c r="AM302" s="2">
        <v>0.0</v>
      </c>
      <c r="AN302" s="2">
        <v>0.0</v>
      </c>
      <c r="AO302" s="2">
        <v>0.0</v>
      </c>
      <c r="AP302" s="20">
        <v>0.0</v>
      </c>
      <c r="AQ302" s="20">
        <v>0.0</v>
      </c>
      <c r="AR302" s="20">
        <v>0.0</v>
      </c>
      <c r="AS302" s="20">
        <v>0.0</v>
      </c>
      <c r="AT302" s="2">
        <f>AVERAGE(L302:AJ302)</f>
        <v>0.01915312</v>
      </c>
      <c r="AU302" s="12">
        <f t="shared" si="29"/>
        <v>0.01915312</v>
      </c>
      <c r="AV302" s="14"/>
      <c r="AW302" s="15"/>
      <c r="AX302" s="15"/>
    </row>
    <row r="303" ht="15.75" customHeight="1">
      <c r="A303" s="7">
        <v>240115.0</v>
      </c>
      <c r="B303" s="7">
        <v>73.0</v>
      </c>
      <c r="C303" s="7">
        <v>3.0</v>
      </c>
      <c r="D303" s="8" t="s">
        <v>230</v>
      </c>
      <c r="E303" s="7">
        <v>10.0</v>
      </c>
      <c r="F303" s="8" t="s">
        <v>48</v>
      </c>
      <c r="G303" s="8" t="s">
        <v>49</v>
      </c>
      <c r="H303" s="8" t="s">
        <v>63</v>
      </c>
      <c r="I303" s="22" t="s">
        <v>146</v>
      </c>
      <c r="J303" s="22" t="s">
        <v>52</v>
      </c>
      <c r="K303" s="11" t="s">
        <v>76</v>
      </c>
      <c r="L303" s="18">
        <v>0.019883</v>
      </c>
      <c r="M303" s="18">
        <v>0.018594</v>
      </c>
      <c r="N303" s="18">
        <v>0.017795</v>
      </c>
      <c r="O303" s="18">
        <v>0.017316</v>
      </c>
      <c r="P303" s="18">
        <v>0.018742</v>
      </c>
      <c r="Q303" s="18">
        <v>0.019755</v>
      </c>
      <c r="R303" s="18">
        <v>0.019068</v>
      </c>
      <c r="S303" s="18">
        <v>0.020364</v>
      </c>
      <c r="T303" s="18">
        <v>0.022083</v>
      </c>
      <c r="U303" s="18">
        <v>0.023753</v>
      </c>
      <c r="V303" s="18">
        <v>0.025643</v>
      </c>
      <c r="W303" s="18">
        <v>0.024935</v>
      </c>
      <c r="X303" s="18">
        <v>0.023056</v>
      </c>
      <c r="Y303" s="18">
        <v>0.021359</v>
      </c>
      <c r="Z303" s="18">
        <v>0.018774</v>
      </c>
      <c r="AA303" s="18">
        <v>0.017745</v>
      </c>
      <c r="AB303" s="18">
        <v>0.016111</v>
      </c>
      <c r="AC303" s="18">
        <v>0.013033</v>
      </c>
      <c r="AD303" s="18">
        <v>0.011372</v>
      </c>
      <c r="AE303" s="18">
        <v>0.009246</v>
      </c>
      <c r="AF303" s="18">
        <v>0.005714</v>
      </c>
      <c r="AG303" s="18">
        <v>0.003065</v>
      </c>
      <c r="AH303" s="18">
        <v>0.001681</v>
      </c>
      <c r="AI303" s="18">
        <v>3.63E-4</v>
      </c>
      <c r="AJ303" s="18">
        <v>0.0</v>
      </c>
      <c r="AK303" s="18">
        <v>0.0</v>
      </c>
      <c r="AL303" s="18">
        <v>0.0</v>
      </c>
      <c r="AM303" s="18">
        <v>0.0</v>
      </c>
      <c r="AN303" s="2">
        <v>0.0</v>
      </c>
      <c r="AO303" s="2">
        <v>0.0</v>
      </c>
      <c r="AP303" s="20">
        <v>0.0</v>
      </c>
      <c r="AQ303" s="20">
        <v>0.0</v>
      </c>
      <c r="AR303" s="20">
        <v>0.0</v>
      </c>
      <c r="AS303" s="20">
        <v>0.0</v>
      </c>
      <c r="AT303" s="2">
        <f>AVERAGE(L303:AI303)</f>
        <v>0.01622708333</v>
      </c>
      <c r="AU303" s="12">
        <f t="shared" si="29"/>
        <v>0.01622708333</v>
      </c>
      <c r="AV303" s="14"/>
      <c r="AW303" s="15"/>
      <c r="AX303" s="15"/>
    </row>
    <row r="304" ht="15.75" customHeight="1">
      <c r="A304" s="7">
        <v>240115.0</v>
      </c>
      <c r="B304" s="7">
        <v>73.0</v>
      </c>
      <c r="C304" s="7">
        <v>3.0</v>
      </c>
      <c r="D304" s="8" t="s">
        <v>231</v>
      </c>
      <c r="E304" s="7">
        <v>10.0</v>
      </c>
      <c r="F304" s="8" t="s">
        <v>48</v>
      </c>
      <c r="G304" s="8" t="s">
        <v>67</v>
      </c>
      <c r="H304" s="8" t="s">
        <v>65</v>
      </c>
      <c r="I304" s="22" t="s">
        <v>146</v>
      </c>
      <c r="J304" s="22" t="s">
        <v>52</v>
      </c>
      <c r="K304" s="11" t="s">
        <v>76</v>
      </c>
      <c r="L304" s="18">
        <v>0.012529</v>
      </c>
      <c r="M304" s="18">
        <v>0.012867</v>
      </c>
      <c r="N304" s="18">
        <v>0.014978</v>
      </c>
      <c r="O304" s="18">
        <v>0.018114</v>
      </c>
      <c r="P304" s="18">
        <v>0.018122</v>
      </c>
      <c r="Q304" s="18">
        <v>0.015355</v>
      </c>
      <c r="R304" s="18">
        <v>0.015616</v>
      </c>
      <c r="S304" s="18">
        <v>0.017472</v>
      </c>
      <c r="T304" s="18">
        <v>0.018015</v>
      </c>
      <c r="U304" s="18">
        <v>0.018639</v>
      </c>
      <c r="V304" s="18">
        <v>0.018773</v>
      </c>
      <c r="W304" s="18">
        <v>0.016938</v>
      </c>
      <c r="X304" s="18">
        <v>0.013009</v>
      </c>
      <c r="Y304" s="18">
        <v>0.01189</v>
      </c>
      <c r="Z304" s="18">
        <v>0.01189</v>
      </c>
      <c r="AA304" s="18">
        <v>0.010947</v>
      </c>
      <c r="AB304" s="18">
        <v>0.009236</v>
      </c>
      <c r="AC304" s="18">
        <v>0.007695</v>
      </c>
      <c r="AD304" s="18">
        <v>0.007616</v>
      </c>
      <c r="AE304" s="18">
        <v>0.005271</v>
      </c>
      <c r="AF304" s="18">
        <v>0.002532</v>
      </c>
      <c r="AG304" s="18">
        <v>0.0017</v>
      </c>
      <c r="AH304" s="18">
        <v>0.001109</v>
      </c>
      <c r="AI304" s="18">
        <v>7.23E-4</v>
      </c>
      <c r="AJ304" s="18">
        <v>4.54E-4</v>
      </c>
      <c r="AK304" s="18">
        <v>1.3E-4</v>
      </c>
      <c r="AL304" s="18">
        <v>2.57E-4</v>
      </c>
      <c r="AM304" s="18">
        <v>0.00148</v>
      </c>
      <c r="AN304" s="18">
        <v>0.00263</v>
      </c>
      <c r="AO304" s="18">
        <v>0.002306</v>
      </c>
      <c r="AP304" s="20">
        <v>0.0</v>
      </c>
      <c r="AQ304" s="20">
        <v>0.0</v>
      </c>
      <c r="AR304" s="20">
        <v>0.0</v>
      </c>
      <c r="AS304" s="20">
        <v>0.0</v>
      </c>
      <c r="AT304" s="2">
        <f>AVERAGE(L304:AO304)</f>
        <v>0.009609766667</v>
      </c>
      <c r="AU304" s="12">
        <f t="shared" si="29"/>
        <v>0.009609766667</v>
      </c>
      <c r="AV304" s="14"/>
      <c r="AW304" s="15"/>
      <c r="AX304" s="15"/>
    </row>
    <row r="305" ht="15.75" customHeight="1">
      <c r="A305" s="7">
        <v>240115.0</v>
      </c>
      <c r="B305" s="7">
        <v>73.0</v>
      </c>
      <c r="C305" s="7">
        <v>3.0</v>
      </c>
      <c r="D305" s="8" t="s">
        <v>232</v>
      </c>
      <c r="E305" s="7">
        <v>10.0</v>
      </c>
      <c r="F305" s="8" t="s">
        <v>48</v>
      </c>
      <c r="G305" s="8" t="s">
        <v>67</v>
      </c>
      <c r="H305" s="8" t="s">
        <v>63</v>
      </c>
      <c r="I305" s="22" t="s">
        <v>146</v>
      </c>
      <c r="J305" s="22" t="s">
        <v>52</v>
      </c>
      <c r="K305" s="11" t="s">
        <v>76</v>
      </c>
      <c r="L305" s="18">
        <v>0.018403</v>
      </c>
      <c r="M305" s="18">
        <v>0.020107</v>
      </c>
      <c r="N305" s="18">
        <v>0.020721</v>
      </c>
      <c r="O305" s="18">
        <v>0.020252</v>
      </c>
      <c r="P305" s="18">
        <v>0.0203</v>
      </c>
      <c r="Q305" s="18">
        <v>0.021274</v>
      </c>
      <c r="R305" s="18">
        <v>0.022515</v>
      </c>
      <c r="S305" s="18">
        <v>0.024483</v>
      </c>
      <c r="T305" s="18">
        <v>0.024653</v>
      </c>
      <c r="U305" s="18">
        <v>0.023339</v>
      </c>
      <c r="V305" s="18">
        <v>0.022611</v>
      </c>
      <c r="W305" s="18">
        <v>0.022057</v>
      </c>
      <c r="X305" s="18">
        <v>0.022187</v>
      </c>
      <c r="Y305" s="18">
        <v>0.02334</v>
      </c>
      <c r="Z305" s="18">
        <v>0.024303</v>
      </c>
      <c r="AA305" s="18">
        <v>0.025403</v>
      </c>
      <c r="AB305" s="18">
        <v>0.026594</v>
      </c>
      <c r="AC305" s="18">
        <v>0.026016</v>
      </c>
      <c r="AD305" s="18">
        <v>0.023626</v>
      </c>
      <c r="AE305" s="18">
        <v>0.01988</v>
      </c>
      <c r="AF305" s="18">
        <v>0.015959</v>
      </c>
      <c r="AG305" s="18">
        <v>0.0114</v>
      </c>
      <c r="AH305" s="18">
        <v>0.007994</v>
      </c>
      <c r="AI305" s="18">
        <v>0.006804</v>
      </c>
      <c r="AJ305" s="18">
        <v>0.004322</v>
      </c>
      <c r="AK305" s="18">
        <v>0.00137</v>
      </c>
      <c r="AL305" s="18">
        <v>3.42E-4</v>
      </c>
      <c r="AM305" s="18">
        <v>3.1E-4</v>
      </c>
      <c r="AN305" s="18">
        <v>1.84E-4</v>
      </c>
      <c r="AO305" s="18">
        <v>0.0</v>
      </c>
      <c r="AP305" s="20">
        <v>0.0</v>
      </c>
      <c r="AQ305" s="20">
        <v>0.0</v>
      </c>
      <c r="AR305" s="20">
        <v>0.0</v>
      </c>
      <c r="AS305" s="20">
        <v>0.0</v>
      </c>
      <c r="AT305" s="2">
        <f t="shared" ref="AT305:AT306" si="32">AVERAGE(L305:AN305)</f>
        <v>0.0172672069</v>
      </c>
      <c r="AU305" s="12">
        <f t="shared" si="29"/>
        <v>0.0172672069</v>
      </c>
      <c r="AV305" s="14"/>
      <c r="AW305" s="15"/>
      <c r="AX305" s="15"/>
    </row>
    <row r="306" ht="15.75" customHeight="1">
      <c r="A306" s="7">
        <v>240115.0</v>
      </c>
      <c r="B306" s="7">
        <v>73.0</v>
      </c>
      <c r="C306" s="7">
        <v>3.0</v>
      </c>
      <c r="D306" s="8" t="s">
        <v>233</v>
      </c>
      <c r="E306" s="7">
        <v>10.0</v>
      </c>
      <c r="F306" s="8" t="s">
        <v>48</v>
      </c>
      <c r="G306" s="8" t="s">
        <v>67</v>
      </c>
      <c r="H306" s="8" t="s">
        <v>50</v>
      </c>
      <c r="I306" s="22" t="s">
        <v>146</v>
      </c>
      <c r="J306" s="22" t="s">
        <v>52</v>
      </c>
      <c r="K306" s="11" t="s">
        <v>76</v>
      </c>
      <c r="L306" s="18">
        <v>0.014134</v>
      </c>
      <c r="M306" s="18">
        <v>0.015201</v>
      </c>
      <c r="N306" s="18">
        <v>0.020193</v>
      </c>
      <c r="O306" s="18">
        <v>0.023762</v>
      </c>
      <c r="P306" s="18">
        <v>0.022901</v>
      </c>
      <c r="Q306" s="18">
        <v>0.022944</v>
      </c>
      <c r="R306" s="18">
        <v>0.023312</v>
      </c>
      <c r="S306" s="18">
        <v>0.023079</v>
      </c>
      <c r="T306" s="18">
        <v>0.021616</v>
      </c>
      <c r="U306" s="18">
        <v>0.020538</v>
      </c>
      <c r="V306" s="18">
        <v>0.021446</v>
      </c>
      <c r="W306" s="18">
        <v>0.022762</v>
      </c>
      <c r="X306" s="18">
        <v>0.024263</v>
      </c>
      <c r="Y306" s="18">
        <v>0.023871</v>
      </c>
      <c r="Z306" s="18">
        <v>0.022874</v>
      </c>
      <c r="AA306" s="18">
        <v>0.021974</v>
      </c>
      <c r="AB306" s="18">
        <v>0.01993</v>
      </c>
      <c r="AC306" s="18">
        <v>0.020661</v>
      </c>
      <c r="AD306" s="18">
        <v>0.016334</v>
      </c>
      <c r="AE306" s="18">
        <v>0.006798</v>
      </c>
      <c r="AF306" s="18">
        <v>0.003086</v>
      </c>
      <c r="AG306" s="18">
        <v>0.002064</v>
      </c>
      <c r="AH306" s="18">
        <v>0.001032</v>
      </c>
      <c r="AI306" s="18">
        <v>1.64E-4</v>
      </c>
      <c r="AJ306" s="18">
        <v>0.0</v>
      </c>
      <c r="AK306" s="18">
        <v>0.0</v>
      </c>
      <c r="AL306" s="18">
        <v>1.7E-4</v>
      </c>
      <c r="AM306" s="18">
        <v>5.17E-4</v>
      </c>
      <c r="AN306" s="18">
        <v>1.69E-4</v>
      </c>
      <c r="AO306" s="2">
        <v>0.0</v>
      </c>
      <c r="AP306" s="20">
        <v>0.0</v>
      </c>
      <c r="AQ306" s="20">
        <v>0.0</v>
      </c>
      <c r="AR306" s="20">
        <v>0.0</v>
      </c>
      <c r="AS306" s="20">
        <v>0.0</v>
      </c>
      <c r="AT306" s="2">
        <f t="shared" si="32"/>
        <v>0.01433775862</v>
      </c>
      <c r="AU306" s="12">
        <f t="shared" si="29"/>
        <v>0.01539981481</v>
      </c>
      <c r="AV306" s="14"/>
      <c r="AW306" s="15"/>
      <c r="AX306" s="15"/>
    </row>
    <row r="307" ht="15.75" customHeight="1">
      <c r="A307" s="7">
        <v>240115.0</v>
      </c>
      <c r="B307" s="7">
        <v>73.0</v>
      </c>
      <c r="C307" s="7">
        <v>3.0</v>
      </c>
      <c r="D307" s="8" t="s">
        <v>234</v>
      </c>
      <c r="E307" s="7">
        <v>10.0</v>
      </c>
      <c r="F307" s="8" t="s">
        <v>48</v>
      </c>
      <c r="G307" s="8" t="s">
        <v>67</v>
      </c>
      <c r="H307" s="8" t="s">
        <v>61</v>
      </c>
      <c r="I307" s="22" t="s">
        <v>146</v>
      </c>
      <c r="J307" s="22" t="s">
        <v>52</v>
      </c>
      <c r="K307" s="11" t="s">
        <v>76</v>
      </c>
      <c r="L307" s="18">
        <v>0.018146</v>
      </c>
      <c r="M307" s="18">
        <v>0.020599</v>
      </c>
      <c r="N307" s="18">
        <v>0.021462</v>
      </c>
      <c r="O307" s="18">
        <v>0.020144</v>
      </c>
      <c r="P307" s="18">
        <v>0.01894</v>
      </c>
      <c r="Q307" s="18">
        <v>0.017248</v>
      </c>
      <c r="R307" s="18">
        <v>0.015981</v>
      </c>
      <c r="S307" s="18">
        <v>0.01633</v>
      </c>
      <c r="T307" s="18">
        <v>0.01607</v>
      </c>
      <c r="U307" s="18">
        <v>0.014057</v>
      </c>
      <c r="V307" s="18">
        <v>0.011725</v>
      </c>
      <c r="W307" s="18">
        <v>0.011315</v>
      </c>
      <c r="X307" s="18">
        <v>0.009436</v>
      </c>
      <c r="Y307" s="18">
        <v>0.007113</v>
      </c>
      <c r="Z307" s="18">
        <v>0.00426</v>
      </c>
      <c r="AA307" s="18">
        <v>0.002066</v>
      </c>
      <c r="AB307" s="18">
        <v>0.001693</v>
      </c>
      <c r="AC307" s="18">
        <v>8.29E-4</v>
      </c>
      <c r="AD307" s="18">
        <v>7.15E-4</v>
      </c>
      <c r="AE307" s="18">
        <v>0.001148</v>
      </c>
      <c r="AF307" s="18">
        <v>0.001393</v>
      </c>
      <c r="AG307" s="18">
        <v>0.001382</v>
      </c>
      <c r="AH307" s="18">
        <v>7.62E-4</v>
      </c>
      <c r="AI307" s="18">
        <v>8.77E-5</v>
      </c>
      <c r="AJ307" s="18">
        <v>0.0</v>
      </c>
      <c r="AK307" s="18">
        <v>0.0</v>
      </c>
      <c r="AL307" s="18">
        <v>0.0</v>
      </c>
      <c r="AM307" s="18">
        <v>0.0</v>
      </c>
      <c r="AN307" s="18">
        <v>0.0</v>
      </c>
      <c r="AO307" s="2">
        <v>0.0</v>
      </c>
      <c r="AP307" s="20">
        <v>0.0</v>
      </c>
      <c r="AQ307" s="20">
        <v>0.0</v>
      </c>
      <c r="AR307" s="20">
        <v>0.0</v>
      </c>
      <c r="AS307" s="20">
        <v>0.0</v>
      </c>
      <c r="AT307" s="2">
        <f t="shared" ref="AT307:AT308" si="33">AVERAGE(L307:AI307)</f>
        <v>0.0097042375</v>
      </c>
      <c r="AU307" s="12">
        <f t="shared" si="29"/>
        <v>0.0097042375</v>
      </c>
      <c r="AV307" s="14"/>
      <c r="AW307" s="15"/>
      <c r="AX307" s="15"/>
    </row>
    <row r="308" ht="15.75" customHeight="1">
      <c r="A308" s="7">
        <v>240119.0</v>
      </c>
      <c r="B308" s="7">
        <v>73.0</v>
      </c>
      <c r="C308" s="7">
        <v>3.0</v>
      </c>
      <c r="D308" s="8" t="s">
        <v>235</v>
      </c>
      <c r="E308" s="7">
        <v>10.0</v>
      </c>
      <c r="F308" s="8" t="s">
        <v>56</v>
      </c>
      <c r="G308" s="8" t="s">
        <v>49</v>
      </c>
      <c r="H308" s="8" t="s">
        <v>50</v>
      </c>
      <c r="I308" s="22" t="s">
        <v>146</v>
      </c>
      <c r="J308" s="22" t="s">
        <v>52</v>
      </c>
      <c r="K308" s="11" t="s">
        <v>118</v>
      </c>
      <c r="L308" s="18">
        <v>0.020266</v>
      </c>
      <c r="M308" s="18">
        <v>0.018014</v>
      </c>
      <c r="N308" s="18">
        <v>0.018762</v>
      </c>
      <c r="O308" s="18">
        <v>0.021546</v>
      </c>
      <c r="P308" s="18">
        <v>0.023304</v>
      </c>
      <c r="Q308" s="18">
        <v>0.022594</v>
      </c>
      <c r="R308" s="18">
        <v>0.022519</v>
      </c>
      <c r="S308" s="18">
        <v>0.024715</v>
      </c>
      <c r="T308" s="18">
        <v>0.025352</v>
      </c>
      <c r="U308" s="18">
        <v>0.025774</v>
      </c>
      <c r="V308" s="18">
        <v>0.026002</v>
      </c>
      <c r="W308" s="18">
        <v>0.026219</v>
      </c>
      <c r="X308" s="18">
        <v>0.028263</v>
      </c>
      <c r="Y308" s="18">
        <v>0.030522</v>
      </c>
      <c r="Z308" s="18">
        <v>0.029989</v>
      </c>
      <c r="AA308" s="18">
        <v>0.028106</v>
      </c>
      <c r="AB308" s="18">
        <v>0.027983</v>
      </c>
      <c r="AC308" s="18">
        <v>0.026606</v>
      </c>
      <c r="AD308" s="18">
        <v>0.023911</v>
      </c>
      <c r="AE308" s="18">
        <v>0.023714</v>
      </c>
      <c r="AF308" s="18">
        <v>0.023328</v>
      </c>
      <c r="AG308" s="18">
        <v>0.01642</v>
      </c>
      <c r="AH308" s="18">
        <v>0.007175</v>
      </c>
      <c r="AI308" s="18">
        <v>0.00184</v>
      </c>
      <c r="AJ308" s="18">
        <v>0.0</v>
      </c>
      <c r="AK308" s="18">
        <v>0.0</v>
      </c>
      <c r="AL308" s="18">
        <v>0.0</v>
      </c>
      <c r="AM308" s="2">
        <v>0.0</v>
      </c>
      <c r="AN308" s="2">
        <v>0.0</v>
      </c>
      <c r="AO308" s="2">
        <v>0.0</v>
      </c>
      <c r="AP308" s="20">
        <v>0.0</v>
      </c>
      <c r="AQ308" s="20">
        <v>0.0</v>
      </c>
      <c r="AR308" s="20">
        <v>0.0</v>
      </c>
      <c r="AS308" s="20">
        <v>0.0</v>
      </c>
      <c r="AT308" s="2">
        <f t="shared" si="33"/>
        <v>0.02262183333</v>
      </c>
      <c r="AU308" s="12">
        <f t="shared" si="29"/>
        <v>0.02262183333</v>
      </c>
      <c r="AV308" s="14"/>
      <c r="AW308" s="15"/>
      <c r="AX308" s="15"/>
    </row>
    <row r="309" ht="15.75" customHeight="1">
      <c r="A309" s="7">
        <v>240119.0</v>
      </c>
      <c r="B309" s="7">
        <v>73.0</v>
      </c>
      <c r="C309" s="7">
        <v>3.0</v>
      </c>
      <c r="D309" s="8" t="s">
        <v>236</v>
      </c>
      <c r="E309" s="7">
        <v>10.0</v>
      </c>
      <c r="F309" s="8" t="s">
        <v>56</v>
      </c>
      <c r="G309" s="8" t="s">
        <v>49</v>
      </c>
      <c r="H309" s="8" t="s">
        <v>63</v>
      </c>
      <c r="I309" s="22" t="s">
        <v>146</v>
      </c>
      <c r="J309" s="22" t="s">
        <v>52</v>
      </c>
      <c r="K309" s="11" t="s">
        <v>118</v>
      </c>
      <c r="L309" s="18">
        <v>0.025426</v>
      </c>
      <c r="M309" s="18">
        <v>0.026545</v>
      </c>
      <c r="N309" s="18">
        <v>0.026928</v>
      </c>
      <c r="O309" s="18">
        <v>0.025241</v>
      </c>
      <c r="P309" s="18">
        <v>0.02316</v>
      </c>
      <c r="Q309" s="18">
        <v>0.021857</v>
      </c>
      <c r="R309" s="18">
        <v>0.020796</v>
      </c>
      <c r="S309" s="18">
        <v>0.020415</v>
      </c>
      <c r="T309" s="18">
        <v>0.020723</v>
      </c>
      <c r="U309" s="18">
        <v>0.020706</v>
      </c>
      <c r="V309" s="18">
        <v>0.019516</v>
      </c>
      <c r="W309" s="18">
        <v>0.017254</v>
      </c>
      <c r="X309" s="18">
        <v>0.016287</v>
      </c>
      <c r="Y309" s="18">
        <v>0.016464</v>
      </c>
      <c r="Z309" s="18">
        <v>0.015022</v>
      </c>
      <c r="AA309" s="18">
        <v>0.013593</v>
      </c>
      <c r="AB309" s="18">
        <v>0.012633</v>
      </c>
      <c r="AC309" s="18">
        <v>0.009875</v>
      </c>
      <c r="AD309" s="18">
        <v>0.006759</v>
      </c>
      <c r="AE309" s="18">
        <v>0.007428</v>
      </c>
      <c r="AF309" s="18">
        <v>0.006806</v>
      </c>
      <c r="AG309" s="18">
        <v>0.00401</v>
      </c>
      <c r="AH309" s="18">
        <v>0.002331</v>
      </c>
      <c r="AI309" s="18">
        <v>6.5E-4</v>
      </c>
      <c r="AJ309" s="18">
        <v>6.0E-6</v>
      </c>
      <c r="AK309" s="18">
        <v>0.0</v>
      </c>
      <c r="AL309" s="18">
        <v>0.0</v>
      </c>
      <c r="AM309" s="18">
        <v>0.0</v>
      </c>
      <c r="AN309" s="2">
        <v>0.0</v>
      </c>
      <c r="AO309" s="2">
        <v>0.0</v>
      </c>
      <c r="AP309" s="20">
        <v>0.0</v>
      </c>
      <c r="AQ309" s="20">
        <v>0.0</v>
      </c>
      <c r="AR309" s="20">
        <v>0.0</v>
      </c>
      <c r="AS309" s="20">
        <v>0.0</v>
      </c>
      <c r="AT309" s="2">
        <f t="shared" ref="AT309:AT310" si="34">AVERAGE(L309:AJ309)</f>
        <v>0.01521724</v>
      </c>
      <c r="AU309" s="12">
        <f t="shared" si="29"/>
        <v>0.01521724</v>
      </c>
      <c r="AV309" s="14"/>
      <c r="AW309" s="15"/>
      <c r="AX309" s="15"/>
    </row>
    <row r="310" ht="15.75" customHeight="1">
      <c r="A310" s="7">
        <v>240119.0</v>
      </c>
      <c r="B310" s="7">
        <v>73.0</v>
      </c>
      <c r="C310" s="7">
        <v>3.0</v>
      </c>
      <c r="D310" s="8" t="s">
        <v>237</v>
      </c>
      <c r="E310" s="7">
        <v>10.0</v>
      </c>
      <c r="F310" s="8" t="s">
        <v>56</v>
      </c>
      <c r="G310" s="8" t="s">
        <v>49</v>
      </c>
      <c r="H310" s="8" t="s">
        <v>65</v>
      </c>
      <c r="I310" s="22" t="s">
        <v>146</v>
      </c>
      <c r="J310" s="22" t="s">
        <v>52</v>
      </c>
      <c r="K310" s="11" t="s">
        <v>118</v>
      </c>
      <c r="L310" s="18">
        <v>0.022221</v>
      </c>
      <c r="M310" s="18">
        <v>0.021516</v>
      </c>
      <c r="N310" s="18">
        <v>0.023044</v>
      </c>
      <c r="O310" s="18">
        <v>0.02398</v>
      </c>
      <c r="P310" s="18">
        <v>0.023062</v>
      </c>
      <c r="Q310" s="18">
        <v>0.02513</v>
      </c>
      <c r="R310" s="18">
        <v>0.026953</v>
      </c>
      <c r="S310" s="18">
        <v>0.026498</v>
      </c>
      <c r="T310" s="18">
        <v>0.025691</v>
      </c>
      <c r="U310" s="18">
        <v>0.021765</v>
      </c>
      <c r="V310" s="18">
        <v>0.017027</v>
      </c>
      <c r="W310" s="18">
        <v>0.012748</v>
      </c>
      <c r="X310" s="18">
        <v>0.009467</v>
      </c>
      <c r="Y310" s="18">
        <v>0.007028</v>
      </c>
      <c r="Z310" s="18">
        <v>0.004199</v>
      </c>
      <c r="AA310" s="18">
        <v>0.002564</v>
      </c>
      <c r="AB310" s="18">
        <v>0.001476</v>
      </c>
      <c r="AC310" s="18">
        <v>5.27E-4</v>
      </c>
      <c r="AD310" s="18">
        <v>2.16E-4</v>
      </c>
      <c r="AE310" s="18">
        <v>5.76E-5</v>
      </c>
      <c r="AF310" s="18">
        <v>4.2E-6</v>
      </c>
      <c r="AG310" s="18">
        <v>4.2E-6</v>
      </c>
      <c r="AH310" s="18">
        <v>4.17E-5</v>
      </c>
      <c r="AI310" s="18">
        <v>6.87E-5</v>
      </c>
      <c r="AJ310" s="18">
        <v>2.7E-5</v>
      </c>
      <c r="AK310" s="18">
        <v>0.0</v>
      </c>
      <c r="AL310" s="18">
        <v>0.0</v>
      </c>
      <c r="AM310" s="18">
        <v>0.0</v>
      </c>
      <c r="AN310" s="18">
        <v>0.0</v>
      </c>
      <c r="AO310" s="2">
        <v>0.0</v>
      </c>
      <c r="AP310" s="20">
        <v>0.0</v>
      </c>
      <c r="AQ310" s="20">
        <v>0.0</v>
      </c>
      <c r="AR310" s="20">
        <v>0.0</v>
      </c>
      <c r="AS310" s="20">
        <v>0.0</v>
      </c>
      <c r="AT310" s="2">
        <f t="shared" si="34"/>
        <v>0.011812616</v>
      </c>
      <c r="AU310" s="12">
        <f t="shared" si="29"/>
        <v>0.011812616</v>
      </c>
      <c r="AV310" s="14"/>
      <c r="AW310" s="15"/>
      <c r="AX310" s="15"/>
    </row>
    <row r="311" ht="15.75" customHeight="1">
      <c r="A311" s="7">
        <v>240119.0</v>
      </c>
      <c r="B311" s="7">
        <v>73.0</v>
      </c>
      <c r="C311" s="7">
        <v>3.0</v>
      </c>
      <c r="D311" s="8" t="s">
        <v>238</v>
      </c>
      <c r="E311" s="7">
        <v>10.0</v>
      </c>
      <c r="F311" s="8" t="s">
        <v>56</v>
      </c>
      <c r="G311" s="8" t="s">
        <v>49</v>
      </c>
      <c r="H311" s="8" t="s">
        <v>61</v>
      </c>
      <c r="I311" s="22" t="s">
        <v>146</v>
      </c>
      <c r="J311" s="22" t="s">
        <v>52</v>
      </c>
      <c r="K311" s="11" t="s">
        <v>118</v>
      </c>
      <c r="L311" s="18">
        <v>0.022566</v>
      </c>
      <c r="M311" s="18">
        <v>0.025772</v>
      </c>
      <c r="N311" s="18">
        <v>0.026993</v>
      </c>
      <c r="O311" s="18">
        <v>0.025471</v>
      </c>
      <c r="P311" s="18">
        <v>0.024982</v>
      </c>
      <c r="Q311" s="18">
        <v>0.026208</v>
      </c>
      <c r="R311" s="18">
        <v>0.026294</v>
      </c>
      <c r="S311" s="18">
        <v>0.02653</v>
      </c>
      <c r="T311" s="18">
        <v>0.026679</v>
      </c>
      <c r="U311" s="18">
        <v>0.028541</v>
      </c>
      <c r="V311" s="18">
        <v>0.02922</v>
      </c>
      <c r="W311" s="18">
        <v>0.028082</v>
      </c>
      <c r="X311" s="18">
        <v>0.027649</v>
      </c>
      <c r="Y311" s="18">
        <v>0.026618</v>
      </c>
      <c r="Z311" s="18">
        <v>0.025331</v>
      </c>
      <c r="AA311" s="18">
        <v>0.02291</v>
      </c>
      <c r="AB311" s="18">
        <v>0.018994</v>
      </c>
      <c r="AC311" s="18">
        <v>0.015841</v>
      </c>
      <c r="AD311" s="18">
        <v>0.010758</v>
      </c>
      <c r="AE311" s="18">
        <v>0.00351</v>
      </c>
      <c r="AF311" s="18">
        <v>9.36E-4</v>
      </c>
      <c r="AG311" s="18">
        <v>2.94E-4</v>
      </c>
      <c r="AH311" s="18">
        <v>2.28E-5</v>
      </c>
      <c r="AI311" s="18">
        <v>0.0</v>
      </c>
      <c r="AJ311" s="18">
        <v>0.0</v>
      </c>
      <c r="AK311" s="18">
        <v>0.0</v>
      </c>
      <c r="AL311" s="18">
        <v>0.0</v>
      </c>
      <c r="AM311" s="18">
        <v>0.0</v>
      </c>
      <c r="AN311" s="2">
        <v>0.0</v>
      </c>
      <c r="AO311" s="2">
        <v>0.0</v>
      </c>
      <c r="AP311" s="20">
        <v>0.0</v>
      </c>
      <c r="AQ311" s="20">
        <v>0.0</v>
      </c>
      <c r="AR311" s="20">
        <v>0.0</v>
      </c>
      <c r="AS311" s="20">
        <v>0.0</v>
      </c>
      <c r="AT311" s="2">
        <f>AVERAGE(L311:AH311)</f>
        <v>0.02044355652</v>
      </c>
      <c r="AU311" s="12">
        <f t="shared" si="29"/>
        <v>0.02044355652</v>
      </c>
      <c r="AV311" s="14"/>
      <c r="AW311" s="15"/>
      <c r="AX311" s="15"/>
    </row>
    <row r="312" ht="15.75" customHeight="1">
      <c r="A312" s="7">
        <v>230913.0</v>
      </c>
      <c r="B312" s="7">
        <v>61.0</v>
      </c>
      <c r="C312" s="7">
        <v>1.0</v>
      </c>
      <c r="D312" s="8" t="s">
        <v>202</v>
      </c>
      <c r="E312" s="7">
        <v>10.0</v>
      </c>
      <c r="F312" s="8" t="s">
        <v>56</v>
      </c>
      <c r="G312" s="8" t="s">
        <v>67</v>
      </c>
      <c r="H312" s="8" t="s">
        <v>50</v>
      </c>
      <c r="I312" s="22" t="s">
        <v>185</v>
      </c>
      <c r="J312" s="22" t="s">
        <v>52</v>
      </c>
      <c r="K312" s="11" t="s">
        <v>53</v>
      </c>
      <c r="L312" s="18">
        <v>0.004674</v>
      </c>
      <c r="M312" s="18">
        <v>0.004399</v>
      </c>
      <c r="N312" s="18">
        <v>0.004116</v>
      </c>
      <c r="O312" s="18">
        <v>0.003537</v>
      </c>
      <c r="P312" s="18">
        <v>0.002189</v>
      </c>
      <c r="Q312" s="18">
        <v>0.003011</v>
      </c>
      <c r="R312" s="18">
        <v>0.003731</v>
      </c>
      <c r="S312" s="18">
        <v>0.002609</v>
      </c>
      <c r="T312" s="18">
        <v>0.002366</v>
      </c>
      <c r="U312" s="18">
        <v>0.002379</v>
      </c>
      <c r="V312" s="18">
        <v>0.002089</v>
      </c>
      <c r="W312" s="18">
        <v>0.002077</v>
      </c>
      <c r="X312" s="18">
        <v>0.002197</v>
      </c>
      <c r="Y312" s="18">
        <v>0.001855</v>
      </c>
      <c r="Z312" s="18">
        <v>0.001373</v>
      </c>
      <c r="AA312" s="18">
        <v>7.79E-4</v>
      </c>
      <c r="AB312" s="18">
        <v>3.65E-4</v>
      </c>
      <c r="AC312" s="18">
        <v>1.59E-4</v>
      </c>
      <c r="AD312" s="18">
        <v>0.0</v>
      </c>
      <c r="AE312" s="18">
        <v>0.0</v>
      </c>
      <c r="AF312" s="18">
        <v>0.0</v>
      </c>
      <c r="AG312" s="18">
        <v>0.0</v>
      </c>
      <c r="AH312" s="18">
        <v>0.0</v>
      </c>
      <c r="AI312" s="18">
        <v>0.0</v>
      </c>
      <c r="AJ312" s="2">
        <v>0.0</v>
      </c>
      <c r="AK312" s="18">
        <v>0.0</v>
      </c>
      <c r="AL312" s="18">
        <v>0.0</v>
      </c>
      <c r="AM312" s="18">
        <v>0.0</v>
      </c>
      <c r="AN312" s="18">
        <v>0.0</v>
      </c>
      <c r="AO312" s="18">
        <v>0.0</v>
      </c>
      <c r="AP312" s="20">
        <v>0.0</v>
      </c>
      <c r="AQ312" s="20">
        <v>0.0</v>
      </c>
      <c r="AR312" s="20">
        <v>0.0</v>
      </c>
      <c r="AS312" s="20">
        <v>0.0</v>
      </c>
      <c r="AT312" s="2">
        <f>AVERAGE(L312:AC312)</f>
        <v>0.002439166667</v>
      </c>
      <c r="AU312" s="12">
        <f t="shared" si="29"/>
        <v>0.002439166667</v>
      </c>
      <c r="AV312" s="14"/>
      <c r="AW312" s="15"/>
      <c r="AX312" s="15"/>
    </row>
    <row r="313" ht="15.75" customHeight="1">
      <c r="A313" s="7">
        <v>230913.0</v>
      </c>
      <c r="B313" s="7">
        <v>61.0</v>
      </c>
      <c r="C313" s="7">
        <v>1.0</v>
      </c>
      <c r="D313" s="8" t="s">
        <v>203</v>
      </c>
      <c r="E313" s="7">
        <v>10.0</v>
      </c>
      <c r="F313" s="8" t="s">
        <v>56</v>
      </c>
      <c r="G313" s="8" t="s">
        <v>67</v>
      </c>
      <c r="H313" s="8" t="s">
        <v>63</v>
      </c>
      <c r="I313" s="22" t="s">
        <v>185</v>
      </c>
      <c r="J313" s="22" t="s">
        <v>52</v>
      </c>
      <c r="K313" s="11" t="s">
        <v>53</v>
      </c>
      <c r="L313" s="18">
        <v>0.008152</v>
      </c>
      <c r="M313" s="18">
        <v>0.008741</v>
      </c>
      <c r="N313" s="18">
        <v>0.007734</v>
      </c>
      <c r="O313" s="18">
        <v>0.004421</v>
      </c>
      <c r="P313" s="18">
        <v>0.002389</v>
      </c>
      <c r="Q313" s="18">
        <v>0.002476</v>
      </c>
      <c r="R313" s="18">
        <v>0.001946</v>
      </c>
      <c r="S313" s="18">
        <v>0.001303</v>
      </c>
      <c r="T313" s="18">
        <v>0.001281</v>
      </c>
      <c r="U313" s="18">
        <v>0.001374</v>
      </c>
      <c r="V313" s="18">
        <v>0.001144</v>
      </c>
      <c r="W313" s="18">
        <v>6.51E-4</v>
      </c>
      <c r="X313" s="18">
        <v>3.16E-4</v>
      </c>
      <c r="Y313" s="18">
        <v>2.65E-4</v>
      </c>
      <c r="Z313" s="18">
        <v>3.69E-4</v>
      </c>
      <c r="AA313" s="18">
        <v>3.98E-4</v>
      </c>
      <c r="AB313" s="18">
        <v>5.29E-4</v>
      </c>
      <c r="AC313" s="18">
        <v>5.39E-4</v>
      </c>
      <c r="AD313" s="18">
        <v>3.03E-4</v>
      </c>
      <c r="AE313" s="18">
        <v>6.07E-4</v>
      </c>
      <c r="AF313" s="18">
        <v>6.73E-4</v>
      </c>
      <c r="AG313" s="18">
        <v>2.09E-4</v>
      </c>
      <c r="AH313" s="18">
        <v>6.79E-5</v>
      </c>
      <c r="AI313" s="18">
        <v>0.0</v>
      </c>
      <c r="AJ313" s="18">
        <v>0.0</v>
      </c>
      <c r="AK313" s="18">
        <v>1.92E-5</v>
      </c>
      <c r="AL313" s="18">
        <v>2.51E-4</v>
      </c>
      <c r="AM313" s="18">
        <v>9.1E-4</v>
      </c>
      <c r="AN313" s="2">
        <v>0.0</v>
      </c>
      <c r="AO313" s="2">
        <v>0.0</v>
      </c>
      <c r="AP313" s="20">
        <v>0.0</v>
      </c>
      <c r="AQ313" s="20">
        <v>0.0</v>
      </c>
      <c r="AR313" s="20">
        <v>0.0</v>
      </c>
      <c r="AS313" s="20">
        <v>0.0</v>
      </c>
      <c r="AT313" s="2">
        <f>AVERAGE(L313:AM313)</f>
        <v>0.001681003571</v>
      </c>
      <c r="AU313" s="12">
        <f t="shared" si="29"/>
        <v>0.001810311538</v>
      </c>
      <c r="AV313" s="14"/>
      <c r="AW313" s="15"/>
      <c r="AX313" s="15"/>
    </row>
    <row r="314" ht="15.75" customHeight="1">
      <c r="A314" s="7">
        <v>230913.0</v>
      </c>
      <c r="B314" s="7">
        <v>61.0</v>
      </c>
      <c r="C314" s="7">
        <v>1.0</v>
      </c>
      <c r="D314" s="8" t="s">
        <v>204</v>
      </c>
      <c r="E314" s="7">
        <v>10.0</v>
      </c>
      <c r="F314" s="8" t="s">
        <v>56</v>
      </c>
      <c r="G314" s="8" t="s">
        <v>67</v>
      </c>
      <c r="H314" s="8" t="s">
        <v>65</v>
      </c>
      <c r="I314" s="22" t="s">
        <v>185</v>
      </c>
      <c r="J314" s="22" t="s">
        <v>52</v>
      </c>
      <c r="K314" s="11" t="s">
        <v>53</v>
      </c>
      <c r="L314" s="18">
        <v>0.015365</v>
      </c>
      <c r="M314" s="18">
        <v>0.012323</v>
      </c>
      <c r="N314" s="18">
        <v>0.009209</v>
      </c>
      <c r="O314" s="18">
        <v>0.00711</v>
      </c>
      <c r="P314" s="18">
        <v>0.004622</v>
      </c>
      <c r="Q314" s="18">
        <v>0.003468</v>
      </c>
      <c r="R314" s="18">
        <v>0.003101</v>
      </c>
      <c r="S314" s="18">
        <v>0.002367</v>
      </c>
      <c r="T314" s="18">
        <v>0.003704</v>
      </c>
      <c r="U314" s="18">
        <v>0.004941</v>
      </c>
      <c r="V314" s="18">
        <v>0.004126</v>
      </c>
      <c r="W314" s="18">
        <v>0.002672</v>
      </c>
      <c r="X314" s="18">
        <v>0.001362</v>
      </c>
      <c r="Y314" s="18">
        <v>8.6E-4</v>
      </c>
      <c r="Z314" s="18">
        <v>5.72E-4</v>
      </c>
      <c r="AA314" s="18">
        <v>1.55E-4</v>
      </c>
      <c r="AB314" s="18">
        <v>7.04E-5</v>
      </c>
      <c r="AC314" s="18">
        <v>4.34E-4</v>
      </c>
      <c r="AD314" s="18">
        <v>6.03E-4</v>
      </c>
      <c r="AE314" s="18">
        <v>5.97E-4</v>
      </c>
      <c r="AF314" s="18">
        <v>0.001966</v>
      </c>
      <c r="AG314" s="18">
        <v>0.00518</v>
      </c>
      <c r="AH314" s="18">
        <v>0.008131</v>
      </c>
      <c r="AI314" s="18">
        <v>0.010242</v>
      </c>
      <c r="AJ314" s="2">
        <v>0.0</v>
      </c>
      <c r="AK314" s="18">
        <v>0.0</v>
      </c>
      <c r="AL314" s="18">
        <v>0.0</v>
      </c>
      <c r="AM314" s="18">
        <v>0.0</v>
      </c>
      <c r="AN314" s="18">
        <v>0.0</v>
      </c>
      <c r="AO314" s="18">
        <v>0.0</v>
      </c>
      <c r="AP314" s="20">
        <v>0.0</v>
      </c>
      <c r="AQ314" s="20">
        <v>0.0</v>
      </c>
      <c r="AR314" s="20">
        <v>0.0</v>
      </c>
      <c r="AS314" s="20">
        <v>0.0</v>
      </c>
      <c r="AT314" s="2">
        <f>AVERAGE(L314:AI314)</f>
        <v>0.004299183333</v>
      </c>
      <c r="AU314" s="12">
        <f t="shared" si="29"/>
        <v>0.004299183333</v>
      </c>
      <c r="AV314" s="14"/>
      <c r="AW314" s="15"/>
      <c r="AX314" s="15"/>
    </row>
    <row r="315" ht="15.75" customHeight="1">
      <c r="A315" s="7">
        <v>230914.0</v>
      </c>
      <c r="B315" s="7">
        <v>61.0</v>
      </c>
      <c r="C315" s="7">
        <v>1.0</v>
      </c>
      <c r="D315" s="8" t="s">
        <v>205</v>
      </c>
      <c r="E315" s="7">
        <v>10.0</v>
      </c>
      <c r="F315" s="8" t="s">
        <v>56</v>
      </c>
      <c r="G315" s="8" t="s">
        <v>49</v>
      </c>
      <c r="H315" s="8" t="s">
        <v>63</v>
      </c>
      <c r="I315" s="22" t="s">
        <v>185</v>
      </c>
      <c r="J315" s="22" t="s">
        <v>52</v>
      </c>
      <c r="K315" s="11" t="s">
        <v>53</v>
      </c>
      <c r="L315" s="18">
        <v>0.003834</v>
      </c>
      <c r="M315" s="18">
        <v>0.007649</v>
      </c>
      <c r="N315" s="18">
        <v>0.007101</v>
      </c>
      <c r="O315" s="18">
        <v>0.004676</v>
      </c>
      <c r="P315" s="18">
        <v>0.003813</v>
      </c>
      <c r="Q315" s="18">
        <v>0.003621</v>
      </c>
      <c r="R315" s="18">
        <v>0.003338</v>
      </c>
      <c r="S315" s="18">
        <v>0.003097</v>
      </c>
      <c r="T315" s="18">
        <v>0.003276</v>
      </c>
      <c r="U315" s="18">
        <v>0.004117</v>
      </c>
      <c r="V315" s="18">
        <v>0.00416</v>
      </c>
      <c r="W315" s="18">
        <v>0.003698</v>
      </c>
      <c r="X315" s="18">
        <v>0.003835</v>
      </c>
      <c r="Y315" s="18">
        <v>0.002975</v>
      </c>
      <c r="Z315" s="18">
        <v>0.002148</v>
      </c>
      <c r="AA315" s="18">
        <v>0.001777</v>
      </c>
      <c r="AB315" s="18">
        <v>0.001386</v>
      </c>
      <c r="AC315" s="18">
        <v>0.001109</v>
      </c>
      <c r="AD315" s="18">
        <v>7.47E-4</v>
      </c>
      <c r="AE315" s="18">
        <v>3.49E-4</v>
      </c>
      <c r="AF315" s="18">
        <v>2.47E-4</v>
      </c>
      <c r="AG315" s="18">
        <v>3.22E-4</v>
      </c>
      <c r="AH315" s="18">
        <v>4.17E-4</v>
      </c>
      <c r="AI315" s="18">
        <v>4.38E-4</v>
      </c>
      <c r="AJ315" s="18">
        <v>7.54E-4</v>
      </c>
      <c r="AK315" s="18">
        <v>0.001706</v>
      </c>
      <c r="AL315" s="18">
        <v>0.002772</v>
      </c>
      <c r="AM315" s="18">
        <v>0.0</v>
      </c>
      <c r="AN315" s="2">
        <v>0.0</v>
      </c>
      <c r="AO315" s="2">
        <v>0.0</v>
      </c>
      <c r="AP315" s="20">
        <v>0.0</v>
      </c>
      <c r="AQ315" s="20">
        <v>0.0</v>
      </c>
      <c r="AR315" s="20">
        <v>0.0</v>
      </c>
      <c r="AS315" s="20">
        <v>0.0</v>
      </c>
      <c r="AT315" s="2">
        <f>AVERAGE(L315:AL315)</f>
        <v>0.002717111111</v>
      </c>
      <c r="AU315" s="12">
        <f t="shared" si="29"/>
        <v>0.002717111111</v>
      </c>
      <c r="AV315" s="14"/>
      <c r="AW315" s="15"/>
      <c r="AX315" s="15"/>
    </row>
    <row r="316" ht="15.75" customHeight="1">
      <c r="A316" s="7">
        <v>230914.0</v>
      </c>
      <c r="B316" s="7">
        <v>61.0</v>
      </c>
      <c r="C316" s="7">
        <v>1.0</v>
      </c>
      <c r="D316" s="8" t="s">
        <v>206</v>
      </c>
      <c r="E316" s="7">
        <v>10.0</v>
      </c>
      <c r="F316" s="8" t="s">
        <v>56</v>
      </c>
      <c r="G316" s="8" t="s">
        <v>49</v>
      </c>
      <c r="H316" s="8" t="s">
        <v>65</v>
      </c>
      <c r="I316" s="22" t="s">
        <v>185</v>
      </c>
      <c r="J316" s="22" t="s">
        <v>52</v>
      </c>
      <c r="K316" s="11" t="s">
        <v>53</v>
      </c>
      <c r="L316" s="18">
        <v>0.00508</v>
      </c>
      <c r="M316" s="18">
        <v>0.005637</v>
      </c>
      <c r="N316" s="18">
        <v>0.005278</v>
      </c>
      <c r="O316" s="18">
        <v>0.004892</v>
      </c>
      <c r="P316" s="18">
        <v>0.005509</v>
      </c>
      <c r="Q316" s="18">
        <v>0.005314</v>
      </c>
      <c r="R316" s="18">
        <v>0.004947</v>
      </c>
      <c r="S316" s="18">
        <v>0.005082</v>
      </c>
      <c r="T316" s="18">
        <v>0.005391</v>
      </c>
      <c r="U316" s="18">
        <v>0.005101</v>
      </c>
      <c r="V316" s="18">
        <v>0.003586</v>
      </c>
      <c r="W316" s="18">
        <v>0.002721</v>
      </c>
      <c r="X316" s="18">
        <v>0.003017</v>
      </c>
      <c r="Y316" s="18">
        <v>0.002701</v>
      </c>
      <c r="Z316" s="18">
        <v>0.001475</v>
      </c>
      <c r="AA316" s="18">
        <v>0.001027</v>
      </c>
      <c r="AB316" s="18">
        <v>9.22E-4</v>
      </c>
      <c r="AC316" s="18">
        <v>7.91E-4</v>
      </c>
      <c r="AD316" s="18">
        <v>7.01E-4</v>
      </c>
      <c r="AE316" s="18">
        <v>3.52E-4</v>
      </c>
      <c r="AF316" s="18">
        <v>2.93E-4</v>
      </c>
      <c r="AG316" s="18">
        <v>3.31E-4</v>
      </c>
      <c r="AH316" s="18">
        <v>2.33E-4</v>
      </c>
      <c r="AI316" s="18">
        <v>4.15E-4</v>
      </c>
      <c r="AJ316" s="18">
        <v>4.82E-4</v>
      </c>
      <c r="AK316" s="18">
        <v>6.6E-4</v>
      </c>
      <c r="AL316" s="18">
        <v>9.84E-4</v>
      </c>
      <c r="AM316" s="18">
        <v>8.56E-4</v>
      </c>
      <c r="AN316" s="18">
        <v>6.21E-4</v>
      </c>
      <c r="AO316" s="2">
        <v>0.0</v>
      </c>
      <c r="AP316" s="20">
        <v>0.0</v>
      </c>
      <c r="AQ316" s="20">
        <v>0.0</v>
      </c>
      <c r="AR316" s="20">
        <v>0.0</v>
      </c>
      <c r="AS316" s="20">
        <v>0.0</v>
      </c>
      <c r="AT316" s="2">
        <f>AVERAGE(L316:AN316)</f>
        <v>0.002565482759</v>
      </c>
      <c r="AU316" s="12">
        <f t="shared" si="29"/>
        <v>0.002565482759</v>
      </c>
      <c r="AV316" s="14"/>
      <c r="AW316" s="15"/>
      <c r="AX316" s="15"/>
    </row>
    <row r="317" ht="15.75" customHeight="1">
      <c r="A317" s="7">
        <v>230914.0</v>
      </c>
      <c r="B317" s="7">
        <v>61.0</v>
      </c>
      <c r="C317" s="7">
        <v>1.0</v>
      </c>
      <c r="D317" s="8" t="s">
        <v>207</v>
      </c>
      <c r="E317" s="7">
        <v>10.0</v>
      </c>
      <c r="F317" s="8" t="s">
        <v>56</v>
      </c>
      <c r="G317" s="8" t="s">
        <v>49</v>
      </c>
      <c r="H317" s="8" t="s">
        <v>50</v>
      </c>
      <c r="I317" s="22" t="s">
        <v>185</v>
      </c>
      <c r="J317" s="22" t="s">
        <v>52</v>
      </c>
      <c r="K317" s="11" t="s">
        <v>53</v>
      </c>
      <c r="L317" s="18">
        <v>0.004065</v>
      </c>
      <c r="M317" s="18">
        <v>0.004355</v>
      </c>
      <c r="N317" s="18">
        <v>0.004356</v>
      </c>
      <c r="O317" s="18">
        <v>0.005208</v>
      </c>
      <c r="P317" s="18">
        <v>0.00566</v>
      </c>
      <c r="Q317" s="18">
        <v>0.005594</v>
      </c>
      <c r="R317" s="18">
        <v>0.006807</v>
      </c>
      <c r="S317" s="18">
        <v>0.009252</v>
      </c>
      <c r="T317" s="18">
        <v>0.009429</v>
      </c>
      <c r="U317" s="18">
        <v>0.007122</v>
      </c>
      <c r="V317" s="18">
        <v>0.006699</v>
      </c>
      <c r="W317" s="18">
        <v>0.007982</v>
      </c>
      <c r="X317" s="18">
        <v>0.010454</v>
      </c>
      <c r="Y317" s="18">
        <v>0.010798</v>
      </c>
      <c r="Z317" s="18">
        <v>0.008847</v>
      </c>
      <c r="AA317" s="18">
        <v>0.00766</v>
      </c>
      <c r="AB317" s="18">
        <v>0.006986</v>
      </c>
      <c r="AC317" s="18">
        <v>0.005265</v>
      </c>
      <c r="AD317" s="18">
        <v>0.003452</v>
      </c>
      <c r="AE317" s="18">
        <v>0.00248</v>
      </c>
      <c r="AF317" s="18">
        <v>0.00208</v>
      </c>
      <c r="AG317" s="18">
        <v>0.002161</v>
      </c>
      <c r="AH317" s="18">
        <v>0.003287</v>
      </c>
      <c r="AI317" s="18">
        <v>0.004458</v>
      </c>
      <c r="AJ317" s="18">
        <v>0.003425</v>
      </c>
      <c r="AK317" s="18">
        <v>0.002857</v>
      </c>
      <c r="AL317" s="18">
        <v>0.004211</v>
      </c>
      <c r="AM317" s="18">
        <v>0.008098</v>
      </c>
      <c r="AN317" s="18">
        <v>0.015417</v>
      </c>
      <c r="AO317" s="18">
        <v>0.035591</v>
      </c>
      <c r="AP317" s="20">
        <v>0.0</v>
      </c>
      <c r="AQ317" s="20">
        <v>0.0</v>
      </c>
      <c r="AR317" s="20">
        <v>0.0</v>
      </c>
      <c r="AS317" s="20">
        <v>0.0</v>
      </c>
      <c r="AT317" s="2">
        <f>AVERAGE(L317:AO317)</f>
        <v>0.0071352</v>
      </c>
      <c r="AU317" s="12">
        <f t="shared" si="29"/>
        <v>0.0071352</v>
      </c>
      <c r="AV317" s="14"/>
      <c r="AW317" s="15"/>
      <c r="AX317" s="15"/>
    </row>
    <row r="318" ht="15.75" customHeight="1">
      <c r="A318" s="7">
        <v>230915.0</v>
      </c>
      <c r="B318" s="7">
        <v>61.0</v>
      </c>
      <c r="C318" s="7">
        <v>1.0</v>
      </c>
      <c r="D318" s="8" t="s">
        <v>208</v>
      </c>
      <c r="E318" s="7">
        <v>10.0</v>
      </c>
      <c r="F318" s="8" t="s">
        <v>48</v>
      </c>
      <c r="G318" s="8" t="s">
        <v>67</v>
      </c>
      <c r="H318" s="8" t="s">
        <v>50</v>
      </c>
      <c r="I318" s="22" t="s">
        <v>185</v>
      </c>
      <c r="J318" s="22" t="s">
        <v>52</v>
      </c>
      <c r="K318" s="11" t="s">
        <v>57</v>
      </c>
      <c r="L318" s="18">
        <v>0.011946</v>
      </c>
      <c r="M318" s="18">
        <v>0.01145</v>
      </c>
      <c r="N318" s="18">
        <v>0.010257</v>
      </c>
      <c r="O318" s="18">
        <v>0.010215</v>
      </c>
      <c r="P318" s="18">
        <v>0.010796</v>
      </c>
      <c r="Q318" s="18">
        <v>0.011478</v>
      </c>
      <c r="R318" s="18">
        <v>0.012678</v>
      </c>
      <c r="S318" s="18">
        <v>0.012574</v>
      </c>
      <c r="T318" s="18">
        <v>0.011254</v>
      </c>
      <c r="U318" s="18">
        <v>0.009102</v>
      </c>
      <c r="V318" s="18">
        <v>0.007735</v>
      </c>
      <c r="W318" s="18">
        <v>0.007578</v>
      </c>
      <c r="X318" s="18">
        <v>0.007296</v>
      </c>
      <c r="Y318" s="18">
        <v>0.006891</v>
      </c>
      <c r="Z318" s="18">
        <v>0.007576</v>
      </c>
      <c r="AA318" s="18">
        <v>0.009024</v>
      </c>
      <c r="AB318" s="18">
        <v>0.008475</v>
      </c>
      <c r="AC318" s="18">
        <v>0.007085</v>
      </c>
      <c r="AD318" s="18">
        <v>0.007507</v>
      </c>
      <c r="AE318" s="18">
        <v>0.007778</v>
      </c>
      <c r="AF318" s="18">
        <v>0.007288</v>
      </c>
      <c r="AG318" s="18">
        <v>0.007862</v>
      </c>
      <c r="AH318" s="18">
        <v>0.009723</v>
      </c>
      <c r="AI318" s="18">
        <v>0.009609</v>
      </c>
      <c r="AJ318" s="18">
        <v>0.008104</v>
      </c>
      <c r="AK318" s="18">
        <v>0.005724</v>
      </c>
      <c r="AL318" s="18">
        <v>0.002116</v>
      </c>
      <c r="AM318" s="18">
        <v>0.0</v>
      </c>
      <c r="AN318" s="2">
        <v>0.0</v>
      </c>
      <c r="AO318" s="2">
        <v>0.0</v>
      </c>
      <c r="AP318" s="20">
        <v>0.0</v>
      </c>
      <c r="AQ318" s="20">
        <v>0.0</v>
      </c>
      <c r="AR318" s="20">
        <v>0.0</v>
      </c>
      <c r="AS318" s="20">
        <v>0.0</v>
      </c>
      <c r="AT318" s="2">
        <f>AVERAGE(L318:AL318)</f>
        <v>0.008856333333</v>
      </c>
      <c r="AU318" s="12">
        <f t="shared" si="29"/>
        <v>0.008856333333</v>
      </c>
      <c r="AV318" s="14"/>
      <c r="AW318" s="15"/>
      <c r="AX318" s="15"/>
    </row>
    <row r="319" ht="15.75" customHeight="1">
      <c r="A319" s="7">
        <v>230915.0</v>
      </c>
      <c r="B319" s="7">
        <v>61.0</v>
      </c>
      <c r="C319" s="7">
        <v>1.0</v>
      </c>
      <c r="D319" s="8" t="s">
        <v>209</v>
      </c>
      <c r="E319" s="7">
        <v>10.0</v>
      </c>
      <c r="F319" s="8" t="s">
        <v>48</v>
      </c>
      <c r="G319" s="8" t="s">
        <v>67</v>
      </c>
      <c r="H319" s="8" t="s">
        <v>65</v>
      </c>
      <c r="I319" s="22" t="s">
        <v>185</v>
      </c>
      <c r="J319" s="22" t="s">
        <v>52</v>
      </c>
      <c r="K319" s="11" t="s">
        <v>57</v>
      </c>
      <c r="L319" s="18">
        <v>0.0</v>
      </c>
      <c r="M319" s="18">
        <v>0.0</v>
      </c>
      <c r="N319" s="18">
        <v>0.0</v>
      </c>
      <c r="O319" s="18">
        <v>8.14E-5</v>
      </c>
      <c r="P319" s="18">
        <v>6.57E-5</v>
      </c>
      <c r="Q319" s="18">
        <v>0.0</v>
      </c>
      <c r="R319" s="18">
        <v>3.72E-4</v>
      </c>
      <c r="S319" s="18">
        <v>0.001062</v>
      </c>
      <c r="T319" s="18">
        <v>0.002371</v>
      </c>
      <c r="U319" s="18">
        <v>0.004365</v>
      </c>
      <c r="V319" s="18">
        <v>0.0058</v>
      </c>
      <c r="W319" s="18">
        <v>0.007172</v>
      </c>
      <c r="X319" s="18">
        <v>0.009592</v>
      </c>
      <c r="Y319" s="18">
        <v>0.011193</v>
      </c>
      <c r="Z319" s="18">
        <v>0.011439</v>
      </c>
      <c r="AA319" s="18">
        <v>0.011227</v>
      </c>
      <c r="AB319" s="18">
        <v>0.011898</v>
      </c>
      <c r="AC319" s="18">
        <v>0.011787</v>
      </c>
      <c r="AD319" s="18">
        <v>0.013043</v>
      </c>
      <c r="AE319" s="18">
        <v>0.014707</v>
      </c>
      <c r="AF319" s="18">
        <v>0.012468</v>
      </c>
      <c r="AG319" s="18">
        <v>0.009419</v>
      </c>
      <c r="AH319" s="18">
        <v>0.008153</v>
      </c>
      <c r="AI319" s="18">
        <v>0.008921</v>
      </c>
      <c r="AJ319" s="18">
        <v>0.00955</v>
      </c>
      <c r="AK319" s="18">
        <v>0.010401</v>
      </c>
      <c r="AL319" s="18">
        <v>0.011947</v>
      </c>
      <c r="AM319" s="18">
        <v>0.01173</v>
      </c>
      <c r="AN319" s="18">
        <v>0.010856</v>
      </c>
      <c r="AO319" s="18">
        <v>0.011663</v>
      </c>
      <c r="AP319" s="20">
        <v>0.0</v>
      </c>
      <c r="AQ319" s="20">
        <v>0.0</v>
      </c>
      <c r="AR319" s="20">
        <v>0.0</v>
      </c>
      <c r="AS319" s="20">
        <v>0.0</v>
      </c>
      <c r="AT319" s="2">
        <f t="shared" ref="AT319:AT320" si="35">AVERAGE(L319:AO319)</f>
        <v>0.007376103333</v>
      </c>
      <c r="AU319" s="12">
        <f t="shared" si="29"/>
        <v>0.008510888462</v>
      </c>
      <c r="AV319" s="14"/>
      <c r="AW319" s="15"/>
      <c r="AX319" s="15"/>
    </row>
    <row r="320" ht="15.75" customHeight="1">
      <c r="A320" s="7">
        <v>230915.0</v>
      </c>
      <c r="B320" s="7">
        <v>61.0</v>
      </c>
      <c r="C320" s="7">
        <v>1.0</v>
      </c>
      <c r="D320" s="8" t="s">
        <v>210</v>
      </c>
      <c r="E320" s="7">
        <v>10.0</v>
      </c>
      <c r="F320" s="8" t="s">
        <v>48</v>
      </c>
      <c r="G320" s="8" t="s">
        <v>67</v>
      </c>
      <c r="H320" s="8" t="s">
        <v>63</v>
      </c>
      <c r="I320" s="22" t="s">
        <v>185</v>
      </c>
      <c r="J320" s="22" t="s">
        <v>52</v>
      </c>
      <c r="K320" s="11" t="s">
        <v>57</v>
      </c>
      <c r="L320" s="18">
        <v>0.011221</v>
      </c>
      <c r="M320" s="18">
        <v>0.010842</v>
      </c>
      <c r="N320" s="18">
        <v>0.010839</v>
      </c>
      <c r="O320" s="18">
        <v>0.009633</v>
      </c>
      <c r="P320" s="18">
        <v>0.008442</v>
      </c>
      <c r="Q320" s="18">
        <v>0.010065</v>
      </c>
      <c r="R320" s="18">
        <v>0.012177</v>
      </c>
      <c r="S320" s="18">
        <v>0.011994</v>
      </c>
      <c r="T320" s="18">
        <v>0.011009</v>
      </c>
      <c r="U320" s="18">
        <v>0.011324</v>
      </c>
      <c r="V320" s="18">
        <v>0.012073</v>
      </c>
      <c r="W320" s="18">
        <v>0.012761</v>
      </c>
      <c r="X320" s="18">
        <v>0.01121</v>
      </c>
      <c r="Y320" s="18">
        <v>0.01089</v>
      </c>
      <c r="Z320" s="18">
        <v>0.012355</v>
      </c>
      <c r="AA320" s="18">
        <v>0.01138</v>
      </c>
      <c r="AB320" s="18">
        <v>0.010287</v>
      </c>
      <c r="AC320" s="18">
        <v>0.009415</v>
      </c>
      <c r="AD320" s="18">
        <v>0.007927</v>
      </c>
      <c r="AE320" s="18">
        <v>0.006287</v>
      </c>
      <c r="AF320" s="18">
        <v>0.005427</v>
      </c>
      <c r="AG320" s="18">
        <v>0.005542</v>
      </c>
      <c r="AH320" s="18">
        <v>0.005958</v>
      </c>
      <c r="AI320" s="18">
        <v>0.00596</v>
      </c>
      <c r="AJ320" s="18">
        <v>0.005741</v>
      </c>
      <c r="AK320" s="18">
        <v>0.004556</v>
      </c>
      <c r="AL320" s="18">
        <v>0.003638</v>
      </c>
      <c r="AM320" s="18">
        <v>0.003049</v>
      </c>
      <c r="AN320" s="18">
        <v>0.001686</v>
      </c>
      <c r="AO320" s="18">
        <v>0.004655</v>
      </c>
      <c r="AP320" s="20">
        <v>0.0</v>
      </c>
      <c r="AQ320" s="20">
        <v>0.0</v>
      </c>
      <c r="AR320" s="20">
        <v>0.0</v>
      </c>
      <c r="AS320" s="20">
        <v>0.0</v>
      </c>
      <c r="AT320" s="2">
        <f t="shared" si="35"/>
        <v>0.008611433333</v>
      </c>
      <c r="AU320" s="12">
        <f t="shared" si="29"/>
        <v>0.008611433333</v>
      </c>
      <c r="AV320" s="14"/>
      <c r="AW320" s="15"/>
      <c r="AX320" s="15"/>
    </row>
    <row r="321" ht="15.75" customHeight="1">
      <c r="A321" s="7">
        <v>230915.0</v>
      </c>
      <c r="B321" s="7">
        <v>61.0</v>
      </c>
      <c r="C321" s="7">
        <v>1.0</v>
      </c>
      <c r="D321" s="8" t="s">
        <v>211</v>
      </c>
      <c r="E321" s="7">
        <v>10.0</v>
      </c>
      <c r="F321" s="8" t="s">
        <v>48</v>
      </c>
      <c r="G321" s="8" t="s">
        <v>67</v>
      </c>
      <c r="H321" s="8" t="s">
        <v>61</v>
      </c>
      <c r="I321" s="22" t="s">
        <v>185</v>
      </c>
      <c r="J321" s="22" t="s">
        <v>52</v>
      </c>
      <c r="K321" s="11" t="s">
        <v>57</v>
      </c>
      <c r="L321" s="18">
        <v>0.009896</v>
      </c>
      <c r="M321" s="18">
        <v>0.010366</v>
      </c>
      <c r="N321" s="18">
        <v>0.012455</v>
      </c>
      <c r="O321" s="18">
        <v>0.012301</v>
      </c>
      <c r="P321" s="18">
        <v>0.00939</v>
      </c>
      <c r="Q321" s="18">
        <v>0.008545</v>
      </c>
      <c r="R321" s="18">
        <v>0.010262</v>
      </c>
      <c r="S321" s="18">
        <v>0.011988</v>
      </c>
      <c r="T321" s="18">
        <v>0.011346</v>
      </c>
      <c r="U321" s="18">
        <v>0.00837</v>
      </c>
      <c r="V321" s="18">
        <v>0.007577</v>
      </c>
      <c r="W321" s="18">
        <v>0.009625</v>
      </c>
      <c r="X321" s="18">
        <v>0.009981</v>
      </c>
      <c r="Y321" s="18">
        <v>0.009165</v>
      </c>
      <c r="Z321" s="18">
        <v>0.009478</v>
      </c>
      <c r="AA321" s="18">
        <v>0.009333</v>
      </c>
      <c r="AB321" s="18">
        <v>0.009465</v>
      </c>
      <c r="AC321" s="18">
        <v>0.010805</v>
      </c>
      <c r="AD321" s="18">
        <v>0.010638</v>
      </c>
      <c r="AE321" s="18">
        <v>0.009195</v>
      </c>
      <c r="AF321" s="18">
        <v>0.007539</v>
      </c>
      <c r="AG321" s="18">
        <v>0.006606</v>
      </c>
      <c r="AH321" s="18">
        <v>0.006291</v>
      </c>
      <c r="AI321" s="18">
        <v>0.004395</v>
      </c>
      <c r="AJ321" s="18">
        <v>0.001813</v>
      </c>
      <c r="AK321" s="18">
        <v>0.0</v>
      </c>
      <c r="AL321" s="18">
        <v>0.0</v>
      </c>
      <c r="AM321" s="2">
        <v>0.0</v>
      </c>
      <c r="AN321" s="2">
        <v>0.0</v>
      </c>
      <c r="AO321" s="2">
        <v>0.0</v>
      </c>
      <c r="AP321" s="20">
        <v>0.0</v>
      </c>
      <c r="AQ321" s="20">
        <v>0.0</v>
      </c>
      <c r="AR321" s="20">
        <v>0.0</v>
      </c>
      <c r="AS321" s="20">
        <v>0.0</v>
      </c>
      <c r="AT321" s="2">
        <f>AVERAGE(L321:AJ321)</f>
        <v>0.009073</v>
      </c>
      <c r="AU321" s="12">
        <f t="shared" si="29"/>
        <v>0.009073</v>
      </c>
      <c r="AV321" s="14"/>
      <c r="AW321" s="15"/>
      <c r="AX321" s="15"/>
    </row>
    <row r="322" ht="15.75" customHeight="1">
      <c r="A322" s="7">
        <v>230915.0</v>
      </c>
      <c r="B322" s="7">
        <v>61.0</v>
      </c>
      <c r="C322" s="7">
        <v>1.0</v>
      </c>
      <c r="D322" s="8" t="s">
        <v>212</v>
      </c>
      <c r="E322" s="7">
        <v>10.0</v>
      </c>
      <c r="F322" s="8" t="s">
        <v>48</v>
      </c>
      <c r="G322" s="8" t="s">
        <v>49</v>
      </c>
      <c r="H322" s="16" t="s">
        <v>50</v>
      </c>
      <c r="I322" s="22" t="s">
        <v>185</v>
      </c>
      <c r="J322" s="22" t="s">
        <v>52</v>
      </c>
      <c r="K322" s="11" t="s">
        <v>57</v>
      </c>
      <c r="L322" s="18">
        <v>0.011826</v>
      </c>
      <c r="M322" s="18">
        <v>0.012118</v>
      </c>
      <c r="N322" s="18">
        <v>0.012778</v>
      </c>
      <c r="O322" s="18">
        <v>0.011315</v>
      </c>
      <c r="P322" s="18">
        <v>0.009375</v>
      </c>
      <c r="Q322" s="18">
        <v>0.008642</v>
      </c>
      <c r="R322" s="18">
        <v>0.008089</v>
      </c>
      <c r="S322" s="18">
        <v>0.009508</v>
      </c>
      <c r="T322" s="18">
        <v>0.009295</v>
      </c>
      <c r="U322" s="18">
        <v>0.007893</v>
      </c>
      <c r="V322" s="18">
        <v>0.007552</v>
      </c>
      <c r="W322" s="18">
        <v>0.007024</v>
      </c>
      <c r="X322" s="18">
        <v>0.006732</v>
      </c>
      <c r="Y322" s="18">
        <v>0.006633</v>
      </c>
      <c r="Z322" s="18">
        <v>0.006488</v>
      </c>
      <c r="AA322" s="18">
        <v>0.006569</v>
      </c>
      <c r="AB322" s="18">
        <v>0.006582</v>
      </c>
      <c r="AC322" s="18">
        <v>0.006059</v>
      </c>
      <c r="AD322" s="18">
        <v>0.006682</v>
      </c>
      <c r="AE322" s="18">
        <v>0.007111</v>
      </c>
      <c r="AF322" s="18">
        <v>0.006437</v>
      </c>
      <c r="AG322" s="18">
        <v>0.006621</v>
      </c>
      <c r="AH322" s="18">
        <v>0.007152</v>
      </c>
      <c r="AI322" s="18">
        <v>0.006757</v>
      </c>
      <c r="AJ322" s="18">
        <v>0.006624</v>
      </c>
      <c r="AK322" s="18">
        <v>0.006571</v>
      </c>
      <c r="AL322" s="18">
        <v>0.004546</v>
      </c>
      <c r="AM322" s="18">
        <v>0.002224</v>
      </c>
      <c r="AN322" s="18">
        <v>0.0</v>
      </c>
      <c r="AO322" s="2">
        <v>0.0</v>
      </c>
      <c r="AP322" s="20">
        <v>0.0</v>
      </c>
      <c r="AQ322" s="20">
        <v>0.0</v>
      </c>
      <c r="AR322" s="20">
        <v>0.0</v>
      </c>
      <c r="AS322" s="20">
        <v>0.0</v>
      </c>
      <c r="AT322" s="2">
        <f>AVERAGE(L322:AM322)</f>
        <v>0.007685821429</v>
      </c>
      <c r="AU322" s="12">
        <f t="shared" si="29"/>
        <v>0.007685821429</v>
      </c>
      <c r="AV322" s="14"/>
      <c r="AW322" s="15"/>
      <c r="AX322" s="15"/>
    </row>
    <row r="323" ht="15.75" customHeight="1">
      <c r="A323" s="7">
        <v>230915.0</v>
      </c>
      <c r="B323" s="7">
        <v>61.0</v>
      </c>
      <c r="C323" s="7">
        <v>1.0</v>
      </c>
      <c r="D323" s="8" t="s">
        <v>213</v>
      </c>
      <c r="E323" s="7">
        <v>10.0</v>
      </c>
      <c r="F323" s="8" t="s">
        <v>48</v>
      </c>
      <c r="G323" s="8" t="s">
        <v>49</v>
      </c>
      <c r="H323" s="16" t="s">
        <v>50</v>
      </c>
      <c r="I323" s="22" t="s">
        <v>185</v>
      </c>
      <c r="J323" s="22" t="s">
        <v>52</v>
      </c>
      <c r="K323" s="11" t="s">
        <v>57</v>
      </c>
      <c r="L323" s="18">
        <v>0.009153</v>
      </c>
      <c r="M323" s="18">
        <v>0.008233</v>
      </c>
      <c r="N323" s="18">
        <v>0.007717</v>
      </c>
      <c r="O323" s="18">
        <v>0.00841</v>
      </c>
      <c r="P323" s="18">
        <v>0.008876</v>
      </c>
      <c r="Q323" s="18">
        <v>0.007796</v>
      </c>
      <c r="R323" s="18">
        <v>0.007252</v>
      </c>
      <c r="S323" s="18">
        <v>0.009818</v>
      </c>
      <c r="T323" s="18">
        <v>0.012496</v>
      </c>
      <c r="U323" s="18">
        <v>0.011806</v>
      </c>
      <c r="V323" s="18">
        <v>0.008953</v>
      </c>
      <c r="W323" s="18">
        <v>0.008363</v>
      </c>
      <c r="X323" s="18">
        <v>0.008499</v>
      </c>
      <c r="Y323" s="18">
        <v>0.007414</v>
      </c>
      <c r="Z323" s="18">
        <v>0.007239</v>
      </c>
      <c r="AA323" s="18">
        <v>0.006423</v>
      </c>
      <c r="AB323" s="18">
        <v>0.005411</v>
      </c>
      <c r="AC323" s="18">
        <v>0.004876</v>
      </c>
      <c r="AD323" s="18">
        <v>0.006439</v>
      </c>
      <c r="AE323" s="18">
        <v>0.007053</v>
      </c>
      <c r="AF323" s="18">
        <v>0.005116</v>
      </c>
      <c r="AG323" s="18">
        <v>0.00393</v>
      </c>
      <c r="AH323" s="18">
        <v>0.003777</v>
      </c>
      <c r="AI323" s="18">
        <v>0.002685</v>
      </c>
      <c r="AJ323" s="18">
        <v>8.23E-4</v>
      </c>
      <c r="AK323" s="18">
        <v>0.003255</v>
      </c>
      <c r="AL323" s="2">
        <v>0.0</v>
      </c>
      <c r="AM323" s="2">
        <v>0.0</v>
      </c>
      <c r="AN323" s="2">
        <v>0.0</v>
      </c>
      <c r="AO323" s="2">
        <v>0.0</v>
      </c>
      <c r="AP323" s="20">
        <v>0.0</v>
      </c>
      <c r="AQ323" s="20">
        <v>0.0</v>
      </c>
      <c r="AR323" s="20">
        <v>0.0</v>
      </c>
      <c r="AS323" s="20">
        <v>0.0</v>
      </c>
      <c r="AT323" s="2">
        <f>AVERAGE(L323:AK323)</f>
        <v>0.006992807692</v>
      </c>
      <c r="AU323" s="12">
        <f t="shared" si="29"/>
        <v>0.006992807692</v>
      </c>
      <c r="AV323" s="14"/>
      <c r="AW323" s="15"/>
      <c r="AX323" s="15"/>
    </row>
    <row r="324" ht="15.75" customHeight="1">
      <c r="A324" s="7">
        <v>231103.0</v>
      </c>
      <c r="B324" s="7">
        <v>65.0</v>
      </c>
      <c r="C324" s="7">
        <v>2.0</v>
      </c>
      <c r="D324" s="8" t="s">
        <v>214</v>
      </c>
      <c r="E324" s="7">
        <v>10.0</v>
      </c>
      <c r="F324" s="8" t="s">
        <v>56</v>
      </c>
      <c r="G324" s="8" t="s">
        <v>49</v>
      </c>
      <c r="H324" s="8" t="s">
        <v>50</v>
      </c>
      <c r="I324" s="22" t="s">
        <v>185</v>
      </c>
      <c r="J324" s="22" t="s">
        <v>52</v>
      </c>
      <c r="K324" s="11" t="s">
        <v>59</v>
      </c>
      <c r="L324" s="18">
        <v>0.008948</v>
      </c>
      <c r="M324" s="18">
        <v>0.007067</v>
      </c>
      <c r="N324" s="18">
        <v>0.006166</v>
      </c>
      <c r="O324" s="18">
        <v>0.005302</v>
      </c>
      <c r="P324" s="18">
        <v>0.004492</v>
      </c>
      <c r="Q324" s="18">
        <v>0.004638</v>
      </c>
      <c r="R324" s="18">
        <v>0.00555</v>
      </c>
      <c r="S324" s="18">
        <v>0.006418</v>
      </c>
      <c r="T324" s="18">
        <v>0.006957</v>
      </c>
      <c r="U324" s="18">
        <v>0.006362</v>
      </c>
      <c r="V324" s="18">
        <v>0.005693</v>
      </c>
      <c r="W324" s="18">
        <v>0.005618</v>
      </c>
      <c r="X324" s="18">
        <v>0.005332</v>
      </c>
      <c r="Y324" s="18">
        <v>0.006418</v>
      </c>
      <c r="Z324" s="18">
        <v>0.006647</v>
      </c>
      <c r="AA324" s="18">
        <v>0.005363</v>
      </c>
      <c r="AB324" s="18">
        <v>0.005761</v>
      </c>
      <c r="AC324" s="18">
        <v>0.007792</v>
      </c>
      <c r="AD324" s="18">
        <v>0.008455</v>
      </c>
      <c r="AE324" s="18">
        <v>0.006906</v>
      </c>
      <c r="AF324" s="18">
        <v>0.005585</v>
      </c>
      <c r="AG324" s="18">
        <v>0.00543</v>
      </c>
      <c r="AH324" s="18">
        <v>0.004844</v>
      </c>
      <c r="AI324" s="18">
        <v>0.004221</v>
      </c>
      <c r="AJ324" s="18">
        <v>0.003148</v>
      </c>
      <c r="AK324" s="18">
        <v>0.001081</v>
      </c>
      <c r="AL324" s="18">
        <v>2.65E-4</v>
      </c>
      <c r="AM324" s="18">
        <v>6.01E-4</v>
      </c>
      <c r="AN324" s="18">
        <v>6.07E-4</v>
      </c>
      <c r="AO324" s="18">
        <v>0.0</v>
      </c>
      <c r="AP324" s="20">
        <v>0.0</v>
      </c>
      <c r="AQ324" s="20">
        <v>0.0</v>
      </c>
      <c r="AR324" s="20">
        <v>0.0</v>
      </c>
      <c r="AS324" s="20">
        <v>0.0</v>
      </c>
      <c r="AT324" s="2">
        <f>AVERAGE(L324:AN324)</f>
        <v>0.005229896552</v>
      </c>
      <c r="AU324" s="12">
        <f t="shared" si="29"/>
        <v>0.005229896552</v>
      </c>
      <c r="AV324" s="14"/>
      <c r="AW324" s="15"/>
      <c r="AX324" s="15"/>
    </row>
    <row r="325" ht="15.75" customHeight="1">
      <c r="A325" s="7">
        <v>231103.0</v>
      </c>
      <c r="B325" s="7">
        <v>65.0</v>
      </c>
      <c r="C325" s="7">
        <v>2.0</v>
      </c>
      <c r="D325" s="8" t="s">
        <v>215</v>
      </c>
      <c r="E325" s="7">
        <v>10.0</v>
      </c>
      <c r="F325" s="8" t="s">
        <v>56</v>
      </c>
      <c r="G325" s="8" t="s">
        <v>49</v>
      </c>
      <c r="H325" s="8" t="s">
        <v>65</v>
      </c>
      <c r="I325" s="22" t="s">
        <v>185</v>
      </c>
      <c r="J325" s="22" t="s">
        <v>52</v>
      </c>
      <c r="K325" s="11" t="s">
        <v>59</v>
      </c>
      <c r="L325" s="18">
        <v>0.005488</v>
      </c>
      <c r="M325" s="18">
        <v>0.005515</v>
      </c>
      <c r="N325" s="18">
        <v>0.006725</v>
      </c>
      <c r="O325" s="18">
        <v>0.008263</v>
      </c>
      <c r="P325" s="18">
        <v>0.007727</v>
      </c>
      <c r="Q325" s="18">
        <v>0.006471</v>
      </c>
      <c r="R325" s="18">
        <v>0.006894</v>
      </c>
      <c r="S325" s="18">
        <v>0.007224</v>
      </c>
      <c r="T325" s="18">
        <v>0.006452</v>
      </c>
      <c r="U325" s="18">
        <v>0.006145</v>
      </c>
      <c r="V325" s="18">
        <v>0.005588</v>
      </c>
      <c r="W325" s="18">
        <v>0.005456</v>
      </c>
      <c r="X325" s="18">
        <v>0.006384</v>
      </c>
      <c r="Y325" s="18">
        <v>0.006792</v>
      </c>
      <c r="Z325" s="18">
        <v>0.005274</v>
      </c>
      <c r="AA325" s="18">
        <v>0.004485</v>
      </c>
      <c r="AB325" s="18">
        <v>0.004627</v>
      </c>
      <c r="AC325" s="18">
        <v>0.004493</v>
      </c>
      <c r="AD325" s="18">
        <v>0.004239</v>
      </c>
      <c r="AE325" s="18">
        <v>0.00362</v>
      </c>
      <c r="AF325" s="18">
        <v>0.002626</v>
      </c>
      <c r="AG325" s="18">
        <v>0.001461</v>
      </c>
      <c r="AH325" s="18">
        <v>5.89E-4</v>
      </c>
      <c r="AI325" s="18">
        <v>1.11E-4</v>
      </c>
      <c r="AJ325" s="18">
        <v>1.78E-4</v>
      </c>
      <c r="AK325" s="18">
        <v>0.0</v>
      </c>
      <c r="AL325" s="18">
        <v>0.0</v>
      </c>
      <c r="AM325" s="18">
        <v>0.0</v>
      </c>
      <c r="AN325" s="18">
        <v>0.0</v>
      </c>
      <c r="AO325" s="18">
        <v>0.0</v>
      </c>
      <c r="AP325" s="20">
        <v>0.0</v>
      </c>
      <c r="AQ325" s="20">
        <v>0.0</v>
      </c>
      <c r="AR325" s="20">
        <v>0.0</v>
      </c>
      <c r="AS325" s="20">
        <v>0.0</v>
      </c>
      <c r="AT325" s="2">
        <f>AVERAGE(L325:AJ325)</f>
        <v>0.00491308</v>
      </c>
      <c r="AU325" s="12">
        <f t="shared" si="29"/>
        <v>0.00491308</v>
      </c>
      <c r="AV325" s="14"/>
      <c r="AW325" s="15"/>
      <c r="AX325" s="15"/>
    </row>
    <row r="326" ht="15.75" customHeight="1">
      <c r="A326" s="7">
        <v>231103.0</v>
      </c>
      <c r="B326" s="7">
        <v>65.0</v>
      </c>
      <c r="C326" s="7">
        <v>2.0</v>
      </c>
      <c r="D326" s="8" t="s">
        <v>216</v>
      </c>
      <c r="E326" s="7">
        <v>10.0</v>
      </c>
      <c r="F326" s="8" t="s">
        <v>56</v>
      </c>
      <c r="G326" s="8" t="s">
        <v>49</v>
      </c>
      <c r="H326" s="8" t="s">
        <v>61</v>
      </c>
      <c r="I326" s="22" t="s">
        <v>185</v>
      </c>
      <c r="J326" s="22" t="s">
        <v>52</v>
      </c>
      <c r="K326" s="11" t="s">
        <v>59</v>
      </c>
      <c r="L326" s="18">
        <v>0.007848</v>
      </c>
      <c r="M326" s="18">
        <v>0.007964</v>
      </c>
      <c r="N326" s="18">
        <v>0.008643</v>
      </c>
      <c r="O326" s="18">
        <v>0.008913</v>
      </c>
      <c r="P326" s="18">
        <v>0.007537</v>
      </c>
      <c r="Q326" s="18">
        <v>0.007011</v>
      </c>
      <c r="R326" s="18">
        <v>0.008232</v>
      </c>
      <c r="S326" s="18">
        <v>0.009051</v>
      </c>
      <c r="T326" s="18">
        <v>0.008288</v>
      </c>
      <c r="U326" s="18">
        <v>0.006895</v>
      </c>
      <c r="V326" s="18">
        <v>0.006684</v>
      </c>
      <c r="W326" s="18">
        <v>0.006705</v>
      </c>
      <c r="X326" s="18">
        <v>0.006278</v>
      </c>
      <c r="Y326" s="18">
        <v>0.006414</v>
      </c>
      <c r="Z326" s="18">
        <v>0.008269</v>
      </c>
      <c r="AA326" s="18">
        <v>0.008573</v>
      </c>
      <c r="AB326" s="18">
        <v>0.006889</v>
      </c>
      <c r="AC326" s="18">
        <v>0.00532</v>
      </c>
      <c r="AD326" s="18">
        <v>0.004064</v>
      </c>
      <c r="AE326" s="18">
        <v>0.002872</v>
      </c>
      <c r="AF326" s="18">
        <v>0.001178</v>
      </c>
      <c r="AG326" s="18">
        <v>3.71E-4</v>
      </c>
      <c r="AH326" s="18">
        <v>1.5E-4</v>
      </c>
      <c r="AI326" s="18">
        <v>5.36E-5</v>
      </c>
      <c r="AJ326" s="18">
        <v>1.36E-4</v>
      </c>
      <c r="AK326" s="18">
        <v>4.25E-4</v>
      </c>
      <c r="AL326" s="18">
        <v>5.12E-4</v>
      </c>
      <c r="AM326" s="18">
        <v>1.81E-4</v>
      </c>
      <c r="AN326" s="18">
        <v>0.0</v>
      </c>
      <c r="AO326" s="18">
        <v>0.0</v>
      </c>
      <c r="AP326" s="20">
        <v>0.0</v>
      </c>
      <c r="AQ326" s="20">
        <v>0.0</v>
      </c>
      <c r="AR326" s="20">
        <v>0.0</v>
      </c>
      <c r="AS326" s="20">
        <v>0.0</v>
      </c>
      <c r="AT326" s="2">
        <f>AVERAGE(L326:AM326)</f>
        <v>0.005194878571</v>
      </c>
      <c r="AU326" s="12">
        <f t="shared" si="29"/>
        <v>0.005194878571</v>
      </c>
      <c r="AV326" s="14"/>
      <c r="AW326" s="15"/>
      <c r="AX326" s="15"/>
    </row>
    <row r="327" ht="15.75" customHeight="1">
      <c r="A327" s="7">
        <v>231103.0</v>
      </c>
      <c r="B327" s="7">
        <v>65.0</v>
      </c>
      <c r="C327" s="7">
        <v>2.0</v>
      </c>
      <c r="D327" s="8" t="s">
        <v>217</v>
      </c>
      <c r="E327" s="7">
        <v>10.0</v>
      </c>
      <c r="F327" s="8" t="s">
        <v>56</v>
      </c>
      <c r="G327" s="8" t="s">
        <v>67</v>
      </c>
      <c r="H327" s="8" t="s">
        <v>65</v>
      </c>
      <c r="I327" s="22" t="s">
        <v>185</v>
      </c>
      <c r="J327" s="22" t="s">
        <v>52</v>
      </c>
      <c r="K327" s="11" t="s">
        <v>59</v>
      </c>
      <c r="L327" s="18">
        <v>0.016832</v>
      </c>
      <c r="M327" s="18">
        <v>0.013305</v>
      </c>
      <c r="N327" s="18">
        <v>0.010579</v>
      </c>
      <c r="O327" s="18">
        <v>0.009727</v>
      </c>
      <c r="P327" s="18">
        <v>0.010685</v>
      </c>
      <c r="Q327" s="18">
        <v>0.012131</v>
      </c>
      <c r="R327" s="18">
        <v>0.012633</v>
      </c>
      <c r="S327" s="18">
        <v>0.011643</v>
      </c>
      <c r="T327" s="18">
        <v>0.011333</v>
      </c>
      <c r="U327" s="18">
        <v>0.013104</v>
      </c>
      <c r="V327" s="18">
        <v>0.014645</v>
      </c>
      <c r="W327" s="18">
        <v>0.01527</v>
      </c>
      <c r="X327" s="18">
        <v>0.015604</v>
      </c>
      <c r="Y327" s="18">
        <v>0.012608</v>
      </c>
      <c r="Z327" s="18">
        <v>0.009439</v>
      </c>
      <c r="AA327" s="18">
        <v>0.010034</v>
      </c>
      <c r="AB327" s="18">
        <v>0.009196</v>
      </c>
      <c r="AC327" s="18">
        <v>0.007169</v>
      </c>
      <c r="AD327" s="18">
        <v>0.005219</v>
      </c>
      <c r="AE327" s="18">
        <v>0.003359</v>
      </c>
      <c r="AF327" s="18">
        <v>0.002807</v>
      </c>
      <c r="AG327" s="18">
        <v>0.001896</v>
      </c>
      <c r="AH327" s="18">
        <v>5.78E-4</v>
      </c>
      <c r="AI327" s="18">
        <v>1.37E-4</v>
      </c>
      <c r="AJ327" s="18">
        <v>0.0</v>
      </c>
      <c r="AK327" s="18">
        <v>0.0</v>
      </c>
      <c r="AL327" s="18">
        <v>0.0</v>
      </c>
      <c r="AM327" s="18">
        <v>0.0</v>
      </c>
      <c r="AN327" s="18">
        <v>0.0</v>
      </c>
      <c r="AO327" s="2">
        <v>0.0</v>
      </c>
      <c r="AP327" s="20">
        <v>0.0</v>
      </c>
      <c r="AQ327" s="20">
        <v>0.0</v>
      </c>
      <c r="AR327" s="20">
        <v>0.0</v>
      </c>
      <c r="AS327" s="20">
        <v>0.0</v>
      </c>
      <c r="AT327" s="2">
        <f>AVERAGE(L327:AI327)</f>
        <v>0.009580541667</v>
      </c>
      <c r="AU327" s="12">
        <f t="shared" si="29"/>
        <v>0.009580541667</v>
      </c>
      <c r="AV327" s="14"/>
      <c r="AW327" s="15"/>
      <c r="AX327" s="15"/>
    </row>
    <row r="328" ht="15.75" customHeight="1">
      <c r="A328" s="7">
        <v>231103.0</v>
      </c>
      <c r="B328" s="7">
        <v>65.0</v>
      </c>
      <c r="C328" s="7">
        <v>2.0</v>
      </c>
      <c r="D328" s="8" t="s">
        <v>218</v>
      </c>
      <c r="E328" s="7">
        <v>10.0</v>
      </c>
      <c r="F328" s="8" t="s">
        <v>56</v>
      </c>
      <c r="G328" s="8" t="s">
        <v>67</v>
      </c>
      <c r="H328" s="8" t="s">
        <v>61</v>
      </c>
      <c r="I328" s="22" t="s">
        <v>185</v>
      </c>
      <c r="J328" s="22" t="s">
        <v>52</v>
      </c>
      <c r="K328" s="11" t="s">
        <v>59</v>
      </c>
      <c r="L328" s="18">
        <v>0.022931</v>
      </c>
      <c r="M328" s="18">
        <v>0.025078</v>
      </c>
      <c r="N328" s="18">
        <v>0.028102</v>
      </c>
      <c r="O328" s="18">
        <v>0.029981</v>
      </c>
      <c r="P328" s="18">
        <v>0.029397</v>
      </c>
      <c r="Q328" s="18">
        <v>0.03035</v>
      </c>
      <c r="R328" s="18">
        <v>0.032431</v>
      </c>
      <c r="S328" s="18">
        <v>0.031891</v>
      </c>
      <c r="T328" s="18">
        <v>0.030562</v>
      </c>
      <c r="U328" s="18">
        <v>0.028395</v>
      </c>
      <c r="V328" s="18">
        <v>0.026188</v>
      </c>
      <c r="W328" s="18">
        <v>0.026403</v>
      </c>
      <c r="X328" s="18">
        <v>0.027052</v>
      </c>
      <c r="Y328" s="18">
        <v>0.026304</v>
      </c>
      <c r="Z328" s="18">
        <v>0.027461</v>
      </c>
      <c r="AA328" s="18">
        <v>0.026876</v>
      </c>
      <c r="AB328" s="18">
        <v>0.02494</v>
      </c>
      <c r="AC328" s="18">
        <v>0.024114</v>
      </c>
      <c r="AD328" s="18">
        <v>0.021679</v>
      </c>
      <c r="AE328" s="18">
        <v>0.019713</v>
      </c>
      <c r="AF328" s="18">
        <v>0.018016</v>
      </c>
      <c r="AG328" s="18">
        <v>0.013552</v>
      </c>
      <c r="AH328" s="18">
        <v>0.008148</v>
      </c>
      <c r="AI328" s="18">
        <v>0.004425</v>
      </c>
      <c r="AJ328" s="18">
        <v>0.001943</v>
      </c>
      <c r="AK328" s="18">
        <v>5.6E-4</v>
      </c>
      <c r="AL328" s="18">
        <v>4.66E-5</v>
      </c>
      <c r="AM328" s="18">
        <v>3.58E-4</v>
      </c>
      <c r="AN328" s="18">
        <v>0.001233</v>
      </c>
      <c r="AO328" s="2">
        <v>0.0</v>
      </c>
      <c r="AP328" s="20">
        <v>0.0</v>
      </c>
      <c r="AQ328" s="20">
        <v>0.0</v>
      </c>
      <c r="AR328" s="20">
        <v>0.0</v>
      </c>
      <c r="AS328" s="20">
        <v>0.0</v>
      </c>
      <c r="AT328" s="2">
        <f t="shared" ref="AT328:AT329" si="36">AVERAGE(L328:AN328)</f>
        <v>0.02028033103</v>
      </c>
      <c r="AU328" s="12">
        <f t="shared" si="29"/>
        <v>0.02028033103</v>
      </c>
      <c r="AV328" s="14"/>
      <c r="AW328" s="15"/>
      <c r="AX328" s="15"/>
    </row>
    <row r="329" ht="15.75" customHeight="1">
      <c r="A329" s="7">
        <v>231103.0</v>
      </c>
      <c r="B329" s="7">
        <v>65.0</v>
      </c>
      <c r="C329" s="7">
        <v>2.0</v>
      </c>
      <c r="D329" s="8" t="s">
        <v>219</v>
      </c>
      <c r="E329" s="7">
        <v>10.0</v>
      </c>
      <c r="F329" s="8" t="s">
        <v>56</v>
      </c>
      <c r="G329" s="8" t="s">
        <v>67</v>
      </c>
      <c r="H329" s="8" t="s">
        <v>50</v>
      </c>
      <c r="I329" s="22" t="s">
        <v>185</v>
      </c>
      <c r="J329" s="22" t="s">
        <v>52</v>
      </c>
      <c r="K329" s="11" t="s">
        <v>59</v>
      </c>
      <c r="L329" s="18">
        <v>0.022153</v>
      </c>
      <c r="M329" s="18">
        <v>0.024395</v>
      </c>
      <c r="N329" s="18">
        <v>0.024696</v>
      </c>
      <c r="O329" s="18">
        <v>0.024918</v>
      </c>
      <c r="P329" s="18">
        <v>0.026755</v>
      </c>
      <c r="Q329" s="18">
        <v>0.026395</v>
      </c>
      <c r="R329" s="18">
        <v>0.025601</v>
      </c>
      <c r="S329" s="18">
        <v>0.026058</v>
      </c>
      <c r="T329" s="18">
        <v>0.025304</v>
      </c>
      <c r="U329" s="18">
        <v>0.024811</v>
      </c>
      <c r="V329" s="18">
        <v>0.024377</v>
      </c>
      <c r="W329" s="18">
        <v>0.024733</v>
      </c>
      <c r="X329" s="18">
        <v>0.027556</v>
      </c>
      <c r="Y329" s="18">
        <v>0.029872</v>
      </c>
      <c r="Z329" s="18">
        <v>0.030203</v>
      </c>
      <c r="AA329" s="18">
        <v>0.029758</v>
      </c>
      <c r="AB329" s="18">
        <v>0.029376</v>
      </c>
      <c r="AC329" s="18">
        <v>0.029164</v>
      </c>
      <c r="AD329" s="18">
        <v>0.03014</v>
      </c>
      <c r="AE329" s="18">
        <v>0.030689</v>
      </c>
      <c r="AF329" s="18">
        <v>0.031454</v>
      </c>
      <c r="AG329" s="18">
        <v>0.033709</v>
      </c>
      <c r="AH329" s="18">
        <v>0.033774</v>
      </c>
      <c r="AI329" s="18">
        <v>0.026655</v>
      </c>
      <c r="AJ329" s="18">
        <v>0.016982</v>
      </c>
      <c r="AK329" s="18">
        <v>0.010761</v>
      </c>
      <c r="AL329" s="18">
        <v>0.005867</v>
      </c>
      <c r="AM329" s="18">
        <v>0.002631</v>
      </c>
      <c r="AN329" s="18">
        <v>4.43E-4</v>
      </c>
      <c r="AO329" s="18">
        <v>0.0</v>
      </c>
      <c r="AP329" s="20">
        <v>0.0</v>
      </c>
      <c r="AQ329" s="20">
        <v>0.0</v>
      </c>
      <c r="AR329" s="20">
        <v>0.0</v>
      </c>
      <c r="AS329" s="20">
        <v>0.0</v>
      </c>
      <c r="AT329" s="2">
        <f t="shared" si="36"/>
        <v>0.02411137931</v>
      </c>
      <c r="AU329" s="12">
        <f t="shared" si="29"/>
        <v>0.02411137931</v>
      </c>
      <c r="AV329" s="14"/>
      <c r="AW329" s="15"/>
      <c r="AX329" s="15"/>
    </row>
    <row r="330" ht="15.75" customHeight="1">
      <c r="A330" s="7">
        <v>231103.0</v>
      </c>
      <c r="B330" s="7">
        <v>65.0</v>
      </c>
      <c r="C330" s="7">
        <v>2.0</v>
      </c>
      <c r="D330" s="8" t="s">
        <v>220</v>
      </c>
      <c r="E330" s="7">
        <v>10.0</v>
      </c>
      <c r="F330" s="8" t="s">
        <v>56</v>
      </c>
      <c r="G330" s="8" t="s">
        <v>67</v>
      </c>
      <c r="H330" s="8" t="s">
        <v>63</v>
      </c>
      <c r="I330" s="22" t="s">
        <v>185</v>
      </c>
      <c r="J330" s="22" t="s">
        <v>52</v>
      </c>
      <c r="K330" s="11" t="s">
        <v>59</v>
      </c>
      <c r="L330" s="18">
        <v>0.032234</v>
      </c>
      <c r="M330" s="18">
        <v>0.031925</v>
      </c>
      <c r="N330" s="18">
        <v>0.029556</v>
      </c>
      <c r="O330" s="18">
        <v>0.028134</v>
      </c>
      <c r="P330" s="18">
        <v>0.02958</v>
      </c>
      <c r="Q330" s="18">
        <v>0.032648</v>
      </c>
      <c r="R330" s="18">
        <v>0.032678</v>
      </c>
      <c r="S330" s="18">
        <v>0.029118</v>
      </c>
      <c r="T330" s="18">
        <v>0.029097</v>
      </c>
      <c r="U330" s="18">
        <v>0.030268</v>
      </c>
      <c r="V330" s="18">
        <v>0.031796</v>
      </c>
      <c r="W330" s="18">
        <v>0.032133</v>
      </c>
      <c r="X330" s="18">
        <v>0.029035</v>
      </c>
      <c r="Y330" s="18">
        <v>0.026688</v>
      </c>
      <c r="Z330" s="18">
        <v>0.025799</v>
      </c>
      <c r="AA330" s="18">
        <v>0.026663</v>
      </c>
      <c r="AB330" s="18">
        <v>0.02659</v>
      </c>
      <c r="AC330" s="18">
        <v>0.025026</v>
      </c>
      <c r="AD330" s="18">
        <v>0.022855</v>
      </c>
      <c r="AE330" s="18">
        <v>0.02061</v>
      </c>
      <c r="AF330" s="18">
        <v>0.018525</v>
      </c>
      <c r="AG330" s="18">
        <v>0.014795</v>
      </c>
      <c r="AH330" s="18">
        <v>0.011981</v>
      </c>
      <c r="AI330" s="18">
        <v>0.009406</v>
      </c>
      <c r="AJ330" s="18">
        <v>0.004094</v>
      </c>
      <c r="AK330" s="18">
        <v>6.63E-4</v>
      </c>
      <c r="AL330" s="18">
        <v>3.04E-4</v>
      </c>
      <c r="AM330" s="18">
        <v>1.84E-5</v>
      </c>
      <c r="AN330" s="18">
        <v>0.0</v>
      </c>
      <c r="AO330" s="2">
        <v>0.0</v>
      </c>
      <c r="AP330" s="20">
        <v>0.0</v>
      </c>
      <c r="AQ330" s="20">
        <v>0.0</v>
      </c>
      <c r="AR330" s="20">
        <v>0.0</v>
      </c>
      <c r="AS330" s="20">
        <v>0.0</v>
      </c>
      <c r="AT330" s="2">
        <f>AVERAGE(L330:AM330)</f>
        <v>0.02257926429</v>
      </c>
      <c r="AU330" s="12">
        <f t="shared" si="29"/>
        <v>0.02257926429</v>
      </c>
      <c r="AV330" s="14"/>
      <c r="AW330" s="15"/>
      <c r="AX330" s="15"/>
    </row>
    <row r="331" ht="15.75" customHeight="1">
      <c r="A331" s="7">
        <v>231128.0</v>
      </c>
      <c r="B331" s="7">
        <v>65.0</v>
      </c>
      <c r="C331" s="7">
        <v>2.0</v>
      </c>
      <c r="D331" s="8" t="s">
        <v>221</v>
      </c>
      <c r="E331" s="7">
        <v>10.0</v>
      </c>
      <c r="F331" s="8" t="s">
        <v>48</v>
      </c>
      <c r="G331" s="8" t="s">
        <v>67</v>
      </c>
      <c r="H331" s="8" t="s">
        <v>65</v>
      </c>
      <c r="I331" s="22" t="s">
        <v>185</v>
      </c>
      <c r="J331" s="22" t="s">
        <v>52</v>
      </c>
      <c r="K331" s="11" t="s">
        <v>70</v>
      </c>
      <c r="L331" s="18">
        <v>0.006152</v>
      </c>
      <c r="M331" s="18">
        <v>0.00414</v>
      </c>
      <c r="N331" s="18">
        <v>0.003508</v>
      </c>
      <c r="O331" s="18">
        <v>0.003086</v>
      </c>
      <c r="P331" s="18">
        <v>0.003016</v>
      </c>
      <c r="Q331" s="18">
        <v>0.003597</v>
      </c>
      <c r="R331" s="18">
        <v>0.003248</v>
      </c>
      <c r="S331" s="18">
        <v>0.003029</v>
      </c>
      <c r="T331" s="18">
        <v>0.003223</v>
      </c>
      <c r="U331" s="18">
        <v>0.003167</v>
      </c>
      <c r="V331" s="18">
        <v>0.002863</v>
      </c>
      <c r="W331" s="18">
        <v>0.002387</v>
      </c>
      <c r="X331" s="18">
        <v>0.002425</v>
      </c>
      <c r="Y331" s="18">
        <v>0.002618</v>
      </c>
      <c r="Z331" s="18">
        <v>0.002553</v>
      </c>
      <c r="AA331" s="18">
        <v>0.002302</v>
      </c>
      <c r="AB331" s="18">
        <v>0.002334</v>
      </c>
      <c r="AC331" s="18">
        <v>0.002037</v>
      </c>
      <c r="AD331" s="18">
        <v>0.001351</v>
      </c>
      <c r="AE331" s="18">
        <v>7.5E-4</v>
      </c>
      <c r="AF331" s="18">
        <v>3.98E-4</v>
      </c>
      <c r="AG331" s="18">
        <v>4.79E-4</v>
      </c>
      <c r="AH331" s="18">
        <v>4.64E-4</v>
      </c>
      <c r="AI331" s="18">
        <v>4.15E-4</v>
      </c>
      <c r="AJ331" s="18">
        <v>8.77E-4</v>
      </c>
      <c r="AK331" s="18">
        <v>0.00171</v>
      </c>
      <c r="AL331" s="18">
        <v>0.001504</v>
      </c>
      <c r="AM331" s="18">
        <v>8.08E-4</v>
      </c>
      <c r="AN331" s="18">
        <v>6.55E-4</v>
      </c>
      <c r="AO331" s="18">
        <v>6.19E-4</v>
      </c>
      <c r="AP331" s="20">
        <v>0.0</v>
      </c>
      <c r="AQ331" s="20">
        <v>0.0</v>
      </c>
      <c r="AR331" s="20">
        <v>0.0</v>
      </c>
      <c r="AS331" s="20">
        <v>0.0</v>
      </c>
      <c r="AT331" s="2">
        <f>AVERAGE(L331:AO331)</f>
        <v>0.0021905</v>
      </c>
      <c r="AU331" s="12">
        <f t="shared" si="29"/>
        <v>0.0021905</v>
      </c>
      <c r="AV331" s="14"/>
      <c r="AW331" s="15"/>
      <c r="AX331" s="15"/>
    </row>
    <row r="332" ht="15.75" customHeight="1">
      <c r="A332" s="7">
        <v>231128.0</v>
      </c>
      <c r="B332" s="7">
        <v>65.0</v>
      </c>
      <c r="C332" s="7">
        <v>2.0</v>
      </c>
      <c r="D332" s="8" t="s">
        <v>222</v>
      </c>
      <c r="E332" s="7">
        <v>10.0</v>
      </c>
      <c r="F332" s="8" t="s">
        <v>48</v>
      </c>
      <c r="G332" s="8" t="s">
        <v>67</v>
      </c>
      <c r="H332" s="8" t="s">
        <v>61</v>
      </c>
      <c r="I332" s="22" t="s">
        <v>185</v>
      </c>
      <c r="J332" s="22" t="s">
        <v>52</v>
      </c>
      <c r="K332" s="11" t="s">
        <v>70</v>
      </c>
      <c r="L332" s="18">
        <v>0.007352</v>
      </c>
      <c r="M332" s="18">
        <v>0.006235</v>
      </c>
      <c r="N332" s="18">
        <v>0.006298</v>
      </c>
      <c r="O332" s="18">
        <v>0.007688</v>
      </c>
      <c r="P332" s="18">
        <v>0.009265</v>
      </c>
      <c r="Q332" s="18">
        <v>0.010073</v>
      </c>
      <c r="R332" s="18">
        <v>0.011245</v>
      </c>
      <c r="S332" s="18">
        <v>0.012991</v>
      </c>
      <c r="T332" s="18">
        <v>0.012631</v>
      </c>
      <c r="U332" s="18">
        <v>0.013529</v>
      </c>
      <c r="V332" s="18">
        <v>0.01455</v>
      </c>
      <c r="W332" s="18">
        <v>0.012992</v>
      </c>
      <c r="X332" s="18">
        <v>0.011668</v>
      </c>
      <c r="Y332" s="18">
        <v>0.008227</v>
      </c>
      <c r="Z332" s="18">
        <v>0.005616</v>
      </c>
      <c r="AA332" s="18">
        <v>0.005134</v>
      </c>
      <c r="AB332" s="18">
        <v>0.005184</v>
      </c>
      <c r="AC332" s="18">
        <v>0.004803</v>
      </c>
      <c r="AD332" s="18">
        <v>0.003528</v>
      </c>
      <c r="AE332" s="18">
        <v>0.001761</v>
      </c>
      <c r="AF332" s="18">
        <v>6.85E-4</v>
      </c>
      <c r="AG332" s="18">
        <v>4.15E-4</v>
      </c>
      <c r="AH332" s="18">
        <v>1.36E-4</v>
      </c>
      <c r="AI332" s="18">
        <v>0.0</v>
      </c>
      <c r="AJ332" s="18">
        <v>0.0</v>
      </c>
      <c r="AK332" s="18">
        <v>0.0</v>
      </c>
      <c r="AL332" s="18">
        <v>1.74E-4</v>
      </c>
      <c r="AM332" s="18">
        <v>4.84E-4</v>
      </c>
      <c r="AN332" s="18">
        <v>0.0</v>
      </c>
      <c r="AO332" s="2">
        <v>0.0</v>
      </c>
      <c r="AP332" s="20">
        <v>0.0</v>
      </c>
      <c r="AQ332" s="20">
        <v>0.0</v>
      </c>
      <c r="AR332" s="20">
        <v>0.0</v>
      </c>
      <c r="AS332" s="20">
        <v>0.0</v>
      </c>
      <c r="AT332" s="2">
        <f>AVERAGE(L332:AM332)</f>
        <v>0.006166571429</v>
      </c>
      <c r="AU332" s="12">
        <f t="shared" si="29"/>
        <v>0.00690656</v>
      </c>
      <c r="AV332" s="14"/>
      <c r="AW332" s="15"/>
      <c r="AX332" s="15"/>
    </row>
    <row r="333" ht="15.75" customHeight="1">
      <c r="A333" s="7">
        <v>231128.0</v>
      </c>
      <c r="B333" s="7">
        <v>65.0</v>
      </c>
      <c r="C333" s="7">
        <v>2.0</v>
      </c>
      <c r="D333" s="8" t="s">
        <v>223</v>
      </c>
      <c r="E333" s="7">
        <v>10.0</v>
      </c>
      <c r="F333" s="8" t="s">
        <v>48</v>
      </c>
      <c r="G333" s="8" t="s">
        <v>67</v>
      </c>
      <c r="H333" s="8" t="s">
        <v>50</v>
      </c>
      <c r="I333" s="22" t="s">
        <v>185</v>
      </c>
      <c r="J333" s="22" t="s">
        <v>52</v>
      </c>
      <c r="K333" s="11" t="s">
        <v>70</v>
      </c>
      <c r="L333" s="18">
        <v>0.008164</v>
      </c>
      <c r="M333" s="18">
        <v>0.009935</v>
      </c>
      <c r="N333" s="18">
        <v>0.010806</v>
      </c>
      <c r="O333" s="18">
        <v>0.009884</v>
      </c>
      <c r="P333" s="18">
        <v>0.007553</v>
      </c>
      <c r="Q333" s="18">
        <v>0.00641</v>
      </c>
      <c r="R333" s="18">
        <v>0.008104</v>
      </c>
      <c r="S333" s="18">
        <v>0.009781</v>
      </c>
      <c r="T333" s="18">
        <v>0.009762</v>
      </c>
      <c r="U333" s="18">
        <v>0.009704</v>
      </c>
      <c r="V333" s="18">
        <v>0.008938</v>
      </c>
      <c r="W333" s="18">
        <v>0.005964</v>
      </c>
      <c r="X333" s="18">
        <v>0.005492</v>
      </c>
      <c r="Y333" s="18">
        <v>0.006302</v>
      </c>
      <c r="Z333" s="18">
        <v>0.007343</v>
      </c>
      <c r="AA333" s="18">
        <v>0.009239</v>
      </c>
      <c r="AB333" s="18">
        <v>0.008842</v>
      </c>
      <c r="AC333" s="18">
        <v>0.007298</v>
      </c>
      <c r="AD333" s="18">
        <v>0.007301</v>
      </c>
      <c r="AE333" s="18">
        <v>0.008186</v>
      </c>
      <c r="AF333" s="18">
        <v>0.010568</v>
      </c>
      <c r="AG333" s="18">
        <v>0.010568</v>
      </c>
      <c r="AH333" s="18">
        <v>0.006959</v>
      </c>
      <c r="AI333" s="18">
        <v>0.004815</v>
      </c>
      <c r="AJ333" s="18">
        <v>0.00312</v>
      </c>
      <c r="AK333" s="18">
        <v>0.002035</v>
      </c>
      <c r="AL333" s="18">
        <v>0.00237</v>
      </c>
      <c r="AM333" s="18">
        <v>0.002562</v>
      </c>
      <c r="AN333" s="18">
        <v>0.002045</v>
      </c>
      <c r="AO333" s="18">
        <v>8.06E-4</v>
      </c>
      <c r="AP333" s="20">
        <v>0.0</v>
      </c>
      <c r="AQ333" s="20">
        <v>0.0</v>
      </c>
      <c r="AR333" s="20">
        <v>0.0</v>
      </c>
      <c r="AS333" s="20">
        <v>0.0</v>
      </c>
      <c r="AT333" s="2">
        <f>AVERAGE(L333:AO333)</f>
        <v>0.007028533333</v>
      </c>
      <c r="AU333" s="12">
        <f t="shared" si="29"/>
        <v>0.007028533333</v>
      </c>
      <c r="AV333" s="14"/>
      <c r="AW333" s="15"/>
      <c r="AX333" s="15"/>
    </row>
    <row r="334" ht="15.75" customHeight="1">
      <c r="A334" s="7">
        <v>231128.0</v>
      </c>
      <c r="B334" s="7">
        <v>65.0</v>
      </c>
      <c r="C334" s="7">
        <v>2.0</v>
      </c>
      <c r="D334" s="8" t="s">
        <v>224</v>
      </c>
      <c r="E334" s="7">
        <v>10.0</v>
      </c>
      <c r="F334" s="8" t="s">
        <v>48</v>
      </c>
      <c r="G334" s="8" t="s">
        <v>49</v>
      </c>
      <c r="H334" s="8" t="s">
        <v>50</v>
      </c>
      <c r="I334" s="22" t="s">
        <v>185</v>
      </c>
      <c r="J334" s="22" t="s">
        <v>52</v>
      </c>
      <c r="K334" s="11" t="s">
        <v>70</v>
      </c>
      <c r="L334" s="18">
        <v>0.007705</v>
      </c>
      <c r="M334" s="18">
        <v>0.00564</v>
      </c>
      <c r="N334" s="18">
        <v>0.006046</v>
      </c>
      <c r="O334" s="18">
        <v>0.006823</v>
      </c>
      <c r="P334" s="18">
        <v>0.006641</v>
      </c>
      <c r="Q334" s="18">
        <v>0.007046</v>
      </c>
      <c r="R334" s="18">
        <v>0.007262</v>
      </c>
      <c r="S334" s="18">
        <v>0.007682</v>
      </c>
      <c r="T334" s="18">
        <v>0.007685</v>
      </c>
      <c r="U334" s="18">
        <v>0.007266</v>
      </c>
      <c r="V334" s="18">
        <v>0.007006</v>
      </c>
      <c r="W334" s="18">
        <v>0.006216</v>
      </c>
      <c r="X334" s="18">
        <v>0.00517</v>
      </c>
      <c r="Y334" s="18">
        <v>0.004176</v>
      </c>
      <c r="Z334" s="18">
        <v>0.003306</v>
      </c>
      <c r="AA334" s="18">
        <v>0.003304</v>
      </c>
      <c r="AB334" s="18">
        <v>0.004734</v>
      </c>
      <c r="AC334" s="18">
        <v>0.005395</v>
      </c>
      <c r="AD334" s="18">
        <v>0.00488</v>
      </c>
      <c r="AE334" s="18">
        <v>0.008154</v>
      </c>
      <c r="AF334" s="18">
        <v>0.013727</v>
      </c>
      <c r="AG334" s="18">
        <v>0.016377</v>
      </c>
      <c r="AH334" s="18">
        <v>0.018107</v>
      </c>
      <c r="AI334" s="18">
        <v>0.02186</v>
      </c>
      <c r="AJ334" s="18">
        <v>0.023283</v>
      </c>
      <c r="AK334" s="18">
        <v>0.020409</v>
      </c>
      <c r="AL334" s="18">
        <v>0.016234</v>
      </c>
      <c r="AM334" s="18">
        <v>0.011639</v>
      </c>
      <c r="AN334" s="18">
        <v>0.01215</v>
      </c>
      <c r="AO334" s="18">
        <v>0.0</v>
      </c>
      <c r="AP334" s="20">
        <v>0.0</v>
      </c>
      <c r="AQ334" s="20">
        <v>0.0</v>
      </c>
      <c r="AR334" s="20">
        <v>0.0</v>
      </c>
      <c r="AS334" s="20">
        <v>0.0</v>
      </c>
      <c r="AT334" s="2">
        <f>AVERAGE(L334:AN334)</f>
        <v>0.009514586207</v>
      </c>
      <c r="AU334" s="12">
        <f t="shared" si="29"/>
        <v>0.009514586207</v>
      </c>
      <c r="AV334" s="14"/>
      <c r="AW334" s="15"/>
      <c r="AX334" s="15"/>
    </row>
    <row r="335" ht="15.75" customHeight="1">
      <c r="A335" s="7">
        <v>231128.0</v>
      </c>
      <c r="B335" s="7">
        <v>65.0</v>
      </c>
      <c r="C335" s="7">
        <v>2.0</v>
      </c>
      <c r="D335" s="8" t="s">
        <v>225</v>
      </c>
      <c r="E335" s="7">
        <v>10.0</v>
      </c>
      <c r="F335" s="8" t="s">
        <v>48</v>
      </c>
      <c r="G335" s="8" t="s">
        <v>49</v>
      </c>
      <c r="H335" s="8" t="s">
        <v>61</v>
      </c>
      <c r="I335" s="22" t="s">
        <v>185</v>
      </c>
      <c r="J335" s="22" t="s">
        <v>52</v>
      </c>
      <c r="K335" s="11" t="s">
        <v>70</v>
      </c>
      <c r="L335" s="18">
        <v>0.004018</v>
      </c>
      <c r="M335" s="18">
        <v>0.005099</v>
      </c>
      <c r="N335" s="18">
        <v>0.008057</v>
      </c>
      <c r="O335" s="18">
        <v>0.010068</v>
      </c>
      <c r="P335" s="18">
        <v>0.009793</v>
      </c>
      <c r="Q335" s="18">
        <v>0.008893</v>
      </c>
      <c r="R335" s="18">
        <v>0.007234</v>
      </c>
      <c r="S335" s="18">
        <v>0.004759</v>
      </c>
      <c r="T335" s="18">
        <v>0.003537</v>
      </c>
      <c r="U335" s="18">
        <v>0.004378</v>
      </c>
      <c r="V335" s="18">
        <v>0.004453</v>
      </c>
      <c r="W335" s="18">
        <v>0.004996</v>
      </c>
      <c r="X335" s="18">
        <v>0.005612</v>
      </c>
      <c r="Y335" s="18">
        <v>0.004538</v>
      </c>
      <c r="Z335" s="18">
        <v>0.003442</v>
      </c>
      <c r="AA335" s="18">
        <v>0.002672</v>
      </c>
      <c r="AB335" s="18">
        <v>0.001842</v>
      </c>
      <c r="AC335" s="18">
        <v>0.001079</v>
      </c>
      <c r="AD335" s="18">
        <v>6.88E-4</v>
      </c>
      <c r="AE335" s="18">
        <v>3.88E-4</v>
      </c>
      <c r="AF335" s="18">
        <v>2.39E-4</v>
      </c>
      <c r="AG335" s="18">
        <v>2.08E-4</v>
      </c>
      <c r="AH335" s="18">
        <v>2.19E-4</v>
      </c>
      <c r="AI335" s="18">
        <v>0.001268</v>
      </c>
      <c r="AJ335" s="18">
        <v>0.001452</v>
      </c>
      <c r="AK335" s="18">
        <v>3.53E-4</v>
      </c>
      <c r="AL335" s="18">
        <v>0.001461</v>
      </c>
      <c r="AM335" s="18">
        <v>0.007961</v>
      </c>
      <c r="AN335" s="18">
        <v>0.020146</v>
      </c>
      <c r="AO335" s="18">
        <v>0.038636</v>
      </c>
      <c r="AP335" s="20">
        <v>0.0</v>
      </c>
      <c r="AQ335" s="20">
        <v>0.0</v>
      </c>
      <c r="AR335" s="20">
        <v>0.0</v>
      </c>
      <c r="AS335" s="20">
        <v>0.0</v>
      </c>
      <c r="AT335" s="2">
        <f>AVERAGE(L335:AO335)</f>
        <v>0.005582966667</v>
      </c>
      <c r="AU335" s="12">
        <f t="shared" si="29"/>
        <v>0.005582966667</v>
      </c>
      <c r="AV335" s="14"/>
      <c r="AW335" s="15"/>
      <c r="AX335" s="15"/>
    </row>
    <row r="336" ht="15.75" customHeight="1">
      <c r="A336" s="7">
        <v>231128.0</v>
      </c>
      <c r="B336" s="7">
        <v>65.0</v>
      </c>
      <c r="C336" s="7">
        <v>2.0</v>
      </c>
      <c r="D336" s="8" t="s">
        <v>226</v>
      </c>
      <c r="E336" s="7">
        <v>10.0</v>
      </c>
      <c r="F336" s="8" t="s">
        <v>48</v>
      </c>
      <c r="G336" s="8" t="s">
        <v>49</v>
      </c>
      <c r="H336" s="8" t="s">
        <v>65</v>
      </c>
      <c r="I336" s="22" t="s">
        <v>185</v>
      </c>
      <c r="J336" s="22" t="s">
        <v>52</v>
      </c>
      <c r="K336" s="11" t="s">
        <v>70</v>
      </c>
      <c r="L336" s="18">
        <v>0.01041</v>
      </c>
      <c r="M336" s="18">
        <v>0.010434</v>
      </c>
      <c r="N336" s="18">
        <v>0.009547</v>
      </c>
      <c r="O336" s="18">
        <v>0.007691</v>
      </c>
      <c r="P336" s="18">
        <v>0.006475</v>
      </c>
      <c r="Q336" s="18">
        <v>0.006435</v>
      </c>
      <c r="R336" s="18">
        <v>0.006572</v>
      </c>
      <c r="S336" s="18">
        <v>0.006334</v>
      </c>
      <c r="T336" s="18">
        <v>0.005815</v>
      </c>
      <c r="U336" s="18">
        <v>0.005137</v>
      </c>
      <c r="V336" s="18">
        <v>0.003519</v>
      </c>
      <c r="W336" s="18">
        <v>0.002983</v>
      </c>
      <c r="X336" s="18">
        <v>0.002651</v>
      </c>
      <c r="Y336" s="18">
        <v>0.001068</v>
      </c>
      <c r="Z336" s="18">
        <v>3.9E-4</v>
      </c>
      <c r="AA336" s="18">
        <v>1.57E-4</v>
      </c>
      <c r="AB336" s="18">
        <v>4.01E-5</v>
      </c>
      <c r="AC336" s="18">
        <v>1.91E-4</v>
      </c>
      <c r="AD336" s="18">
        <v>4.62E-4</v>
      </c>
      <c r="AE336" s="18">
        <v>3.45E-4</v>
      </c>
      <c r="AF336" s="18">
        <v>5.39E-4</v>
      </c>
      <c r="AG336" s="18">
        <v>0.001119</v>
      </c>
      <c r="AH336" s="18">
        <v>0.001383</v>
      </c>
      <c r="AI336" s="18">
        <v>9.11E-4</v>
      </c>
      <c r="AJ336" s="18">
        <v>1.75E-4</v>
      </c>
      <c r="AK336" s="18">
        <v>1.24E-5</v>
      </c>
      <c r="AL336" s="18">
        <v>4.96E-5</v>
      </c>
      <c r="AM336" s="18">
        <v>1.42E-4</v>
      </c>
      <c r="AN336" s="18">
        <v>0.0</v>
      </c>
      <c r="AO336" s="2">
        <v>0.0</v>
      </c>
      <c r="AP336" s="20">
        <v>0.0</v>
      </c>
      <c r="AQ336" s="20">
        <v>0.0</v>
      </c>
      <c r="AR336" s="20">
        <v>0.0</v>
      </c>
      <c r="AS336" s="20">
        <v>0.0</v>
      </c>
      <c r="AT336" s="2">
        <f>AVERAGE(L336:AM336)</f>
        <v>0.003249539286</v>
      </c>
      <c r="AU336" s="12">
        <f t="shared" si="29"/>
        <v>0.003249539286</v>
      </c>
      <c r="AV336" s="14"/>
      <c r="AW336" s="15"/>
      <c r="AX336" s="15"/>
    </row>
    <row r="337" ht="15.75" customHeight="1">
      <c r="A337" s="7">
        <v>240115.0</v>
      </c>
      <c r="B337" s="7">
        <v>73.0</v>
      </c>
      <c r="C337" s="7">
        <v>3.0</v>
      </c>
      <c r="D337" s="8" t="s">
        <v>227</v>
      </c>
      <c r="E337" s="7">
        <v>10.0</v>
      </c>
      <c r="F337" s="8" t="s">
        <v>48</v>
      </c>
      <c r="G337" s="8" t="s">
        <v>49</v>
      </c>
      <c r="H337" s="8" t="s">
        <v>65</v>
      </c>
      <c r="I337" s="22" t="s">
        <v>185</v>
      </c>
      <c r="J337" s="22" t="s">
        <v>52</v>
      </c>
      <c r="K337" s="11" t="s">
        <v>76</v>
      </c>
      <c r="L337" s="18">
        <v>0.003324</v>
      </c>
      <c r="M337" s="18">
        <v>0.002539</v>
      </c>
      <c r="N337" s="18">
        <v>0.003034</v>
      </c>
      <c r="O337" s="18">
        <v>0.003779</v>
      </c>
      <c r="P337" s="18">
        <v>0.004798</v>
      </c>
      <c r="Q337" s="18">
        <v>0.006321</v>
      </c>
      <c r="R337" s="18">
        <v>0.00669</v>
      </c>
      <c r="S337" s="18">
        <v>0.005356</v>
      </c>
      <c r="T337" s="18">
        <v>0.004101</v>
      </c>
      <c r="U337" s="18">
        <v>0.003163</v>
      </c>
      <c r="V337" s="18">
        <v>0.002811</v>
      </c>
      <c r="W337" s="18">
        <v>0.002754</v>
      </c>
      <c r="X337" s="18">
        <v>0.001984</v>
      </c>
      <c r="Y337" s="18">
        <v>0.001658</v>
      </c>
      <c r="Z337" s="18">
        <v>0.001191</v>
      </c>
      <c r="AA337" s="18">
        <v>7.71E-4</v>
      </c>
      <c r="AB337" s="18">
        <v>5.86E-4</v>
      </c>
      <c r="AC337" s="18">
        <v>2.44E-4</v>
      </c>
      <c r="AD337" s="18">
        <v>3.97E-5</v>
      </c>
      <c r="AE337" s="18">
        <v>9.3E-5</v>
      </c>
      <c r="AF337" s="18">
        <v>5.35E-5</v>
      </c>
      <c r="AG337" s="18">
        <v>0.0</v>
      </c>
      <c r="AH337" s="18">
        <v>0.0</v>
      </c>
      <c r="AI337" s="18">
        <v>0.0</v>
      </c>
      <c r="AJ337" s="18">
        <v>0.0</v>
      </c>
      <c r="AK337" s="18">
        <v>0.0</v>
      </c>
      <c r="AL337" s="2">
        <v>0.0</v>
      </c>
      <c r="AM337" s="2">
        <v>0.0</v>
      </c>
      <c r="AN337" s="2">
        <v>0.0</v>
      </c>
      <c r="AO337" s="2">
        <v>0.0</v>
      </c>
      <c r="AP337" s="20">
        <v>0.0</v>
      </c>
      <c r="AQ337" s="20">
        <v>0.0</v>
      </c>
      <c r="AR337" s="20">
        <v>0.0</v>
      </c>
      <c r="AS337" s="20">
        <v>0.0</v>
      </c>
      <c r="AT337" s="2">
        <f>AVERAGE(L337:AF337)</f>
        <v>0.002632866667</v>
      </c>
      <c r="AU337" s="12">
        <f t="shared" si="29"/>
        <v>0.002632866667</v>
      </c>
      <c r="AV337" s="14"/>
      <c r="AW337" s="15"/>
      <c r="AX337" s="15"/>
    </row>
    <row r="338" ht="15.75" customHeight="1">
      <c r="A338" s="7">
        <v>240115.0</v>
      </c>
      <c r="B338" s="7">
        <v>73.0</v>
      </c>
      <c r="C338" s="7">
        <v>3.0</v>
      </c>
      <c r="D338" s="8" t="s">
        <v>228</v>
      </c>
      <c r="E338" s="7">
        <v>10.0</v>
      </c>
      <c r="F338" s="8" t="s">
        <v>48</v>
      </c>
      <c r="G338" s="8" t="s">
        <v>49</v>
      </c>
      <c r="H338" s="8" t="s">
        <v>61</v>
      </c>
      <c r="I338" s="22" t="s">
        <v>185</v>
      </c>
      <c r="J338" s="22" t="s">
        <v>52</v>
      </c>
      <c r="K338" s="11" t="s">
        <v>76</v>
      </c>
      <c r="L338" s="18">
        <v>0.00212</v>
      </c>
      <c r="M338" s="18">
        <v>0.003613</v>
      </c>
      <c r="N338" s="18">
        <v>0.00376</v>
      </c>
      <c r="O338" s="18">
        <v>0.003834</v>
      </c>
      <c r="P338" s="18">
        <v>0.005017</v>
      </c>
      <c r="Q338" s="18">
        <v>0.005081</v>
      </c>
      <c r="R338" s="18">
        <v>0.004929</v>
      </c>
      <c r="S338" s="18">
        <v>0.004559</v>
      </c>
      <c r="T338" s="18">
        <v>0.003944</v>
      </c>
      <c r="U338" s="18">
        <v>0.003693</v>
      </c>
      <c r="V338" s="18">
        <v>0.003073</v>
      </c>
      <c r="W338" s="18">
        <v>0.0029</v>
      </c>
      <c r="X338" s="18">
        <v>0.002773</v>
      </c>
      <c r="Y338" s="18">
        <v>0.002414</v>
      </c>
      <c r="Z338" s="18">
        <v>0.001981</v>
      </c>
      <c r="AA338" s="18">
        <v>0.001193</v>
      </c>
      <c r="AB338" s="18">
        <v>8.02E-4</v>
      </c>
      <c r="AC338" s="18">
        <v>7.28E-4</v>
      </c>
      <c r="AD338" s="18">
        <v>3.78E-4</v>
      </c>
      <c r="AE338" s="18">
        <v>5.86E-5</v>
      </c>
      <c r="AF338" s="18">
        <v>0.0</v>
      </c>
      <c r="AG338" s="18">
        <v>0.0</v>
      </c>
      <c r="AH338" s="18">
        <v>0.0</v>
      </c>
      <c r="AI338" s="18">
        <v>1.83E-5</v>
      </c>
      <c r="AJ338" s="18">
        <v>2.66E-4</v>
      </c>
      <c r="AK338" s="18">
        <v>9.31E-4</v>
      </c>
      <c r="AL338" s="18">
        <v>0.0</v>
      </c>
      <c r="AM338" s="2">
        <v>0.0</v>
      </c>
      <c r="AN338" s="2">
        <v>0.0</v>
      </c>
      <c r="AO338" s="2">
        <v>0.0</v>
      </c>
      <c r="AP338" s="20">
        <v>0.0</v>
      </c>
      <c r="AQ338" s="20">
        <v>0.0</v>
      </c>
      <c r="AR338" s="20">
        <v>0.0</v>
      </c>
      <c r="AS338" s="20">
        <v>0.0</v>
      </c>
      <c r="AT338" s="2">
        <f t="shared" ref="AT338:AT339" si="37">AVERAGE(L338:AK338)</f>
        <v>0.002233303846</v>
      </c>
      <c r="AU338" s="12">
        <f t="shared" si="29"/>
        <v>0.002524604348</v>
      </c>
      <c r="AV338" s="14"/>
      <c r="AW338" s="15"/>
      <c r="AX338" s="15"/>
    </row>
    <row r="339" ht="15.75" customHeight="1">
      <c r="A339" s="7">
        <v>240115.0</v>
      </c>
      <c r="B339" s="7">
        <v>73.0</v>
      </c>
      <c r="C339" s="7">
        <v>3.0</v>
      </c>
      <c r="D339" s="8" t="s">
        <v>229</v>
      </c>
      <c r="E339" s="7">
        <v>10.0</v>
      </c>
      <c r="F339" s="8" t="s">
        <v>48</v>
      </c>
      <c r="G339" s="8" t="s">
        <v>49</v>
      </c>
      <c r="H339" s="8" t="s">
        <v>50</v>
      </c>
      <c r="I339" s="22" t="s">
        <v>185</v>
      </c>
      <c r="J339" s="22" t="s">
        <v>52</v>
      </c>
      <c r="K339" s="11" t="s">
        <v>76</v>
      </c>
      <c r="L339" s="18">
        <v>0.003535</v>
      </c>
      <c r="M339" s="18">
        <v>0.005384</v>
      </c>
      <c r="N339" s="18">
        <v>0.004689</v>
      </c>
      <c r="O339" s="18">
        <v>0.003951</v>
      </c>
      <c r="P339" s="18">
        <v>0.004689</v>
      </c>
      <c r="Q339" s="18">
        <v>0.004867</v>
      </c>
      <c r="R339" s="18">
        <v>0.004481</v>
      </c>
      <c r="S339" s="18">
        <v>0.004085</v>
      </c>
      <c r="T339" s="18">
        <v>0.004501</v>
      </c>
      <c r="U339" s="18">
        <v>0.004358</v>
      </c>
      <c r="V339" s="18">
        <v>0.005096</v>
      </c>
      <c r="W339" s="18">
        <v>0.005446</v>
      </c>
      <c r="X339" s="18">
        <v>0.00438</v>
      </c>
      <c r="Y339" s="18">
        <v>0.004377</v>
      </c>
      <c r="Z339" s="18">
        <v>0.003922</v>
      </c>
      <c r="AA339" s="18">
        <v>0.003728</v>
      </c>
      <c r="AB339" s="18">
        <v>0.004454</v>
      </c>
      <c r="AC339" s="18">
        <v>0.004852</v>
      </c>
      <c r="AD339" s="18">
        <v>0.004182</v>
      </c>
      <c r="AE339" s="18">
        <v>0.003994</v>
      </c>
      <c r="AF339" s="18">
        <v>0.004084</v>
      </c>
      <c r="AG339" s="18">
        <v>0.004247</v>
      </c>
      <c r="AH339" s="18">
        <v>0.003888</v>
      </c>
      <c r="AI339" s="18">
        <v>0.003467</v>
      </c>
      <c r="AJ339" s="18">
        <v>0.004809</v>
      </c>
      <c r="AK339" s="18">
        <v>0.005276</v>
      </c>
      <c r="AL339" s="18">
        <v>0.0</v>
      </c>
      <c r="AM339" s="2">
        <v>0.0</v>
      </c>
      <c r="AN339" s="2">
        <v>0.0</v>
      </c>
      <c r="AO339" s="2">
        <v>0.0</v>
      </c>
      <c r="AP339" s="20">
        <v>0.0</v>
      </c>
      <c r="AQ339" s="20">
        <v>0.0</v>
      </c>
      <c r="AR339" s="20">
        <v>0.0</v>
      </c>
      <c r="AS339" s="20">
        <v>0.0</v>
      </c>
      <c r="AT339" s="2">
        <f t="shared" si="37"/>
        <v>0.004413153846</v>
      </c>
      <c r="AU339" s="12">
        <f t="shared" si="29"/>
        <v>0.004413153846</v>
      </c>
      <c r="AV339" s="14"/>
      <c r="AW339" s="15"/>
      <c r="AX339" s="15"/>
    </row>
    <row r="340" ht="15.75" customHeight="1">
      <c r="A340" s="7">
        <v>240115.0</v>
      </c>
      <c r="B340" s="7">
        <v>73.0</v>
      </c>
      <c r="C340" s="7">
        <v>3.0</v>
      </c>
      <c r="D340" s="8" t="s">
        <v>230</v>
      </c>
      <c r="E340" s="7">
        <v>10.0</v>
      </c>
      <c r="F340" s="8" t="s">
        <v>48</v>
      </c>
      <c r="G340" s="8" t="s">
        <v>49</v>
      </c>
      <c r="H340" s="8" t="s">
        <v>63</v>
      </c>
      <c r="I340" s="22" t="s">
        <v>185</v>
      </c>
      <c r="J340" s="22" t="s">
        <v>52</v>
      </c>
      <c r="K340" s="11" t="s">
        <v>76</v>
      </c>
      <c r="L340" s="18">
        <v>0.005034</v>
      </c>
      <c r="M340" s="18">
        <v>0.004254</v>
      </c>
      <c r="N340" s="18">
        <v>0.007098</v>
      </c>
      <c r="O340" s="18">
        <v>0.009754</v>
      </c>
      <c r="P340" s="18">
        <v>0.007884</v>
      </c>
      <c r="Q340" s="18">
        <v>0.00519</v>
      </c>
      <c r="R340" s="18">
        <v>0.003424</v>
      </c>
      <c r="S340" s="18">
        <v>0.003833</v>
      </c>
      <c r="T340" s="18">
        <v>0.00452</v>
      </c>
      <c r="U340" s="18">
        <v>0.003973</v>
      </c>
      <c r="V340" s="18">
        <v>0.00459</v>
      </c>
      <c r="W340" s="18">
        <v>0.005228</v>
      </c>
      <c r="X340" s="18">
        <v>0.005418</v>
      </c>
      <c r="Y340" s="18">
        <v>0.005817</v>
      </c>
      <c r="Z340" s="18">
        <v>0.004819</v>
      </c>
      <c r="AA340" s="18">
        <v>0.003499</v>
      </c>
      <c r="AB340" s="18">
        <v>0.003224</v>
      </c>
      <c r="AC340" s="18">
        <v>0.003609</v>
      </c>
      <c r="AD340" s="18">
        <v>0.003695</v>
      </c>
      <c r="AE340" s="18">
        <v>0.002848</v>
      </c>
      <c r="AF340" s="18">
        <v>0.002349</v>
      </c>
      <c r="AG340" s="18">
        <v>0.002048</v>
      </c>
      <c r="AH340" s="18">
        <v>0.001321</v>
      </c>
      <c r="AI340" s="18">
        <v>4.87E-4</v>
      </c>
      <c r="AJ340" s="18">
        <v>0.0</v>
      </c>
      <c r="AK340" s="18">
        <v>2.68E-4</v>
      </c>
      <c r="AL340" s="18">
        <v>9.04E-4</v>
      </c>
      <c r="AM340" s="18">
        <v>0.0</v>
      </c>
      <c r="AN340" s="2">
        <v>0.0</v>
      </c>
      <c r="AO340" s="2">
        <v>0.0</v>
      </c>
      <c r="AP340" s="20">
        <v>0.0</v>
      </c>
      <c r="AQ340" s="20">
        <v>0.0</v>
      </c>
      <c r="AR340" s="20">
        <v>0.0</v>
      </c>
      <c r="AS340" s="20">
        <v>0.0</v>
      </c>
      <c r="AT340" s="2">
        <f>AVERAGE(L340:AL340)</f>
        <v>0.003892148148</v>
      </c>
      <c r="AU340" s="12">
        <f t="shared" si="29"/>
        <v>0.004041846154</v>
      </c>
      <c r="AV340" s="14"/>
      <c r="AW340" s="15"/>
      <c r="AX340" s="15"/>
    </row>
    <row r="341" ht="15.75" customHeight="1">
      <c r="A341" s="7">
        <v>240115.0</v>
      </c>
      <c r="B341" s="7">
        <v>73.0</v>
      </c>
      <c r="C341" s="7">
        <v>3.0</v>
      </c>
      <c r="D341" s="8" t="s">
        <v>231</v>
      </c>
      <c r="E341" s="7">
        <v>10.0</v>
      </c>
      <c r="F341" s="8" t="s">
        <v>48</v>
      </c>
      <c r="G341" s="8" t="s">
        <v>67</v>
      </c>
      <c r="H341" s="8" t="s">
        <v>65</v>
      </c>
      <c r="I341" s="22" t="s">
        <v>185</v>
      </c>
      <c r="J341" s="22" t="s">
        <v>52</v>
      </c>
      <c r="K341" s="11" t="s">
        <v>76</v>
      </c>
      <c r="L341" s="18">
        <v>0.012714</v>
      </c>
      <c r="M341" s="18">
        <v>0.008386</v>
      </c>
      <c r="N341" s="18">
        <v>0.006823</v>
      </c>
      <c r="O341" s="18">
        <v>0.006987</v>
      </c>
      <c r="P341" s="18">
        <v>0.006998</v>
      </c>
      <c r="Q341" s="18">
        <v>0.006378</v>
      </c>
      <c r="R341" s="18">
        <v>0.005778</v>
      </c>
      <c r="S341" s="18">
        <v>0.006309</v>
      </c>
      <c r="T341" s="18">
        <v>0.005607</v>
      </c>
      <c r="U341" s="18">
        <v>0.004964</v>
      </c>
      <c r="V341" s="18">
        <v>0.004829</v>
      </c>
      <c r="W341" s="18">
        <v>0.004237</v>
      </c>
      <c r="X341" s="18">
        <v>0.00328</v>
      </c>
      <c r="Y341" s="18">
        <v>0.003071</v>
      </c>
      <c r="Z341" s="18">
        <v>0.005648</v>
      </c>
      <c r="AA341" s="18">
        <v>0.007031</v>
      </c>
      <c r="AB341" s="18">
        <v>0.005317</v>
      </c>
      <c r="AC341" s="18">
        <v>0.004242</v>
      </c>
      <c r="AD341" s="18">
        <v>0.00399</v>
      </c>
      <c r="AE341" s="18">
        <v>0.003294</v>
      </c>
      <c r="AF341" s="18">
        <v>0.002543</v>
      </c>
      <c r="AG341" s="18">
        <v>0.001832</v>
      </c>
      <c r="AH341" s="18">
        <v>0.00109</v>
      </c>
      <c r="AI341" s="18">
        <v>4.28E-4</v>
      </c>
      <c r="AJ341" s="18">
        <v>2.72E-4</v>
      </c>
      <c r="AK341" s="18">
        <v>2.16E-4</v>
      </c>
      <c r="AL341" s="18">
        <v>1.6E-4</v>
      </c>
      <c r="AM341" s="18">
        <v>0.001257</v>
      </c>
      <c r="AN341" s="18">
        <v>0.0024</v>
      </c>
      <c r="AO341" s="18">
        <v>0.001966</v>
      </c>
      <c r="AP341" s="20">
        <v>0.0</v>
      </c>
      <c r="AQ341" s="20">
        <v>0.0</v>
      </c>
      <c r="AR341" s="20">
        <v>0.0</v>
      </c>
      <c r="AS341" s="20">
        <v>0.0</v>
      </c>
      <c r="AT341" s="2">
        <f t="shared" ref="AT341:AT342" si="38">AVERAGE(L341:AO341)</f>
        <v>0.004268233333</v>
      </c>
      <c r="AU341" s="12">
        <f t="shared" si="29"/>
        <v>0.004268233333</v>
      </c>
      <c r="AV341" s="14"/>
      <c r="AW341" s="15"/>
      <c r="AX341" s="15"/>
    </row>
    <row r="342" ht="15.75" customHeight="1">
      <c r="A342" s="7">
        <v>240115.0</v>
      </c>
      <c r="B342" s="7">
        <v>73.0</v>
      </c>
      <c r="C342" s="7">
        <v>3.0</v>
      </c>
      <c r="D342" s="8" t="s">
        <v>232</v>
      </c>
      <c r="E342" s="7">
        <v>10.0</v>
      </c>
      <c r="F342" s="8" t="s">
        <v>48</v>
      </c>
      <c r="G342" s="8" t="s">
        <v>67</v>
      </c>
      <c r="H342" s="8" t="s">
        <v>63</v>
      </c>
      <c r="I342" s="22" t="s">
        <v>185</v>
      </c>
      <c r="J342" s="22" t="s">
        <v>52</v>
      </c>
      <c r="K342" s="11" t="s">
        <v>76</v>
      </c>
      <c r="L342" s="18">
        <v>0.011035</v>
      </c>
      <c r="M342" s="18">
        <v>0.009136</v>
      </c>
      <c r="N342" s="18">
        <v>0.007287</v>
      </c>
      <c r="O342" s="18">
        <v>0.007816</v>
      </c>
      <c r="P342" s="18">
        <v>0.007503</v>
      </c>
      <c r="Q342" s="18">
        <v>0.005511</v>
      </c>
      <c r="R342" s="18">
        <v>0.005301</v>
      </c>
      <c r="S342" s="18">
        <v>0.005667</v>
      </c>
      <c r="T342" s="18">
        <v>0.00571</v>
      </c>
      <c r="U342" s="18">
        <v>0.005947</v>
      </c>
      <c r="V342" s="18">
        <v>0.006201</v>
      </c>
      <c r="W342" s="18">
        <v>0.005068</v>
      </c>
      <c r="X342" s="18">
        <v>0.004375</v>
      </c>
      <c r="Y342" s="18">
        <v>0.005309</v>
      </c>
      <c r="Z342" s="18">
        <v>0.005967</v>
      </c>
      <c r="AA342" s="18">
        <v>0.006425</v>
      </c>
      <c r="AB342" s="18">
        <v>0.007085</v>
      </c>
      <c r="AC342" s="18">
        <v>0.0066</v>
      </c>
      <c r="AD342" s="18">
        <v>0.006825</v>
      </c>
      <c r="AE342" s="18">
        <v>0.007337</v>
      </c>
      <c r="AF342" s="18">
        <v>0.006447</v>
      </c>
      <c r="AG342" s="18">
        <v>0.006364</v>
      </c>
      <c r="AH342" s="18">
        <v>0.00602</v>
      </c>
      <c r="AI342" s="18">
        <v>0.004443</v>
      </c>
      <c r="AJ342" s="18">
        <v>0.004602</v>
      </c>
      <c r="AK342" s="18">
        <v>0.004695</v>
      </c>
      <c r="AL342" s="18">
        <v>0.005214</v>
      </c>
      <c r="AM342" s="18">
        <v>0.007682</v>
      </c>
      <c r="AN342" s="18">
        <v>0.009609</v>
      </c>
      <c r="AO342" s="18">
        <v>0.023368</v>
      </c>
      <c r="AP342" s="20">
        <v>0.0</v>
      </c>
      <c r="AQ342" s="20">
        <v>0.0</v>
      </c>
      <c r="AR342" s="20">
        <v>0.0</v>
      </c>
      <c r="AS342" s="20">
        <v>0.0</v>
      </c>
      <c r="AT342" s="2">
        <f t="shared" si="38"/>
        <v>0.0070183</v>
      </c>
      <c r="AU342" s="12">
        <f t="shared" si="29"/>
        <v>0.0070183</v>
      </c>
      <c r="AV342" s="14"/>
      <c r="AW342" s="15"/>
      <c r="AX342" s="15"/>
    </row>
    <row r="343" ht="15.75" customHeight="1">
      <c r="A343" s="7">
        <v>240115.0</v>
      </c>
      <c r="B343" s="7">
        <v>73.0</v>
      </c>
      <c r="C343" s="7">
        <v>3.0</v>
      </c>
      <c r="D343" s="8" t="s">
        <v>233</v>
      </c>
      <c r="E343" s="7">
        <v>10.0</v>
      </c>
      <c r="F343" s="8" t="s">
        <v>48</v>
      </c>
      <c r="G343" s="8" t="s">
        <v>67</v>
      </c>
      <c r="H343" s="8" t="s">
        <v>50</v>
      </c>
      <c r="I343" s="22" t="s">
        <v>185</v>
      </c>
      <c r="J343" s="22" t="s">
        <v>52</v>
      </c>
      <c r="K343" s="11" t="s">
        <v>76</v>
      </c>
      <c r="L343" s="18">
        <v>0.0143</v>
      </c>
      <c r="M343" s="18">
        <v>0.010281</v>
      </c>
      <c r="N343" s="18">
        <v>0.006789</v>
      </c>
      <c r="O343" s="18">
        <v>0.006704</v>
      </c>
      <c r="P343" s="18">
        <v>0.007071</v>
      </c>
      <c r="Q343" s="18">
        <v>0.00559</v>
      </c>
      <c r="R343" s="18">
        <v>0.005452</v>
      </c>
      <c r="S343" s="18">
        <v>0.006115</v>
      </c>
      <c r="T343" s="18">
        <v>0.006012</v>
      </c>
      <c r="U343" s="18">
        <v>0.005922</v>
      </c>
      <c r="V343" s="18">
        <v>0.006081</v>
      </c>
      <c r="W343" s="18">
        <v>0.005836</v>
      </c>
      <c r="X343" s="18">
        <v>0.005785</v>
      </c>
      <c r="Y343" s="18">
        <v>0.005697</v>
      </c>
      <c r="Z343" s="18">
        <v>0.006439</v>
      </c>
      <c r="AA343" s="18">
        <v>0.006589</v>
      </c>
      <c r="AB343" s="18">
        <v>0.00564</v>
      </c>
      <c r="AC343" s="18">
        <v>0.005979</v>
      </c>
      <c r="AD343" s="18">
        <v>0.005229</v>
      </c>
      <c r="AE343" s="18">
        <v>0.003203</v>
      </c>
      <c r="AF343" s="18">
        <v>0.001895</v>
      </c>
      <c r="AG343" s="18">
        <v>0.001361</v>
      </c>
      <c r="AH343" s="18">
        <v>8.7E-4</v>
      </c>
      <c r="AI343" s="18">
        <v>3.66E-4</v>
      </c>
      <c r="AJ343" s="18">
        <v>1.94E-4</v>
      </c>
      <c r="AK343" s="18">
        <v>2.61E-4</v>
      </c>
      <c r="AL343" s="18">
        <v>5.43E-4</v>
      </c>
      <c r="AM343" s="18">
        <v>5.43E-4</v>
      </c>
      <c r="AN343" s="18">
        <v>0.0</v>
      </c>
      <c r="AO343" s="2">
        <v>0.0</v>
      </c>
      <c r="AP343" s="20">
        <v>0.0</v>
      </c>
      <c r="AQ343" s="20">
        <v>0.0</v>
      </c>
      <c r="AR343" s="20">
        <v>0.0</v>
      </c>
      <c r="AS343" s="20">
        <v>0.0</v>
      </c>
      <c r="AT343" s="2">
        <f>AVERAGE(L343:AM343)</f>
        <v>0.004883821429</v>
      </c>
      <c r="AU343" s="12">
        <f t="shared" si="29"/>
        <v>0.004883821429</v>
      </c>
      <c r="AV343" s="14"/>
      <c r="AW343" s="15"/>
      <c r="AX343" s="15"/>
    </row>
    <row r="344" ht="15.75" customHeight="1">
      <c r="A344" s="7">
        <v>240115.0</v>
      </c>
      <c r="B344" s="7">
        <v>73.0</v>
      </c>
      <c r="C344" s="7">
        <v>3.0</v>
      </c>
      <c r="D344" s="8" t="s">
        <v>234</v>
      </c>
      <c r="E344" s="7">
        <v>10.0</v>
      </c>
      <c r="F344" s="8" t="s">
        <v>48</v>
      </c>
      <c r="G344" s="8" t="s">
        <v>67</v>
      </c>
      <c r="H344" s="8" t="s">
        <v>61</v>
      </c>
      <c r="I344" s="22" t="s">
        <v>185</v>
      </c>
      <c r="J344" s="22" t="s">
        <v>52</v>
      </c>
      <c r="K344" s="11" t="s">
        <v>76</v>
      </c>
      <c r="L344" s="18">
        <v>0.007274</v>
      </c>
      <c r="M344" s="18">
        <v>0.006996</v>
      </c>
      <c r="N344" s="18">
        <v>0.00709</v>
      </c>
      <c r="O344" s="18">
        <v>0.006827</v>
      </c>
      <c r="P344" s="18">
        <v>0.006325</v>
      </c>
      <c r="Q344" s="18">
        <v>0.005736</v>
      </c>
      <c r="R344" s="18">
        <v>0.005603</v>
      </c>
      <c r="S344" s="18">
        <v>0.006315</v>
      </c>
      <c r="T344" s="18">
        <v>0.007374</v>
      </c>
      <c r="U344" s="18">
        <v>0.007526</v>
      </c>
      <c r="V344" s="18">
        <v>0.006106</v>
      </c>
      <c r="W344" s="18">
        <v>0.004925</v>
      </c>
      <c r="X344" s="18">
        <v>0.004052</v>
      </c>
      <c r="Y344" s="18">
        <v>0.003535</v>
      </c>
      <c r="Z344" s="18">
        <v>0.002881</v>
      </c>
      <c r="AA344" s="18">
        <v>0.001969</v>
      </c>
      <c r="AB344" s="18">
        <v>0.001186</v>
      </c>
      <c r="AC344" s="18">
        <v>7.27E-4</v>
      </c>
      <c r="AD344" s="18">
        <v>9.92E-4</v>
      </c>
      <c r="AE344" s="18">
        <v>0.001413</v>
      </c>
      <c r="AF344" s="18">
        <v>0.00158</v>
      </c>
      <c r="AG344" s="18">
        <v>0.001257</v>
      </c>
      <c r="AH344" s="18">
        <v>5.76E-4</v>
      </c>
      <c r="AI344" s="18">
        <v>1.42E-4</v>
      </c>
      <c r="AJ344" s="18">
        <v>2.47E-4</v>
      </c>
      <c r="AK344" s="18">
        <v>2.63E-4</v>
      </c>
      <c r="AL344" s="18">
        <v>0.0</v>
      </c>
      <c r="AM344" s="18">
        <v>1.67E-4</v>
      </c>
      <c r="AN344" s="18">
        <v>9.16E-4</v>
      </c>
      <c r="AO344" s="2">
        <v>0.0</v>
      </c>
      <c r="AP344" s="20">
        <v>0.0</v>
      </c>
      <c r="AQ344" s="20">
        <v>0.0</v>
      </c>
      <c r="AR344" s="20">
        <v>0.0</v>
      </c>
      <c r="AS344" s="20">
        <v>0.0</v>
      </c>
      <c r="AT344" s="2">
        <f>AVERAGE(L344:AN344)</f>
        <v>0.003448275862</v>
      </c>
      <c r="AU344" s="12">
        <f t="shared" si="29"/>
        <v>0.003571428571</v>
      </c>
      <c r="AV344" s="14"/>
      <c r="AW344" s="15"/>
      <c r="AX344" s="15"/>
    </row>
    <row r="345" ht="15.75" customHeight="1">
      <c r="A345" s="7">
        <v>240119.0</v>
      </c>
      <c r="B345" s="7">
        <v>73.0</v>
      </c>
      <c r="C345" s="7">
        <v>3.0</v>
      </c>
      <c r="D345" s="8" t="s">
        <v>235</v>
      </c>
      <c r="E345" s="7">
        <v>10.0</v>
      </c>
      <c r="F345" s="8" t="s">
        <v>56</v>
      </c>
      <c r="G345" s="8" t="s">
        <v>49</v>
      </c>
      <c r="H345" s="8" t="s">
        <v>50</v>
      </c>
      <c r="I345" s="22" t="s">
        <v>185</v>
      </c>
      <c r="J345" s="22" t="s">
        <v>52</v>
      </c>
      <c r="K345" s="11" t="s">
        <v>118</v>
      </c>
      <c r="L345" s="18">
        <v>0.008925</v>
      </c>
      <c r="M345" s="18">
        <v>0.007176</v>
      </c>
      <c r="N345" s="18">
        <v>0.005604</v>
      </c>
      <c r="O345" s="18">
        <v>0.004313</v>
      </c>
      <c r="P345" s="18">
        <v>0.004058</v>
      </c>
      <c r="Q345" s="18">
        <v>0.004422</v>
      </c>
      <c r="R345" s="18">
        <v>0.004688</v>
      </c>
      <c r="S345" s="18">
        <v>0.005216</v>
      </c>
      <c r="T345" s="18">
        <v>0.006153</v>
      </c>
      <c r="U345" s="18">
        <v>0.006663</v>
      </c>
      <c r="V345" s="18">
        <v>0.005769</v>
      </c>
      <c r="W345" s="18">
        <v>0.004681</v>
      </c>
      <c r="X345" s="18">
        <v>0.004237</v>
      </c>
      <c r="Y345" s="18">
        <v>0.003842</v>
      </c>
      <c r="Z345" s="18">
        <v>0.004144</v>
      </c>
      <c r="AA345" s="18">
        <v>0.004772</v>
      </c>
      <c r="AB345" s="18">
        <v>0.005113</v>
      </c>
      <c r="AC345" s="18">
        <v>0.004875</v>
      </c>
      <c r="AD345" s="18">
        <v>0.00524</v>
      </c>
      <c r="AE345" s="18">
        <v>0.006432</v>
      </c>
      <c r="AF345" s="18">
        <v>0.006275</v>
      </c>
      <c r="AG345" s="18">
        <v>0.005608</v>
      </c>
      <c r="AH345" s="18">
        <v>0.004453</v>
      </c>
      <c r="AI345" s="18">
        <v>0.001856</v>
      </c>
      <c r="AJ345" s="18">
        <v>3.09E-4</v>
      </c>
      <c r="AK345" s="18">
        <v>1.59E-4</v>
      </c>
      <c r="AL345" s="18">
        <v>0.0</v>
      </c>
      <c r="AM345" s="2">
        <v>0.0</v>
      </c>
      <c r="AN345" s="2">
        <v>0.0</v>
      </c>
      <c r="AO345" s="2">
        <v>0.0</v>
      </c>
      <c r="AP345" s="20">
        <v>0.0</v>
      </c>
      <c r="AQ345" s="20">
        <v>0.0</v>
      </c>
      <c r="AR345" s="20">
        <v>0.0</v>
      </c>
      <c r="AS345" s="20">
        <v>0.0</v>
      </c>
      <c r="AT345" s="2">
        <f>AVERAGE(L345:AK345)</f>
        <v>0.004807038462</v>
      </c>
      <c r="AU345" s="12">
        <f t="shared" si="29"/>
        <v>0.004807038462</v>
      </c>
      <c r="AV345" s="14"/>
      <c r="AW345" s="15"/>
      <c r="AX345" s="15"/>
    </row>
    <row r="346" ht="15.75" customHeight="1">
      <c r="A346" s="7">
        <v>240119.0</v>
      </c>
      <c r="B346" s="7">
        <v>73.0</v>
      </c>
      <c r="C346" s="7">
        <v>3.0</v>
      </c>
      <c r="D346" s="8" t="s">
        <v>236</v>
      </c>
      <c r="E346" s="7">
        <v>10.0</v>
      </c>
      <c r="F346" s="8" t="s">
        <v>56</v>
      </c>
      <c r="G346" s="8" t="s">
        <v>49</v>
      </c>
      <c r="H346" s="8" t="s">
        <v>63</v>
      </c>
      <c r="I346" s="22" t="s">
        <v>185</v>
      </c>
      <c r="J346" s="22" t="s">
        <v>52</v>
      </c>
      <c r="K346" s="11" t="s">
        <v>118</v>
      </c>
      <c r="L346" s="18">
        <v>0.006125</v>
      </c>
      <c r="M346" s="18">
        <v>0.006795</v>
      </c>
      <c r="N346" s="18">
        <v>0.006715</v>
      </c>
      <c r="O346" s="18">
        <v>0.005635</v>
      </c>
      <c r="P346" s="18">
        <v>0.005159</v>
      </c>
      <c r="Q346" s="18">
        <v>0.005502</v>
      </c>
      <c r="R346" s="18">
        <v>0.005203</v>
      </c>
      <c r="S346" s="18">
        <v>0.004992</v>
      </c>
      <c r="T346" s="18">
        <v>0.00502</v>
      </c>
      <c r="U346" s="18">
        <v>0.004236</v>
      </c>
      <c r="V346" s="18">
        <v>0.004284</v>
      </c>
      <c r="W346" s="18">
        <v>0.004841</v>
      </c>
      <c r="X346" s="18">
        <v>0.005645</v>
      </c>
      <c r="Y346" s="18">
        <v>0.005608</v>
      </c>
      <c r="Z346" s="18">
        <v>0.004355</v>
      </c>
      <c r="AA346" s="18">
        <v>0.00453</v>
      </c>
      <c r="AB346" s="18">
        <v>0.004739</v>
      </c>
      <c r="AC346" s="18">
        <v>0.004009</v>
      </c>
      <c r="AD346" s="18">
        <v>0.003402</v>
      </c>
      <c r="AE346" s="18">
        <v>0.003339</v>
      </c>
      <c r="AF346" s="18">
        <v>0.002636</v>
      </c>
      <c r="AG346" s="18">
        <v>0.001776</v>
      </c>
      <c r="AH346" s="18">
        <v>0.001332</v>
      </c>
      <c r="AI346" s="18">
        <v>9.44E-4</v>
      </c>
      <c r="AJ346" s="18">
        <v>0.00101</v>
      </c>
      <c r="AK346" s="18">
        <v>0.001333</v>
      </c>
      <c r="AL346" s="18">
        <v>9.58E-4</v>
      </c>
      <c r="AM346" s="18">
        <v>1.42E-4</v>
      </c>
      <c r="AN346" s="2">
        <v>0.0</v>
      </c>
      <c r="AO346" s="2">
        <v>0.0</v>
      </c>
      <c r="AP346" s="20">
        <v>0.0</v>
      </c>
      <c r="AQ346" s="20">
        <v>0.0</v>
      </c>
      <c r="AR346" s="20">
        <v>0.0</v>
      </c>
      <c r="AS346" s="20">
        <v>0.0</v>
      </c>
      <c r="AT346" s="2">
        <f>AVERAGE(L346:AM346)</f>
        <v>0.003938035714</v>
      </c>
      <c r="AU346" s="12">
        <f t="shared" si="29"/>
        <v>0.003938035714</v>
      </c>
      <c r="AV346" s="14"/>
      <c r="AW346" s="15"/>
      <c r="AX346" s="15"/>
    </row>
    <row r="347" ht="15.75" customHeight="1">
      <c r="A347" s="7">
        <v>240119.0</v>
      </c>
      <c r="B347" s="7">
        <v>73.0</v>
      </c>
      <c r="C347" s="7">
        <v>3.0</v>
      </c>
      <c r="D347" s="8" t="s">
        <v>237</v>
      </c>
      <c r="E347" s="7">
        <v>10.0</v>
      </c>
      <c r="F347" s="8" t="s">
        <v>56</v>
      </c>
      <c r="G347" s="8" t="s">
        <v>49</v>
      </c>
      <c r="H347" s="8" t="s">
        <v>65</v>
      </c>
      <c r="I347" s="22" t="s">
        <v>185</v>
      </c>
      <c r="J347" s="22" t="s">
        <v>52</v>
      </c>
      <c r="K347" s="11" t="s">
        <v>118</v>
      </c>
      <c r="L347" s="18">
        <v>0.008518</v>
      </c>
      <c r="M347" s="18">
        <v>0.009223</v>
      </c>
      <c r="N347" s="18">
        <v>0.008966</v>
      </c>
      <c r="O347" s="18">
        <v>0.007371</v>
      </c>
      <c r="P347" s="18">
        <v>0.006342</v>
      </c>
      <c r="Q347" s="18">
        <v>0.006169</v>
      </c>
      <c r="R347" s="18">
        <v>0.005872</v>
      </c>
      <c r="S347" s="18">
        <v>0.006704</v>
      </c>
      <c r="T347" s="18">
        <v>0.006608</v>
      </c>
      <c r="U347" s="18">
        <v>0.005131</v>
      </c>
      <c r="V347" s="18">
        <v>0.0047</v>
      </c>
      <c r="W347" s="18">
        <v>0.004687</v>
      </c>
      <c r="X347" s="18">
        <v>0.005403</v>
      </c>
      <c r="Y347" s="18">
        <v>0.004717</v>
      </c>
      <c r="Z347" s="18">
        <v>0.003194</v>
      </c>
      <c r="AA347" s="18">
        <v>0.002635</v>
      </c>
      <c r="AB347" s="18">
        <v>0.002818</v>
      </c>
      <c r="AC347" s="18">
        <v>0.002199</v>
      </c>
      <c r="AD347" s="18">
        <v>6.74E-4</v>
      </c>
      <c r="AE347" s="18">
        <v>1.3E-4</v>
      </c>
      <c r="AF347" s="18">
        <v>7.57E-5</v>
      </c>
      <c r="AG347" s="18">
        <v>2.29E-5</v>
      </c>
      <c r="AH347" s="18">
        <v>9.58E-5</v>
      </c>
      <c r="AI347" s="18">
        <v>1.58E-4</v>
      </c>
      <c r="AJ347" s="18">
        <v>6.43E-5</v>
      </c>
      <c r="AK347" s="18">
        <v>0.0</v>
      </c>
      <c r="AL347" s="18">
        <v>0.0</v>
      </c>
      <c r="AM347" s="18">
        <v>0.0</v>
      </c>
      <c r="AN347" s="18">
        <v>0.0</v>
      </c>
      <c r="AO347" s="2">
        <v>0.0</v>
      </c>
      <c r="AP347" s="20">
        <v>0.0</v>
      </c>
      <c r="AQ347" s="20">
        <v>0.0</v>
      </c>
      <c r="AR347" s="20">
        <v>0.0</v>
      </c>
      <c r="AS347" s="20">
        <v>0.0</v>
      </c>
      <c r="AT347" s="2">
        <f>AVERAGE(L347:AJ347)</f>
        <v>0.004099108</v>
      </c>
      <c r="AU347" s="12">
        <f t="shared" si="29"/>
        <v>0.004099108</v>
      </c>
      <c r="AV347" s="14"/>
      <c r="AW347" s="15"/>
      <c r="AX347" s="15"/>
    </row>
    <row r="348" ht="15.75" customHeight="1">
      <c r="A348" s="7">
        <v>240119.0</v>
      </c>
      <c r="B348" s="7">
        <v>73.0</v>
      </c>
      <c r="C348" s="7">
        <v>3.0</v>
      </c>
      <c r="D348" s="8" t="s">
        <v>238</v>
      </c>
      <c r="E348" s="7">
        <v>10.0</v>
      </c>
      <c r="F348" s="8" t="s">
        <v>56</v>
      </c>
      <c r="G348" s="8" t="s">
        <v>49</v>
      </c>
      <c r="H348" s="8" t="s">
        <v>61</v>
      </c>
      <c r="I348" s="22" t="s">
        <v>185</v>
      </c>
      <c r="J348" s="22" t="s">
        <v>52</v>
      </c>
      <c r="K348" s="11" t="s">
        <v>118</v>
      </c>
      <c r="L348" s="18">
        <v>0.005672</v>
      </c>
      <c r="M348" s="18">
        <v>0.006221</v>
      </c>
      <c r="N348" s="18">
        <v>0.006291</v>
      </c>
      <c r="O348" s="18">
        <v>0.004973</v>
      </c>
      <c r="P348" s="18">
        <v>0.004117</v>
      </c>
      <c r="Q348" s="18">
        <v>0.004537</v>
      </c>
      <c r="R348" s="18">
        <v>0.004626</v>
      </c>
      <c r="S348" s="18">
        <v>0.005216</v>
      </c>
      <c r="T348" s="18">
        <v>0.006009</v>
      </c>
      <c r="U348" s="18">
        <v>0.006275</v>
      </c>
      <c r="V348" s="18">
        <v>0.005843</v>
      </c>
      <c r="W348" s="18">
        <v>0.005697</v>
      </c>
      <c r="X348" s="18">
        <v>0.006332</v>
      </c>
      <c r="Y348" s="18">
        <v>0.006045</v>
      </c>
      <c r="Z348" s="18">
        <v>0.005349</v>
      </c>
      <c r="AA348" s="18">
        <v>0.00474</v>
      </c>
      <c r="AB348" s="18">
        <v>0.003809</v>
      </c>
      <c r="AC348" s="18">
        <v>0.003865</v>
      </c>
      <c r="AD348" s="18">
        <v>0.004234</v>
      </c>
      <c r="AE348" s="18">
        <v>0.003372</v>
      </c>
      <c r="AF348" s="18">
        <v>0.002199</v>
      </c>
      <c r="AG348" s="18">
        <v>0.001256</v>
      </c>
      <c r="AH348" s="18">
        <v>4.49E-4</v>
      </c>
      <c r="AI348" s="18">
        <v>3.59E-4</v>
      </c>
      <c r="AJ348" s="18">
        <v>7.61E-4</v>
      </c>
      <c r="AK348" s="18">
        <v>5.71E-4</v>
      </c>
      <c r="AL348" s="18">
        <v>0.0</v>
      </c>
      <c r="AM348" s="18">
        <v>0.0</v>
      </c>
      <c r="AN348" s="2">
        <v>0.0</v>
      </c>
      <c r="AO348" s="2">
        <v>0.0</v>
      </c>
      <c r="AP348" s="20">
        <v>0.0</v>
      </c>
      <c r="AQ348" s="20">
        <v>0.0</v>
      </c>
      <c r="AR348" s="20">
        <v>0.0</v>
      </c>
      <c r="AS348" s="20">
        <v>0.0</v>
      </c>
      <c r="AT348" s="2">
        <f>AVERAGE(L348:AK348)</f>
        <v>0.004185307692</v>
      </c>
      <c r="AU348" s="12">
        <f t="shared" si="29"/>
        <v>0.004185307692</v>
      </c>
      <c r="AV348" s="14"/>
      <c r="AW348" s="15"/>
      <c r="AX348" s="15"/>
    </row>
    <row r="349" ht="15.75" customHeight="1">
      <c r="A349" s="7">
        <v>230913.0</v>
      </c>
      <c r="B349" s="7">
        <v>61.0</v>
      </c>
      <c r="C349" s="7">
        <v>1.0</v>
      </c>
      <c r="D349" s="8" t="s">
        <v>202</v>
      </c>
      <c r="E349" s="7">
        <v>10.0</v>
      </c>
      <c r="F349" s="8" t="s">
        <v>56</v>
      </c>
      <c r="G349" s="8" t="s">
        <v>67</v>
      </c>
      <c r="H349" s="8" t="s">
        <v>50</v>
      </c>
      <c r="I349" s="22" t="s">
        <v>51</v>
      </c>
      <c r="J349" s="22" t="s">
        <v>52</v>
      </c>
      <c r="K349" s="11" t="s">
        <v>53</v>
      </c>
      <c r="L349" s="12">
        <v>0.0246413</v>
      </c>
      <c r="M349" s="12">
        <v>0.0251858</v>
      </c>
      <c r="N349" s="12">
        <v>0.0256777</v>
      </c>
      <c r="O349" s="12">
        <v>0.0270364</v>
      </c>
      <c r="P349" s="12">
        <v>0.0244761</v>
      </c>
      <c r="Q349" s="12">
        <v>0.0231242</v>
      </c>
      <c r="R349" s="12">
        <v>0.0275538</v>
      </c>
      <c r="S349" s="12">
        <v>0.0315848</v>
      </c>
      <c r="T349" s="12">
        <v>0.0322444</v>
      </c>
      <c r="U349" s="12">
        <v>0.0302741</v>
      </c>
      <c r="V349" s="12">
        <v>0.0306344</v>
      </c>
      <c r="W349" s="12">
        <v>0.0331204</v>
      </c>
      <c r="X349" s="12">
        <v>0.0341114</v>
      </c>
      <c r="Y349" s="12">
        <v>0.0352967</v>
      </c>
      <c r="Z349" s="12">
        <v>0.0362308</v>
      </c>
      <c r="AA349" s="12">
        <v>0.0342986</v>
      </c>
      <c r="AB349" s="12">
        <v>0.0336163</v>
      </c>
      <c r="AC349" s="12">
        <v>0.0304933</v>
      </c>
      <c r="AD349" s="12">
        <v>0.0253324</v>
      </c>
      <c r="AE349" s="12">
        <v>0.0299544</v>
      </c>
      <c r="AF349" s="12">
        <v>0.0335384</v>
      </c>
      <c r="AG349" s="12">
        <v>0.029141</v>
      </c>
      <c r="AH349" s="12">
        <v>0.0193601</v>
      </c>
      <c r="AI349" s="12">
        <v>3.011E-4</v>
      </c>
      <c r="AJ349" s="12">
        <v>0.0</v>
      </c>
      <c r="AK349" s="12">
        <v>0.0</v>
      </c>
      <c r="AL349" s="12">
        <v>0.0</v>
      </c>
      <c r="AM349" s="12">
        <v>0.0</v>
      </c>
      <c r="AN349" s="12">
        <v>0.0</v>
      </c>
      <c r="AO349" s="12">
        <v>0.0</v>
      </c>
      <c r="AP349" s="13">
        <v>0.0</v>
      </c>
      <c r="AQ349" s="13">
        <v>0.0</v>
      </c>
      <c r="AR349" s="13">
        <v>0.0</v>
      </c>
      <c r="AS349" s="13">
        <v>0.0</v>
      </c>
      <c r="AT349" s="2">
        <f>AVERAGE(L349:AI349)</f>
        <v>0.02821782917</v>
      </c>
      <c r="AU349" s="12">
        <f t="shared" si="29"/>
        <v>0.02821782917</v>
      </c>
      <c r="AV349" s="14"/>
      <c r="AW349" s="15"/>
      <c r="AX349" s="15"/>
    </row>
    <row r="350" ht="15.75" customHeight="1">
      <c r="A350" s="7">
        <v>230913.0</v>
      </c>
      <c r="B350" s="7">
        <v>61.0</v>
      </c>
      <c r="C350" s="7">
        <v>1.0</v>
      </c>
      <c r="D350" s="8" t="s">
        <v>203</v>
      </c>
      <c r="E350" s="7">
        <v>10.0</v>
      </c>
      <c r="F350" s="8" t="s">
        <v>56</v>
      </c>
      <c r="G350" s="8" t="s">
        <v>67</v>
      </c>
      <c r="H350" s="8" t="s">
        <v>63</v>
      </c>
      <c r="I350" s="22" t="s">
        <v>51</v>
      </c>
      <c r="J350" s="22" t="s">
        <v>52</v>
      </c>
      <c r="K350" s="11" t="s">
        <v>53</v>
      </c>
      <c r="L350" s="12">
        <v>0.019943</v>
      </c>
      <c r="M350" s="12">
        <v>0.0190229</v>
      </c>
      <c r="N350" s="12">
        <v>0.0189849</v>
      </c>
      <c r="O350" s="12">
        <v>0.0192663</v>
      </c>
      <c r="P350" s="12">
        <v>0.0238635</v>
      </c>
      <c r="Q350" s="12">
        <v>0.0304379</v>
      </c>
      <c r="R350" s="12">
        <v>0.0337452</v>
      </c>
      <c r="S350" s="12">
        <v>0.036051</v>
      </c>
      <c r="T350" s="12">
        <v>0.0367265</v>
      </c>
      <c r="U350" s="12">
        <v>0.0370898</v>
      </c>
      <c r="V350" s="12">
        <v>0.0360992</v>
      </c>
      <c r="W350" s="12">
        <v>0.0332862</v>
      </c>
      <c r="X350" s="12">
        <v>0.0337097</v>
      </c>
      <c r="Y350" s="12">
        <v>0.0356391</v>
      </c>
      <c r="Z350" s="12">
        <v>0.0393726</v>
      </c>
      <c r="AA350" s="12">
        <v>0.0438666</v>
      </c>
      <c r="AB350" s="12">
        <v>0.0425079</v>
      </c>
      <c r="AC350" s="12">
        <v>0.0355499</v>
      </c>
      <c r="AD350" s="12">
        <v>0.0294194</v>
      </c>
      <c r="AE350" s="12">
        <v>0.0299955</v>
      </c>
      <c r="AF350" s="12">
        <v>0.040193</v>
      </c>
      <c r="AG350" s="12">
        <v>0.0476945</v>
      </c>
      <c r="AH350" s="12">
        <v>0.045392</v>
      </c>
      <c r="AI350" s="12">
        <v>0.0356999</v>
      </c>
      <c r="AJ350" s="12">
        <v>0.0198198</v>
      </c>
      <c r="AK350" s="12">
        <v>0.008058</v>
      </c>
      <c r="AL350" s="12">
        <v>0.0045349</v>
      </c>
      <c r="AM350" s="12">
        <v>0.0045225</v>
      </c>
      <c r="AN350" s="12">
        <v>0.0</v>
      </c>
      <c r="AO350" s="12">
        <v>0.0</v>
      </c>
      <c r="AP350" s="13">
        <v>0.0</v>
      </c>
      <c r="AQ350" s="13">
        <v>0.0</v>
      </c>
      <c r="AR350" s="13">
        <v>0.0</v>
      </c>
      <c r="AS350" s="13">
        <v>0.0</v>
      </c>
      <c r="AT350" s="2">
        <f>AVERAGE(L350:AM350)</f>
        <v>0.03001756071</v>
      </c>
      <c r="AU350" s="12">
        <f t="shared" si="29"/>
        <v>0.03001756071</v>
      </c>
      <c r="AV350" s="14"/>
      <c r="AW350" s="15"/>
      <c r="AX350" s="15"/>
    </row>
    <row r="351" ht="15.75" customHeight="1">
      <c r="A351" s="7">
        <v>230913.0</v>
      </c>
      <c r="B351" s="7">
        <v>61.0</v>
      </c>
      <c r="C351" s="7">
        <v>1.0</v>
      </c>
      <c r="D351" s="8" t="s">
        <v>204</v>
      </c>
      <c r="E351" s="7">
        <v>10.0</v>
      </c>
      <c r="F351" s="8" t="s">
        <v>56</v>
      </c>
      <c r="G351" s="8" t="s">
        <v>67</v>
      </c>
      <c r="H351" s="8" t="s">
        <v>65</v>
      </c>
      <c r="I351" s="22" t="s">
        <v>51</v>
      </c>
      <c r="J351" s="22" t="s">
        <v>52</v>
      </c>
      <c r="K351" s="11" t="s">
        <v>53</v>
      </c>
      <c r="L351" s="12">
        <v>0.0284688</v>
      </c>
      <c r="M351" s="12">
        <v>0.0305249</v>
      </c>
      <c r="N351" s="12">
        <v>0.0334595</v>
      </c>
      <c r="O351" s="12">
        <v>0.0334783</v>
      </c>
      <c r="P351" s="12">
        <v>0.0314789</v>
      </c>
      <c r="Q351" s="12">
        <v>0.0323093</v>
      </c>
      <c r="R351" s="12">
        <v>0.0330169</v>
      </c>
      <c r="S351" s="12">
        <v>0.0326827</v>
      </c>
      <c r="T351" s="12">
        <v>0.034885</v>
      </c>
      <c r="U351" s="12">
        <v>0.0354716</v>
      </c>
      <c r="V351" s="12">
        <v>0.0341252</v>
      </c>
      <c r="W351" s="12">
        <v>0.0342787</v>
      </c>
      <c r="X351" s="12">
        <v>0.0354811</v>
      </c>
      <c r="Y351" s="12">
        <v>0.0387133</v>
      </c>
      <c r="Z351" s="12">
        <v>0.0400681</v>
      </c>
      <c r="AA351" s="12">
        <v>0.0389439</v>
      </c>
      <c r="AB351" s="12">
        <v>0.0394712</v>
      </c>
      <c r="AC351" s="12">
        <v>0.0393294</v>
      </c>
      <c r="AD351" s="12">
        <v>0.0362435</v>
      </c>
      <c r="AE351" s="12">
        <v>0.0351102</v>
      </c>
      <c r="AF351" s="12">
        <v>0.0323945</v>
      </c>
      <c r="AG351" s="12">
        <v>0.0250076</v>
      </c>
      <c r="AH351" s="12">
        <v>0.0170543</v>
      </c>
      <c r="AI351" s="12">
        <v>0.0</v>
      </c>
      <c r="AJ351" s="12">
        <v>0.0</v>
      </c>
      <c r="AK351" s="12">
        <v>0.0</v>
      </c>
      <c r="AL351" s="12">
        <v>0.0</v>
      </c>
      <c r="AM351" s="12">
        <v>0.0</v>
      </c>
      <c r="AN351" s="12">
        <v>0.0</v>
      </c>
      <c r="AO351" s="12">
        <v>0.0</v>
      </c>
      <c r="AP351" s="13">
        <v>0.0</v>
      </c>
      <c r="AQ351" s="13">
        <v>0.0</v>
      </c>
      <c r="AR351" s="13">
        <v>0.0</v>
      </c>
      <c r="AS351" s="13">
        <v>0.0</v>
      </c>
      <c r="AT351" s="2">
        <f>AVERAGE(L351:AH351)</f>
        <v>0.03356508261</v>
      </c>
      <c r="AU351" s="12">
        <f t="shared" si="29"/>
        <v>0.03356508261</v>
      </c>
      <c r="AV351" s="14"/>
      <c r="AW351" s="15"/>
      <c r="AX351" s="15"/>
    </row>
    <row r="352" ht="15.75" customHeight="1">
      <c r="A352" s="7">
        <v>230914.0</v>
      </c>
      <c r="B352" s="7">
        <v>61.0</v>
      </c>
      <c r="C352" s="7">
        <v>1.0</v>
      </c>
      <c r="D352" s="8" t="s">
        <v>205</v>
      </c>
      <c r="E352" s="7">
        <v>10.0</v>
      </c>
      <c r="F352" s="8" t="s">
        <v>56</v>
      </c>
      <c r="G352" s="8" t="s">
        <v>49</v>
      </c>
      <c r="H352" s="8" t="s">
        <v>63</v>
      </c>
      <c r="I352" s="22" t="s">
        <v>51</v>
      </c>
      <c r="J352" s="22" t="s">
        <v>52</v>
      </c>
      <c r="K352" s="11" t="s">
        <v>53</v>
      </c>
      <c r="L352" s="12">
        <v>0.0317434</v>
      </c>
      <c r="M352" s="12">
        <v>0.0293088</v>
      </c>
      <c r="N352" s="12">
        <v>0.027343</v>
      </c>
      <c r="O352" s="12">
        <v>0.0295831</v>
      </c>
      <c r="P352" s="12">
        <v>0.0308804</v>
      </c>
      <c r="Q352" s="12">
        <v>0.0310167</v>
      </c>
      <c r="R352" s="12">
        <v>0.0328373</v>
      </c>
      <c r="S352" s="12">
        <v>0.0318878</v>
      </c>
      <c r="T352" s="12">
        <v>0.0324258</v>
      </c>
      <c r="U352" s="12">
        <v>0.0361003</v>
      </c>
      <c r="V352" s="12">
        <v>0.0369184</v>
      </c>
      <c r="W352" s="12">
        <v>0.0357212</v>
      </c>
      <c r="X352" s="12">
        <v>0.0380213</v>
      </c>
      <c r="Y352" s="12">
        <v>0.0377476</v>
      </c>
      <c r="Z352" s="12">
        <v>0.0365474</v>
      </c>
      <c r="AA352" s="12">
        <v>0.0377735</v>
      </c>
      <c r="AB352" s="12">
        <v>0.0388995</v>
      </c>
      <c r="AC352" s="12">
        <v>0.0405525</v>
      </c>
      <c r="AD352" s="12">
        <v>0.0430201</v>
      </c>
      <c r="AE352" s="12">
        <v>0.0447065</v>
      </c>
      <c r="AF352" s="12">
        <v>0.045976</v>
      </c>
      <c r="AG352" s="12">
        <v>0.0474194</v>
      </c>
      <c r="AH352" s="12">
        <v>0.045435</v>
      </c>
      <c r="AI352" s="12">
        <v>0.0432252</v>
      </c>
      <c r="AJ352" s="12">
        <v>0.0367716</v>
      </c>
      <c r="AK352" s="12">
        <v>0.0253201</v>
      </c>
      <c r="AL352" s="12">
        <v>0.016972</v>
      </c>
      <c r="AM352" s="12">
        <v>0.0035162</v>
      </c>
      <c r="AN352" s="12">
        <v>0.0</v>
      </c>
      <c r="AO352" s="12">
        <v>0.0</v>
      </c>
      <c r="AP352" s="13">
        <v>0.0</v>
      </c>
      <c r="AQ352" s="13">
        <v>0.0</v>
      </c>
      <c r="AR352" s="13">
        <v>0.0</v>
      </c>
      <c r="AS352" s="13">
        <v>0.0</v>
      </c>
      <c r="AT352" s="2">
        <f>AVERAGE(L352:AM352)</f>
        <v>0.03455964643</v>
      </c>
      <c r="AU352" s="12">
        <f t="shared" si="29"/>
        <v>0.03455964643</v>
      </c>
      <c r="AV352" s="14"/>
      <c r="AW352" s="15"/>
      <c r="AX352" s="15"/>
    </row>
    <row r="353" ht="15.75" customHeight="1">
      <c r="A353" s="7">
        <v>230914.0</v>
      </c>
      <c r="B353" s="7">
        <v>61.0</v>
      </c>
      <c r="C353" s="7">
        <v>1.0</v>
      </c>
      <c r="D353" s="8" t="s">
        <v>206</v>
      </c>
      <c r="E353" s="7">
        <v>10.0</v>
      </c>
      <c r="F353" s="8" t="s">
        <v>56</v>
      </c>
      <c r="G353" s="8" t="s">
        <v>49</v>
      </c>
      <c r="H353" s="8" t="s">
        <v>65</v>
      </c>
      <c r="I353" s="22" t="s">
        <v>51</v>
      </c>
      <c r="J353" s="22" t="s">
        <v>52</v>
      </c>
      <c r="K353" s="11" t="s">
        <v>53</v>
      </c>
      <c r="L353" s="12">
        <v>0.0268968</v>
      </c>
      <c r="M353" s="12">
        <v>0.0262064</v>
      </c>
      <c r="N353" s="12">
        <v>0.0273674</v>
      </c>
      <c r="O353" s="12">
        <v>0.0292121</v>
      </c>
      <c r="P353" s="12">
        <v>0.0284384</v>
      </c>
      <c r="Q353" s="12">
        <v>0.0277376</v>
      </c>
      <c r="R353" s="12">
        <v>0.0280164</v>
      </c>
      <c r="S353" s="12">
        <v>0.0291661</v>
      </c>
      <c r="T353" s="12">
        <v>0.0308645</v>
      </c>
      <c r="U353" s="12">
        <v>0.0303405</v>
      </c>
      <c r="V353" s="12">
        <v>0.0296426</v>
      </c>
      <c r="W353" s="12">
        <v>0.029408</v>
      </c>
      <c r="X353" s="12">
        <v>0.0305734</v>
      </c>
      <c r="Y353" s="12">
        <v>0.0317161</v>
      </c>
      <c r="Z353" s="12">
        <v>0.0313243</v>
      </c>
      <c r="AA353" s="12">
        <v>0.0339192</v>
      </c>
      <c r="AB353" s="12">
        <v>0.0368157</v>
      </c>
      <c r="AC353" s="12">
        <v>0.0338256</v>
      </c>
      <c r="AD353" s="12">
        <v>0.0304763</v>
      </c>
      <c r="AE353" s="12">
        <v>0.0321436</v>
      </c>
      <c r="AF353" s="12">
        <v>0.0342547</v>
      </c>
      <c r="AG353" s="12">
        <v>0.0344123</v>
      </c>
      <c r="AH353" s="12">
        <v>0.034062</v>
      </c>
      <c r="AI353" s="12">
        <v>0.0327097</v>
      </c>
      <c r="AJ353" s="12">
        <v>0.0318669</v>
      </c>
      <c r="AK353" s="12">
        <v>0.0312702</v>
      </c>
      <c r="AL353" s="12">
        <v>0.0214299</v>
      </c>
      <c r="AM353" s="12">
        <v>0.0092354</v>
      </c>
      <c r="AN353" s="12">
        <v>3.448E-4</v>
      </c>
      <c r="AO353" s="12">
        <v>0.0</v>
      </c>
      <c r="AP353" s="13">
        <v>0.0</v>
      </c>
      <c r="AQ353" s="13">
        <v>0.0</v>
      </c>
      <c r="AR353" s="13">
        <v>0.0</v>
      </c>
      <c r="AS353" s="13">
        <v>0.0</v>
      </c>
      <c r="AT353" s="2">
        <f t="shared" ref="AT353:AT354" si="39">AVERAGE(L353:AN353)</f>
        <v>0.02874747931</v>
      </c>
      <c r="AU353" s="12">
        <f t="shared" si="29"/>
        <v>0.02874747931</v>
      </c>
      <c r="AV353" s="14"/>
      <c r="AW353" s="15"/>
      <c r="AX353" s="15"/>
    </row>
    <row r="354" ht="15.75" customHeight="1">
      <c r="A354" s="7">
        <v>230914.0</v>
      </c>
      <c r="B354" s="7">
        <v>61.0</v>
      </c>
      <c r="C354" s="7">
        <v>1.0</v>
      </c>
      <c r="D354" s="8" t="s">
        <v>207</v>
      </c>
      <c r="E354" s="7">
        <v>10.0</v>
      </c>
      <c r="F354" s="8" t="s">
        <v>56</v>
      </c>
      <c r="G354" s="8" t="s">
        <v>49</v>
      </c>
      <c r="H354" s="8" t="s">
        <v>50</v>
      </c>
      <c r="I354" s="22" t="s">
        <v>51</v>
      </c>
      <c r="J354" s="22" t="s">
        <v>52</v>
      </c>
      <c r="K354" s="11" t="s">
        <v>53</v>
      </c>
      <c r="L354" s="12">
        <v>0.0257843</v>
      </c>
      <c r="M354" s="12">
        <v>0.0286778</v>
      </c>
      <c r="N354" s="12">
        <v>0.0289378</v>
      </c>
      <c r="O354" s="12">
        <v>0.0267573</v>
      </c>
      <c r="P354" s="12">
        <v>0.0270578</v>
      </c>
      <c r="Q354" s="12">
        <v>0.0293105</v>
      </c>
      <c r="R354" s="12">
        <v>0.030127</v>
      </c>
      <c r="S354" s="12">
        <v>0.0276835</v>
      </c>
      <c r="T354" s="12">
        <v>0.025276</v>
      </c>
      <c r="U354" s="12">
        <v>0.0243086</v>
      </c>
      <c r="V354" s="12">
        <v>0.0251201</v>
      </c>
      <c r="W354" s="12">
        <v>0.0279779</v>
      </c>
      <c r="X354" s="12">
        <v>0.0284872</v>
      </c>
      <c r="Y354" s="12">
        <v>0.0292525</v>
      </c>
      <c r="Z354" s="12">
        <v>0.0303168</v>
      </c>
      <c r="AA354" s="12">
        <v>0.0303136</v>
      </c>
      <c r="AB354" s="12">
        <v>0.0310454</v>
      </c>
      <c r="AC354" s="12">
        <v>0.0312367</v>
      </c>
      <c r="AD354" s="12">
        <v>0.0313651</v>
      </c>
      <c r="AE354" s="12">
        <v>0.0319222</v>
      </c>
      <c r="AF354" s="12">
        <v>0.0333155</v>
      </c>
      <c r="AG354" s="12">
        <v>0.0337336</v>
      </c>
      <c r="AH354" s="12">
        <v>0.0337497</v>
      </c>
      <c r="AI354" s="12">
        <v>0.0326148</v>
      </c>
      <c r="AJ354" s="12">
        <v>0.029092</v>
      </c>
      <c r="AK354" s="12">
        <v>0.0284225</v>
      </c>
      <c r="AL354" s="12">
        <v>0.026487</v>
      </c>
      <c r="AM354" s="12">
        <v>0.0156401</v>
      </c>
      <c r="AN354" s="12">
        <v>0.0029186</v>
      </c>
      <c r="AO354" s="12">
        <v>0.0</v>
      </c>
      <c r="AP354" s="13">
        <v>0.0</v>
      </c>
      <c r="AQ354" s="13">
        <v>0.0</v>
      </c>
      <c r="AR354" s="13">
        <v>0.0</v>
      </c>
      <c r="AS354" s="13">
        <v>0.0</v>
      </c>
      <c r="AT354" s="2">
        <f t="shared" si="39"/>
        <v>0.02782523793</v>
      </c>
      <c r="AU354" s="12">
        <f t="shared" si="29"/>
        <v>0.02782523793</v>
      </c>
      <c r="AV354" s="14"/>
      <c r="AW354" s="15"/>
      <c r="AX354" s="15"/>
    </row>
    <row r="355" ht="15.75" customHeight="1">
      <c r="A355" s="7">
        <v>230915.0</v>
      </c>
      <c r="B355" s="7">
        <v>61.0</v>
      </c>
      <c r="C355" s="7">
        <v>1.0</v>
      </c>
      <c r="D355" s="8" t="s">
        <v>208</v>
      </c>
      <c r="E355" s="7">
        <v>10.0</v>
      </c>
      <c r="F355" s="8" t="s">
        <v>48</v>
      </c>
      <c r="G355" s="8" t="s">
        <v>67</v>
      </c>
      <c r="H355" s="8" t="s">
        <v>50</v>
      </c>
      <c r="I355" s="22" t="s">
        <v>51</v>
      </c>
      <c r="J355" s="22" t="s">
        <v>52</v>
      </c>
      <c r="K355" s="11" t="s">
        <v>57</v>
      </c>
      <c r="L355" s="12">
        <v>0.0228939</v>
      </c>
      <c r="M355" s="12">
        <v>0.0219054</v>
      </c>
      <c r="N355" s="12">
        <v>0.0227652</v>
      </c>
      <c r="O355" s="12">
        <v>0.0224232</v>
      </c>
      <c r="P355" s="12">
        <v>0.021078</v>
      </c>
      <c r="Q355" s="12">
        <v>0.0220797</v>
      </c>
      <c r="R355" s="12">
        <v>0.0240651</v>
      </c>
      <c r="S355" s="12">
        <v>0.025793</v>
      </c>
      <c r="T355" s="12">
        <v>0.0238011</v>
      </c>
      <c r="U355" s="12">
        <v>0.0205648</v>
      </c>
      <c r="V355" s="12">
        <v>0.0204062</v>
      </c>
      <c r="W355" s="12">
        <v>0.0225963</v>
      </c>
      <c r="X355" s="12">
        <v>0.0242573</v>
      </c>
      <c r="Y355" s="12">
        <v>0.0247185</v>
      </c>
      <c r="Z355" s="12">
        <v>0.0261755</v>
      </c>
      <c r="AA355" s="12">
        <v>0.026684</v>
      </c>
      <c r="AB355" s="12">
        <v>0.0252875</v>
      </c>
      <c r="AC355" s="12">
        <v>0.0244526</v>
      </c>
      <c r="AD355" s="12">
        <v>0.0250379</v>
      </c>
      <c r="AE355" s="12">
        <v>0.0267111</v>
      </c>
      <c r="AF355" s="12">
        <v>0.0283575</v>
      </c>
      <c r="AG355" s="12">
        <v>0.0302276</v>
      </c>
      <c r="AH355" s="12">
        <v>0.0326192</v>
      </c>
      <c r="AI355" s="12">
        <v>0.0310138</v>
      </c>
      <c r="AJ355" s="12">
        <v>0.0240732</v>
      </c>
      <c r="AK355" s="12">
        <v>0.0129021</v>
      </c>
      <c r="AL355" s="12">
        <v>0.0033933</v>
      </c>
      <c r="AM355" s="12">
        <v>0.0</v>
      </c>
      <c r="AN355" s="12">
        <v>0.0</v>
      </c>
      <c r="AO355" s="12">
        <v>0.0</v>
      </c>
      <c r="AP355" s="13">
        <v>0.0</v>
      </c>
      <c r="AQ355" s="13">
        <v>0.0</v>
      </c>
      <c r="AR355" s="13">
        <v>0.0</v>
      </c>
      <c r="AS355" s="13">
        <v>0.0</v>
      </c>
      <c r="AT355" s="2">
        <f>AVERAGE(L355:AL355)</f>
        <v>0.02356603704</v>
      </c>
      <c r="AU355" s="12">
        <f t="shared" si="29"/>
        <v>0.02356603704</v>
      </c>
      <c r="AV355" s="14"/>
      <c r="AW355" s="15"/>
      <c r="AX355" s="15"/>
    </row>
    <row r="356" ht="15.75" customHeight="1">
      <c r="A356" s="7">
        <v>230915.0</v>
      </c>
      <c r="B356" s="7">
        <v>61.0</v>
      </c>
      <c r="C356" s="7">
        <v>1.0</v>
      </c>
      <c r="D356" s="8" t="s">
        <v>209</v>
      </c>
      <c r="E356" s="7">
        <v>10.0</v>
      </c>
      <c r="F356" s="8" t="s">
        <v>48</v>
      </c>
      <c r="G356" s="8" t="s">
        <v>67</v>
      </c>
      <c r="H356" s="8" t="s">
        <v>65</v>
      </c>
      <c r="I356" s="22" t="s">
        <v>51</v>
      </c>
      <c r="J356" s="22" t="s">
        <v>52</v>
      </c>
      <c r="K356" s="11" t="s">
        <v>57</v>
      </c>
      <c r="L356" s="12">
        <v>0.0</v>
      </c>
      <c r="M356" s="12">
        <v>0.003264</v>
      </c>
      <c r="N356" s="12">
        <v>0.013592</v>
      </c>
      <c r="O356" s="12">
        <v>0.0302022</v>
      </c>
      <c r="P356" s="12">
        <v>0.039918</v>
      </c>
      <c r="Q356" s="12">
        <v>0.0405267</v>
      </c>
      <c r="R356" s="12">
        <v>0.0409611</v>
      </c>
      <c r="S356" s="12">
        <v>0.0422733</v>
      </c>
      <c r="T356" s="12">
        <v>0.043268</v>
      </c>
      <c r="U356" s="12">
        <v>0.0420937</v>
      </c>
      <c r="V356" s="12">
        <v>0.0391752</v>
      </c>
      <c r="W356" s="12">
        <v>0.0360298</v>
      </c>
      <c r="X356" s="12">
        <v>0.0335358</v>
      </c>
      <c r="Y356" s="12">
        <v>0.0330838</v>
      </c>
      <c r="Z356" s="12">
        <v>0.0326934</v>
      </c>
      <c r="AA356" s="12">
        <v>0.0311209</v>
      </c>
      <c r="AB356" s="12">
        <v>0.0309349</v>
      </c>
      <c r="AC356" s="12">
        <v>0.0296271</v>
      </c>
      <c r="AD356" s="12">
        <v>0.0274872</v>
      </c>
      <c r="AE356" s="12">
        <v>0.0289173</v>
      </c>
      <c r="AF356" s="12">
        <v>0.0283734</v>
      </c>
      <c r="AG356" s="12">
        <v>0.0254412</v>
      </c>
      <c r="AH356" s="12">
        <v>0.0230531</v>
      </c>
      <c r="AI356" s="12">
        <v>0.0230466</v>
      </c>
      <c r="AJ356" s="12">
        <v>0.0228465</v>
      </c>
      <c r="AK356" s="12">
        <v>0.0203637</v>
      </c>
      <c r="AL356" s="12">
        <v>0.0211427</v>
      </c>
      <c r="AM356" s="12">
        <v>0.0234302</v>
      </c>
      <c r="AN356" s="12">
        <v>0.0209782</v>
      </c>
      <c r="AO356" s="12">
        <v>0.0162634</v>
      </c>
      <c r="AP356" s="13">
        <v>0.0</v>
      </c>
      <c r="AQ356" s="13">
        <v>0.0</v>
      </c>
      <c r="AR356" s="13">
        <v>0.0</v>
      </c>
      <c r="AS356" s="13">
        <v>0.0</v>
      </c>
      <c r="AT356" s="2">
        <f>AVERAGE(L356:AO356)</f>
        <v>0.02812144667</v>
      </c>
      <c r="AU356" s="12">
        <f t="shared" si="29"/>
        <v>0.02909115172</v>
      </c>
      <c r="AV356" s="14"/>
      <c r="AW356" s="15"/>
      <c r="AX356" s="15"/>
    </row>
    <row r="357" ht="15.75" customHeight="1">
      <c r="A357" s="7">
        <v>230915.0</v>
      </c>
      <c r="B357" s="7">
        <v>61.0</v>
      </c>
      <c r="C357" s="7">
        <v>1.0</v>
      </c>
      <c r="D357" s="8" t="s">
        <v>210</v>
      </c>
      <c r="E357" s="7">
        <v>10.0</v>
      </c>
      <c r="F357" s="8" t="s">
        <v>48</v>
      </c>
      <c r="G357" s="8" t="s">
        <v>67</v>
      </c>
      <c r="H357" s="8" t="s">
        <v>63</v>
      </c>
      <c r="I357" s="22" t="s">
        <v>51</v>
      </c>
      <c r="J357" s="22" t="s">
        <v>52</v>
      </c>
      <c r="K357" s="11" t="s">
        <v>57</v>
      </c>
      <c r="L357" s="12">
        <v>0.0225311</v>
      </c>
      <c r="M357" s="12">
        <v>0.0212401</v>
      </c>
      <c r="N357" s="12">
        <v>0.0216118</v>
      </c>
      <c r="O357" s="12">
        <v>0.0228273</v>
      </c>
      <c r="P357" s="12">
        <v>0.0225677</v>
      </c>
      <c r="Q357" s="12">
        <v>0.0225451</v>
      </c>
      <c r="R357" s="12">
        <v>0.0241226</v>
      </c>
      <c r="S357" s="12">
        <v>0.0243979</v>
      </c>
      <c r="T357" s="12">
        <v>0.0259677</v>
      </c>
      <c r="U357" s="12">
        <v>0.0296213</v>
      </c>
      <c r="V357" s="12">
        <v>0.0298845</v>
      </c>
      <c r="W357" s="12">
        <v>0.0281059</v>
      </c>
      <c r="X357" s="12">
        <v>0.0274186</v>
      </c>
      <c r="Y357" s="12">
        <v>0.0279649</v>
      </c>
      <c r="Z357" s="12">
        <v>0.0289617</v>
      </c>
      <c r="AA357" s="12">
        <v>0.0300915</v>
      </c>
      <c r="AB357" s="12">
        <v>0.02957</v>
      </c>
      <c r="AC357" s="12">
        <v>0.0288153</v>
      </c>
      <c r="AD357" s="12">
        <v>0.0276758</v>
      </c>
      <c r="AE357" s="12">
        <v>0.0268355</v>
      </c>
      <c r="AF357" s="12">
        <v>0.030108</v>
      </c>
      <c r="AG357" s="12">
        <v>0.0346971</v>
      </c>
      <c r="AH357" s="12">
        <v>0.0370282</v>
      </c>
      <c r="AI357" s="12">
        <v>0.0355876</v>
      </c>
      <c r="AJ357" s="12">
        <v>0.0317715</v>
      </c>
      <c r="AK357" s="12">
        <v>0.0250269</v>
      </c>
      <c r="AL357" s="12">
        <v>0.01768</v>
      </c>
      <c r="AM357" s="12">
        <v>0.0094981</v>
      </c>
      <c r="AN357" s="12">
        <v>1.675E-4</v>
      </c>
      <c r="AO357" s="12">
        <v>0.0</v>
      </c>
      <c r="AP357" s="13">
        <v>0.0</v>
      </c>
      <c r="AQ357" s="13">
        <v>0.0</v>
      </c>
      <c r="AR357" s="13">
        <v>0.0</v>
      </c>
      <c r="AS357" s="13">
        <v>0.0</v>
      </c>
      <c r="AT357" s="2">
        <f>AVERAGE(L357:AN357)</f>
        <v>0.02566624828</v>
      </c>
      <c r="AU357" s="12">
        <f t="shared" si="29"/>
        <v>0.02566624828</v>
      </c>
      <c r="AV357" s="14"/>
      <c r="AW357" s="15"/>
      <c r="AX357" s="15"/>
    </row>
    <row r="358" ht="15.75" customHeight="1">
      <c r="A358" s="7">
        <v>230915.0</v>
      </c>
      <c r="B358" s="7">
        <v>61.0</v>
      </c>
      <c r="C358" s="7">
        <v>1.0</v>
      </c>
      <c r="D358" s="8" t="s">
        <v>211</v>
      </c>
      <c r="E358" s="7">
        <v>10.0</v>
      </c>
      <c r="F358" s="8" t="s">
        <v>48</v>
      </c>
      <c r="G358" s="8" t="s">
        <v>67</v>
      </c>
      <c r="H358" s="8" t="s">
        <v>61</v>
      </c>
      <c r="I358" s="22" t="s">
        <v>51</v>
      </c>
      <c r="J358" s="22" t="s">
        <v>52</v>
      </c>
      <c r="K358" s="11" t="s">
        <v>57</v>
      </c>
      <c r="L358" s="12">
        <v>0.0215974</v>
      </c>
      <c r="M358" s="12">
        <v>0.021189</v>
      </c>
      <c r="N358" s="12">
        <v>0.0207794</v>
      </c>
      <c r="O358" s="12">
        <v>0.0207967</v>
      </c>
      <c r="P358" s="12">
        <v>0.0203848</v>
      </c>
      <c r="Q358" s="12">
        <v>0.0204806</v>
      </c>
      <c r="R358" s="12">
        <v>0.0237498</v>
      </c>
      <c r="S358" s="12">
        <v>0.0271382</v>
      </c>
      <c r="T358" s="12">
        <v>0.0262455</v>
      </c>
      <c r="U358" s="12">
        <v>0.0261342</v>
      </c>
      <c r="V358" s="12">
        <v>0.0278113</v>
      </c>
      <c r="W358" s="12">
        <v>0.0292614</v>
      </c>
      <c r="X358" s="12">
        <v>0.0297606</v>
      </c>
      <c r="Y358" s="12">
        <v>0.0283591</v>
      </c>
      <c r="Z358" s="12">
        <v>0.0276552</v>
      </c>
      <c r="AA358" s="12">
        <v>0.0277477</v>
      </c>
      <c r="AB358" s="12">
        <v>0.0294512</v>
      </c>
      <c r="AC358" s="12">
        <v>0.0317216</v>
      </c>
      <c r="AD358" s="12">
        <v>0.0303553</v>
      </c>
      <c r="AE358" s="12">
        <v>0.0288888</v>
      </c>
      <c r="AF358" s="12">
        <v>0.0301455</v>
      </c>
      <c r="AG358" s="12">
        <v>0.031559</v>
      </c>
      <c r="AH358" s="12">
        <v>0.031978</v>
      </c>
      <c r="AI358" s="12">
        <v>0.0276398</v>
      </c>
      <c r="AJ358" s="12">
        <v>0.0164169</v>
      </c>
      <c r="AK358" s="12">
        <v>0.005586</v>
      </c>
      <c r="AL358" s="12">
        <v>0.0</v>
      </c>
      <c r="AM358" s="12">
        <v>0.0</v>
      </c>
      <c r="AN358" s="12">
        <v>0.0</v>
      </c>
      <c r="AO358" s="12">
        <v>0.0</v>
      </c>
      <c r="AP358" s="13">
        <v>0.0</v>
      </c>
      <c r="AQ358" s="13">
        <v>0.0</v>
      </c>
      <c r="AR358" s="13">
        <v>0.0</v>
      </c>
      <c r="AS358" s="13">
        <v>0.0</v>
      </c>
      <c r="AT358" s="2">
        <f>AVERAGE(L358:AK358)</f>
        <v>0.02549357692</v>
      </c>
      <c r="AU358" s="12">
        <f t="shared" si="29"/>
        <v>0.02549357692</v>
      </c>
      <c r="AV358" s="14"/>
      <c r="AW358" s="15"/>
      <c r="AX358" s="15"/>
    </row>
    <row r="359" ht="15.75" customHeight="1">
      <c r="A359" s="7">
        <v>230915.0</v>
      </c>
      <c r="B359" s="7">
        <v>61.0</v>
      </c>
      <c r="C359" s="7">
        <v>1.0</v>
      </c>
      <c r="D359" s="8" t="s">
        <v>212</v>
      </c>
      <c r="E359" s="7">
        <v>10.0</v>
      </c>
      <c r="F359" s="8" t="s">
        <v>48</v>
      </c>
      <c r="G359" s="8" t="s">
        <v>49</v>
      </c>
      <c r="H359" s="16" t="s">
        <v>50</v>
      </c>
      <c r="I359" s="22" t="s">
        <v>51</v>
      </c>
      <c r="J359" s="22" t="s">
        <v>52</v>
      </c>
      <c r="K359" s="11" t="s">
        <v>57</v>
      </c>
      <c r="L359" s="12">
        <v>0.0215003</v>
      </c>
      <c r="M359" s="12">
        <v>0.024718</v>
      </c>
      <c r="N359" s="12">
        <v>0.0244091</v>
      </c>
      <c r="O359" s="12">
        <v>0.0211889</v>
      </c>
      <c r="P359" s="12">
        <v>0.0210098</v>
      </c>
      <c r="Q359" s="12">
        <v>0.0212386</v>
      </c>
      <c r="R359" s="12">
        <v>0.0219683</v>
      </c>
      <c r="S359" s="12">
        <v>0.024554</v>
      </c>
      <c r="T359" s="12">
        <v>0.023632</v>
      </c>
      <c r="U359" s="12">
        <v>0.0226643</v>
      </c>
      <c r="V359" s="12">
        <v>0.0242843</v>
      </c>
      <c r="W359" s="12">
        <v>0.0239426</v>
      </c>
      <c r="X359" s="12">
        <v>0.0251783</v>
      </c>
      <c r="Y359" s="12">
        <v>0.0268813</v>
      </c>
      <c r="Z359" s="12">
        <v>0.0251817</v>
      </c>
      <c r="AA359" s="12">
        <v>0.0248771</v>
      </c>
      <c r="AB359" s="12">
        <v>0.0264439</v>
      </c>
      <c r="AC359" s="12">
        <v>0.0273931</v>
      </c>
      <c r="AD359" s="12">
        <v>0.0262831</v>
      </c>
      <c r="AE359" s="12">
        <v>0.0268404</v>
      </c>
      <c r="AF359" s="12">
        <v>0.0288939</v>
      </c>
      <c r="AG359" s="12">
        <v>0.0279674</v>
      </c>
      <c r="AH359" s="12">
        <v>0.0266639</v>
      </c>
      <c r="AI359" s="12">
        <v>0.0263707</v>
      </c>
      <c r="AJ359" s="12">
        <v>0.0252671</v>
      </c>
      <c r="AK359" s="12">
        <v>0.0225826</v>
      </c>
      <c r="AL359" s="12">
        <v>0.0220572</v>
      </c>
      <c r="AM359" s="12">
        <v>0.0194729</v>
      </c>
      <c r="AN359" s="12">
        <v>0.0014701</v>
      </c>
      <c r="AO359" s="12">
        <v>0.0</v>
      </c>
      <c r="AP359" s="13">
        <v>0.0</v>
      </c>
      <c r="AQ359" s="13">
        <v>0.0</v>
      </c>
      <c r="AR359" s="13">
        <v>0.0</v>
      </c>
      <c r="AS359" s="13">
        <v>0.0</v>
      </c>
      <c r="AT359" s="2">
        <f>AVERAGE(L359:AN359)</f>
        <v>0.02361844483</v>
      </c>
      <c r="AU359" s="12">
        <f t="shared" si="29"/>
        <v>0.02361844483</v>
      </c>
      <c r="AV359" s="14"/>
      <c r="AW359" s="15"/>
      <c r="AX359" s="15"/>
    </row>
    <row r="360" ht="15.75" customHeight="1">
      <c r="A360" s="7">
        <v>230915.0</v>
      </c>
      <c r="B360" s="7">
        <v>61.0</v>
      </c>
      <c r="C360" s="7">
        <v>1.0</v>
      </c>
      <c r="D360" s="8" t="s">
        <v>213</v>
      </c>
      <c r="E360" s="7">
        <v>10.0</v>
      </c>
      <c r="F360" s="8" t="s">
        <v>48</v>
      </c>
      <c r="G360" s="8" t="s">
        <v>49</v>
      </c>
      <c r="H360" s="16" t="s">
        <v>50</v>
      </c>
      <c r="I360" s="22" t="s">
        <v>51</v>
      </c>
      <c r="J360" s="22" t="s">
        <v>52</v>
      </c>
      <c r="K360" s="11" t="s">
        <v>57</v>
      </c>
      <c r="L360" s="12">
        <v>0.0185832</v>
      </c>
      <c r="M360" s="12">
        <v>0.0188863</v>
      </c>
      <c r="N360" s="12">
        <v>0.0213834</v>
      </c>
      <c r="O360" s="12">
        <v>0.0229651</v>
      </c>
      <c r="P360" s="12">
        <v>0.0220431</v>
      </c>
      <c r="Q360" s="12">
        <v>0.0221232</v>
      </c>
      <c r="R360" s="12">
        <v>0.0217132</v>
      </c>
      <c r="S360" s="12">
        <v>0.0220822</v>
      </c>
      <c r="T360" s="12">
        <v>0.0227054</v>
      </c>
      <c r="U360" s="12">
        <v>0.0213587</v>
      </c>
      <c r="V360" s="12">
        <v>0.0221902</v>
      </c>
      <c r="W360" s="12">
        <v>0.0259788</v>
      </c>
      <c r="X360" s="12">
        <v>0.0285655</v>
      </c>
      <c r="Y360" s="12">
        <v>0.0287049</v>
      </c>
      <c r="Z360" s="12">
        <v>0.0277294</v>
      </c>
      <c r="AA360" s="12">
        <v>0.0272354</v>
      </c>
      <c r="AB360" s="12">
        <v>0.0283799</v>
      </c>
      <c r="AC360" s="12">
        <v>0.029057</v>
      </c>
      <c r="AD360" s="12">
        <v>0.0290189</v>
      </c>
      <c r="AE360" s="12">
        <v>0.0281145</v>
      </c>
      <c r="AF360" s="12">
        <v>0.0244914</v>
      </c>
      <c r="AG360" s="12">
        <v>0.0235443</v>
      </c>
      <c r="AH360" s="12">
        <v>0.0261363</v>
      </c>
      <c r="AI360" s="12">
        <v>0.0189658</v>
      </c>
      <c r="AJ360" s="12">
        <v>0.0072152</v>
      </c>
      <c r="AK360" s="12">
        <v>0.0</v>
      </c>
      <c r="AL360" s="12">
        <v>0.0</v>
      </c>
      <c r="AM360" s="12">
        <v>0.0</v>
      </c>
      <c r="AN360" s="12">
        <v>0.0</v>
      </c>
      <c r="AO360" s="12">
        <v>0.0</v>
      </c>
      <c r="AP360" s="13">
        <v>0.0</v>
      </c>
      <c r="AQ360" s="13">
        <v>0.0</v>
      </c>
      <c r="AR360" s="13">
        <v>0.0</v>
      </c>
      <c r="AS360" s="13">
        <v>0.0</v>
      </c>
      <c r="AT360" s="2">
        <f>AVERAGE(L360:AJ360)</f>
        <v>0.023566852</v>
      </c>
      <c r="AU360" s="12">
        <f t="shared" si="29"/>
        <v>0.023566852</v>
      </c>
      <c r="AV360" s="14"/>
      <c r="AW360" s="15"/>
      <c r="AX360" s="15"/>
    </row>
    <row r="361" ht="15.75" customHeight="1">
      <c r="A361" s="7">
        <v>231103.0</v>
      </c>
      <c r="B361" s="7">
        <v>65.0</v>
      </c>
      <c r="C361" s="7">
        <v>2.0</v>
      </c>
      <c r="D361" s="8" t="s">
        <v>214</v>
      </c>
      <c r="E361" s="7">
        <v>10.0</v>
      </c>
      <c r="F361" s="8" t="s">
        <v>56</v>
      </c>
      <c r="G361" s="8" t="s">
        <v>49</v>
      </c>
      <c r="H361" s="8" t="s">
        <v>50</v>
      </c>
      <c r="I361" s="22" t="s">
        <v>51</v>
      </c>
      <c r="J361" s="22" t="s">
        <v>52</v>
      </c>
      <c r="K361" s="11" t="s">
        <v>59</v>
      </c>
      <c r="L361" s="12">
        <v>0.0209682</v>
      </c>
      <c r="M361" s="12">
        <v>0.0191789</v>
      </c>
      <c r="N361" s="12">
        <v>0.0215728</v>
      </c>
      <c r="O361" s="12">
        <v>0.0233596</v>
      </c>
      <c r="P361" s="12">
        <v>0.0234545</v>
      </c>
      <c r="Q361" s="12">
        <v>0.0255996</v>
      </c>
      <c r="R361" s="12">
        <v>0.02786</v>
      </c>
      <c r="S361" s="12">
        <v>0.0257025</v>
      </c>
      <c r="T361" s="12">
        <v>0.0223347</v>
      </c>
      <c r="U361" s="12">
        <v>0.0219372</v>
      </c>
      <c r="V361" s="12">
        <v>0.0223959</v>
      </c>
      <c r="W361" s="12">
        <v>0.0233807</v>
      </c>
      <c r="X361" s="12">
        <v>0.025526</v>
      </c>
      <c r="Y361" s="12">
        <v>0.0271667</v>
      </c>
      <c r="Z361" s="12">
        <v>0.0260119</v>
      </c>
      <c r="AA361" s="12">
        <v>0.0253801</v>
      </c>
      <c r="AB361" s="12">
        <v>0.0266972</v>
      </c>
      <c r="AC361" s="12">
        <v>0.0276378</v>
      </c>
      <c r="AD361" s="12">
        <v>0.0273214</v>
      </c>
      <c r="AE361" s="12">
        <v>0.0276828</v>
      </c>
      <c r="AF361" s="12">
        <v>0.029165</v>
      </c>
      <c r="AG361" s="12">
        <v>0.0304137</v>
      </c>
      <c r="AH361" s="12">
        <v>0.0331335</v>
      </c>
      <c r="AI361" s="12">
        <v>0.0370811</v>
      </c>
      <c r="AJ361" s="12">
        <v>0.0398487</v>
      </c>
      <c r="AK361" s="12">
        <v>0.038819</v>
      </c>
      <c r="AL361" s="12">
        <v>0.0263298</v>
      </c>
      <c r="AM361" s="12">
        <v>0.0111574</v>
      </c>
      <c r="AN361" s="12">
        <v>0.0023199</v>
      </c>
      <c r="AO361" s="12">
        <v>0.0</v>
      </c>
      <c r="AP361" s="13">
        <v>0.0</v>
      </c>
      <c r="AQ361" s="13">
        <v>0.0</v>
      </c>
      <c r="AR361" s="13">
        <v>0.0</v>
      </c>
      <c r="AS361" s="13">
        <v>0.0</v>
      </c>
      <c r="AT361" s="2">
        <f>AVERAGE(L361:AN361)</f>
        <v>0.02549781379</v>
      </c>
      <c r="AU361" s="12">
        <f t="shared" si="29"/>
        <v>0.02549781379</v>
      </c>
      <c r="AV361" s="14"/>
      <c r="AW361" s="15"/>
      <c r="AX361" s="15"/>
    </row>
    <row r="362" ht="15.75" customHeight="1">
      <c r="A362" s="7">
        <v>231103.0</v>
      </c>
      <c r="B362" s="7">
        <v>65.0</v>
      </c>
      <c r="C362" s="7">
        <v>2.0</v>
      </c>
      <c r="D362" s="8" t="s">
        <v>215</v>
      </c>
      <c r="E362" s="7">
        <v>10.0</v>
      </c>
      <c r="F362" s="8" t="s">
        <v>56</v>
      </c>
      <c r="G362" s="8" t="s">
        <v>49</v>
      </c>
      <c r="H362" s="8" t="s">
        <v>65</v>
      </c>
      <c r="I362" s="22" t="s">
        <v>51</v>
      </c>
      <c r="J362" s="22" t="s">
        <v>52</v>
      </c>
      <c r="K362" s="11" t="s">
        <v>59</v>
      </c>
      <c r="L362" s="12">
        <v>0.0209863</v>
      </c>
      <c r="M362" s="12">
        <v>0.0198769</v>
      </c>
      <c r="N362" s="12">
        <v>0.0189775</v>
      </c>
      <c r="O362" s="12">
        <v>0.020978</v>
      </c>
      <c r="P362" s="12">
        <v>0.0219891</v>
      </c>
      <c r="Q362" s="12">
        <v>0.0213436</v>
      </c>
      <c r="R362" s="12">
        <v>0.022304</v>
      </c>
      <c r="S362" s="12">
        <v>0.0232606</v>
      </c>
      <c r="T362" s="12">
        <v>0.0249208</v>
      </c>
      <c r="U362" s="12">
        <v>0.0264573</v>
      </c>
      <c r="V362" s="12">
        <v>0.0258958</v>
      </c>
      <c r="W362" s="12">
        <v>0.0259799</v>
      </c>
      <c r="X362" s="12">
        <v>0.0265308</v>
      </c>
      <c r="Y362" s="12">
        <v>0.0268724</v>
      </c>
      <c r="Z362" s="12">
        <v>0.0264983</v>
      </c>
      <c r="AA362" s="12">
        <v>0.0273164</v>
      </c>
      <c r="AB362" s="12">
        <v>0.0309543</v>
      </c>
      <c r="AC362" s="12">
        <v>0.03407</v>
      </c>
      <c r="AD362" s="12">
        <v>0.0377091</v>
      </c>
      <c r="AE362" s="12">
        <v>0.0396827</v>
      </c>
      <c r="AF362" s="12">
        <v>0.0400909</v>
      </c>
      <c r="AG362" s="12">
        <v>0.0396945</v>
      </c>
      <c r="AH362" s="12">
        <v>0.0380217</v>
      </c>
      <c r="AI362" s="12">
        <v>0.0375124</v>
      </c>
      <c r="AJ362" s="12">
        <v>0.0377767</v>
      </c>
      <c r="AK362" s="12">
        <v>0.0</v>
      </c>
      <c r="AL362" s="12">
        <v>0.0</v>
      </c>
      <c r="AM362" s="12">
        <v>0.0</v>
      </c>
      <c r="AN362" s="12">
        <v>0.0</v>
      </c>
      <c r="AO362" s="12">
        <v>0.0</v>
      </c>
      <c r="AP362" s="13">
        <v>0.0</v>
      </c>
      <c r="AQ362" s="13">
        <v>0.0</v>
      </c>
      <c r="AR362" s="13">
        <v>0.0</v>
      </c>
      <c r="AS362" s="13">
        <v>0.0</v>
      </c>
      <c r="AT362" s="2">
        <f>AVERAGE(L362:AJ362)</f>
        <v>0.028628</v>
      </c>
      <c r="AU362" s="12">
        <f t="shared" si="29"/>
        <v>0.028628</v>
      </c>
      <c r="AV362" s="14"/>
      <c r="AW362" s="15"/>
      <c r="AX362" s="15"/>
    </row>
    <row r="363" ht="15.75" customHeight="1">
      <c r="A363" s="7">
        <v>231103.0</v>
      </c>
      <c r="B363" s="7">
        <v>65.0</v>
      </c>
      <c r="C363" s="7">
        <v>2.0</v>
      </c>
      <c r="D363" s="8" t="s">
        <v>216</v>
      </c>
      <c r="E363" s="7">
        <v>10.0</v>
      </c>
      <c r="F363" s="8" t="s">
        <v>56</v>
      </c>
      <c r="G363" s="8" t="s">
        <v>49</v>
      </c>
      <c r="H363" s="8" t="s">
        <v>61</v>
      </c>
      <c r="I363" s="22" t="s">
        <v>51</v>
      </c>
      <c r="J363" s="22" t="s">
        <v>52</v>
      </c>
      <c r="K363" s="11" t="s">
        <v>59</v>
      </c>
      <c r="L363" s="12">
        <v>0.0197832</v>
      </c>
      <c r="M363" s="12">
        <v>0.0227604</v>
      </c>
      <c r="N363" s="12">
        <v>0.0204522</v>
      </c>
      <c r="O363" s="12">
        <v>0.0182829</v>
      </c>
      <c r="P363" s="12">
        <v>0.0219752</v>
      </c>
      <c r="Q363" s="12">
        <v>0.0238537</v>
      </c>
      <c r="R363" s="12">
        <v>0.0243488</v>
      </c>
      <c r="S363" s="12">
        <v>0.0224826</v>
      </c>
      <c r="T363" s="12">
        <v>0.0220332</v>
      </c>
      <c r="U363" s="12">
        <v>0.0225521</v>
      </c>
      <c r="V363" s="12">
        <v>0.0227431</v>
      </c>
      <c r="W363" s="12">
        <v>0.0256645</v>
      </c>
      <c r="X363" s="12">
        <v>0.0288568</v>
      </c>
      <c r="Y363" s="12">
        <v>0.0313493</v>
      </c>
      <c r="Z363" s="12">
        <v>0.0325732</v>
      </c>
      <c r="AA363" s="12">
        <v>0.0329454</v>
      </c>
      <c r="AB363" s="12">
        <v>0.0319826</v>
      </c>
      <c r="AC363" s="12">
        <v>0.0311988</v>
      </c>
      <c r="AD363" s="12">
        <v>0.0307834</v>
      </c>
      <c r="AE363" s="12">
        <v>0.0316637</v>
      </c>
      <c r="AF363" s="12">
        <v>0.0328754</v>
      </c>
      <c r="AG363" s="12">
        <v>0.0347382</v>
      </c>
      <c r="AH363" s="12">
        <v>0.035997</v>
      </c>
      <c r="AI363" s="12">
        <v>0.0341313</v>
      </c>
      <c r="AJ363" s="12">
        <v>0.0306726</v>
      </c>
      <c r="AK363" s="12">
        <v>0.0277592</v>
      </c>
      <c r="AL363" s="12">
        <v>0.0260556</v>
      </c>
      <c r="AM363" s="12">
        <v>0.0164879</v>
      </c>
      <c r="AN363" s="12">
        <v>0.0034315</v>
      </c>
      <c r="AO363" s="12">
        <v>0.0382883</v>
      </c>
      <c r="AP363" s="13">
        <v>0.0</v>
      </c>
      <c r="AQ363" s="13">
        <v>0.0</v>
      </c>
      <c r="AR363" s="13">
        <v>0.0</v>
      </c>
      <c r="AS363" s="13">
        <v>0.0</v>
      </c>
      <c r="AT363" s="2">
        <f>AVERAGE(L363:AO363)</f>
        <v>0.02662407</v>
      </c>
      <c r="AU363" s="12">
        <f t="shared" si="29"/>
        <v>0.02662407</v>
      </c>
      <c r="AV363" s="14"/>
      <c r="AW363" s="15"/>
      <c r="AX363" s="15"/>
    </row>
    <row r="364" ht="15.75" customHeight="1">
      <c r="A364" s="7">
        <v>231103.0</v>
      </c>
      <c r="B364" s="7">
        <v>65.0</v>
      </c>
      <c r="C364" s="7">
        <v>2.0</v>
      </c>
      <c r="D364" s="8" t="s">
        <v>217</v>
      </c>
      <c r="E364" s="7">
        <v>10.0</v>
      </c>
      <c r="F364" s="8" t="s">
        <v>56</v>
      </c>
      <c r="G364" s="8" t="s">
        <v>67</v>
      </c>
      <c r="H364" s="8" t="s">
        <v>65</v>
      </c>
      <c r="I364" s="22" t="s">
        <v>51</v>
      </c>
      <c r="J364" s="22" t="s">
        <v>52</v>
      </c>
      <c r="K364" s="11" t="s">
        <v>59</v>
      </c>
      <c r="L364" s="12">
        <v>0.0253413</v>
      </c>
      <c r="M364" s="12">
        <v>0.0244651</v>
      </c>
      <c r="N364" s="12">
        <v>0.0246767</v>
      </c>
      <c r="O364" s="12">
        <v>0.0250104</v>
      </c>
      <c r="P364" s="12">
        <v>0.025107</v>
      </c>
      <c r="Q364" s="12">
        <v>0.0242958</v>
      </c>
      <c r="R364" s="12">
        <v>0.0248047</v>
      </c>
      <c r="S364" s="12">
        <v>0.024995</v>
      </c>
      <c r="T364" s="12">
        <v>0.0239843</v>
      </c>
      <c r="U364" s="12">
        <v>0.0264238</v>
      </c>
      <c r="V364" s="12">
        <v>0.0284752</v>
      </c>
      <c r="W364" s="12">
        <v>0.0293536</v>
      </c>
      <c r="X364" s="12">
        <v>0.0296152</v>
      </c>
      <c r="Y364" s="12">
        <v>0.0280998</v>
      </c>
      <c r="Z364" s="12">
        <v>0.0296683</v>
      </c>
      <c r="AA364" s="12">
        <v>0.0327091</v>
      </c>
      <c r="AB364" s="12">
        <v>0.034401</v>
      </c>
      <c r="AC364" s="12">
        <v>0.0359916</v>
      </c>
      <c r="AD364" s="12">
        <v>0.0350015</v>
      </c>
      <c r="AE364" s="12">
        <v>0.0341588</v>
      </c>
      <c r="AF364" s="12">
        <v>0.0370645</v>
      </c>
      <c r="AG364" s="12">
        <v>0.0405244</v>
      </c>
      <c r="AH364" s="12">
        <v>0.0419958</v>
      </c>
      <c r="AI364" s="12">
        <v>0.0418822</v>
      </c>
      <c r="AJ364" s="12">
        <v>0.0415815</v>
      </c>
      <c r="AK364" s="12">
        <v>0.0398428</v>
      </c>
      <c r="AL364" s="12">
        <v>0.030499</v>
      </c>
      <c r="AM364" s="12">
        <v>0.0156317</v>
      </c>
      <c r="AN364" s="12">
        <v>0.002816</v>
      </c>
      <c r="AO364" s="12">
        <v>0.0</v>
      </c>
      <c r="AP364" s="13">
        <v>0.0</v>
      </c>
      <c r="AQ364" s="13">
        <v>0.0</v>
      </c>
      <c r="AR364" s="13">
        <v>0.0</v>
      </c>
      <c r="AS364" s="13">
        <v>0.0</v>
      </c>
      <c r="AT364" s="2">
        <f t="shared" ref="AT364:AT365" si="40">AVERAGE(L364:AN364)</f>
        <v>0.02960055517</v>
      </c>
      <c r="AU364" s="12">
        <f t="shared" si="29"/>
        <v>0.02960055517</v>
      </c>
      <c r="AV364" s="14"/>
      <c r="AW364" s="15"/>
      <c r="AX364" s="15"/>
    </row>
    <row r="365" ht="15.75" customHeight="1">
      <c r="A365" s="7">
        <v>231103.0</v>
      </c>
      <c r="B365" s="7">
        <v>65.0</v>
      </c>
      <c r="C365" s="7">
        <v>2.0</v>
      </c>
      <c r="D365" s="8" t="s">
        <v>218</v>
      </c>
      <c r="E365" s="7">
        <v>10.0</v>
      </c>
      <c r="F365" s="8" t="s">
        <v>56</v>
      </c>
      <c r="G365" s="8" t="s">
        <v>67</v>
      </c>
      <c r="H365" s="8" t="s">
        <v>61</v>
      </c>
      <c r="I365" s="22" t="s">
        <v>51</v>
      </c>
      <c r="J365" s="22" t="s">
        <v>52</v>
      </c>
      <c r="K365" s="11" t="s">
        <v>59</v>
      </c>
      <c r="L365" s="12">
        <v>0.0249367</v>
      </c>
      <c r="M365" s="12">
        <v>0.0281387</v>
      </c>
      <c r="N365" s="12">
        <v>0.0303473</v>
      </c>
      <c r="O365" s="12">
        <v>0.0280706</v>
      </c>
      <c r="P365" s="12">
        <v>0.0252386</v>
      </c>
      <c r="Q365" s="12">
        <v>0.0257534</v>
      </c>
      <c r="R365" s="12">
        <v>0.0282214</v>
      </c>
      <c r="S365" s="12">
        <v>0.0286077</v>
      </c>
      <c r="T365" s="12">
        <v>0.0270989</v>
      </c>
      <c r="U365" s="12">
        <v>0.0267189</v>
      </c>
      <c r="V365" s="12">
        <v>0.0265587</v>
      </c>
      <c r="W365" s="12">
        <v>0.0270334</v>
      </c>
      <c r="X365" s="12">
        <v>0.0276182</v>
      </c>
      <c r="Y365" s="12">
        <v>0.0279576</v>
      </c>
      <c r="Z365" s="12">
        <v>0.0271193</v>
      </c>
      <c r="AA365" s="12">
        <v>0.0263362</v>
      </c>
      <c r="AB365" s="12">
        <v>0.026653</v>
      </c>
      <c r="AC365" s="12">
        <v>0.026848</v>
      </c>
      <c r="AD365" s="12">
        <v>0.0270594</v>
      </c>
      <c r="AE365" s="12">
        <v>0.0273806</v>
      </c>
      <c r="AF365" s="12">
        <v>0.0291495</v>
      </c>
      <c r="AG365" s="12">
        <v>0.0288497</v>
      </c>
      <c r="AH365" s="12">
        <v>0.0279037</v>
      </c>
      <c r="AI365" s="12">
        <v>0.0260426</v>
      </c>
      <c r="AJ365" s="12">
        <v>0.0219584</v>
      </c>
      <c r="AK365" s="12">
        <v>0.020211</v>
      </c>
      <c r="AL365" s="12">
        <v>0.0200819</v>
      </c>
      <c r="AM365" s="12">
        <v>0.0190513</v>
      </c>
      <c r="AN365" s="12">
        <v>0.0138683</v>
      </c>
      <c r="AO365" s="12">
        <v>0.0</v>
      </c>
      <c r="AP365" s="13">
        <v>0.0</v>
      </c>
      <c r="AQ365" s="13">
        <v>0.0</v>
      </c>
      <c r="AR365" s="13">
        <v>0.0</v>
      </c>
      <c r="AS365" s="13">
        <v>0.0</v>
      </c>
      <c r="AT365" s="2">
        <f t="shared" si="40"/>
        <v>0.02589010345</v>
      </c>
      <c r="AU365" s="12">
        <f t="shared" si="29"/>
        <v>0.02589010345</v>
      </c>
      <c r="AV365" s="14"/>
      <c r="AW365" s="15"/>
      <c r="AX365" s="15"/>
    </row>
    <row r="366" ht="15.75" customHeight="1">
      <c r="A366" s="7">
        <v>231103.0</v>
      </c>
      <c r="B366" s="7">
        <v>65.0</v>
      </c>
      <c r="C366" s="7">
        <v>2.0</v>
      </c>
      <c r="D366" s="8" t="s">
        <v>219</v>
      </c>
      <c r="E366" s="7">
        <v>10.0</v>
      </c>
      <c r="F366" s="8" t="s">
        <v>56</v>
      </c>
      <c r="G366" s="8" t="s">
        <v>67</v>
      </c>
      <c r="H366" s="8" t="s">
        <v>50</v>
      </c>
      <c r="I366" s="22" t="s">
        <v>51</v>
      </c>
      <c r="J366" s="22" t="s">
        <v>52</v>
      </c>
      <c r="K366" s="11" t="s">
        <v>59</v>
      </c>
      <c r="L366" s="12">
        <v>0.0287125</v>
      </c>
      <c r="M366" s="12">
        <v>0.0266058</v>
      </c>
      <c r="N366" s="12">
        <v>0.0257399</v>
      </c>
      <c r="O366" s="12">
        <v>0.0273152</v>
      </c>
      <c r="P366" s="12">
        <v>0.0267608</v>
      </c>
      <c r="Q366" s="12">
        <v>0.0267089</v>
      </c>
      <c r="R366" s="12">
        <v>0.0266981</v>
      </c>
      <c r="S366" s="12">
        <v>0.0240807</v>
      </c>
      <c r="T366" s="12">
        <v>0.0235918</v>
      </c>
      <c r="U366" s="12">
        <v>0.0239489</v>
      </c>
      <c r="V366" s="12">
        <v>0.024979</v>
      </c>
      <c r="W366" s="12">
        <v>0.027642</v>
      </c>
      <c r="X366" s="12">
        <v>0.0286305</v>
      </c>
      <c r="Y366" s="12">
        <v>0.02765</v>
      </c>
      <c r="Z366" s="12">
        <v>0.0272093</v>
      </c>
      <c r="AA366" s="12">
        <v>0.027199</v>
      </c>
      <c r="AB366" s="12">
        <v>0.0284076</v>
      </c>
      <c r="AC366" s="12">
        <v>0.0290944</v>
      </c>
      <c r="AD366" s="12">
        <v>0.0284425</v>
      </c>
      <c r="AE366" s="12">
        <v>0.028427</v>
      </c>
      <c r="AF366" s="12">
        <v>0.0293841</v>
      </c>
      <c r="AG366" s="12">
        <v>0.0322369</v>
      </c>
      <c r="AH366" s="12">
        <v>0.0353086</v>
      </c>
      <c r="AI366" s="12">
        <v>0.0360641</v>
      </c>
      <c r="AJ366" s="12">
        <v>0.0350266</v>
      </c>
      <c r="AK366" s="12">
        <v>0.0344957</v>
      </c>
      <c r="AL366" s="12">
        <v>0.0296498</v>
      </c>
      <c r="AM366" s="12">
        <v>0.0221059</v>
      </c>
      <c r="AN366" s="12">
        <v>0.0173682</v>
      </c>
      <c r="AO366" s="12">
        <v>0.0108031</v>
      </c>
      <c r="AP366" s="13">
        <v>0.0</v>
      </c>
      <c r="AQ366" s="13">
        <v>0.0</v>
      </c>
      <c r="AR366" s="13">
        <v>0.0</v>
      </c>
      <c r="AS366" s="13">
        <v>0.0</v>
      </c>
      <c r="AT366" s="2">
        <f>AVERAGE(L366:AO366)</f>
        <v>0.02734289667</v>
      </c>
      <c r="AU366" s="12">
        <f t="shared" si="29"/>
        <v>0.02734289667</v>
      </c>
      <c r="AV366" s="14"/>
      <c r="AW366" s="15"/>
      <c r="AX366" s="15"/>
    </row>
    <row r="367" ht="15.75" customHeight="1">
      <c r="A367" s="7">
        <v>231103.0</v>
      </c>
      <c r="B367" s="7">
        <v>65.0</v>
      </c>
      <c r="C367" s="7">
        <v>2.0</v>
      </c>
      <c r="D367" s="8" t="s">
        <v>220</v>
      </c>
      <c r="E367" s="7">
        <v>10.0</v>
      </c>
      <c r="F367" s="8" t="s">
        <v>56</v>
      </c>
      <c r="G367" s="8" t="s">
        <v>67</v>
      </c>
      <c r="H367" s="8" t="s">
        <v>63</v>
      </c>
      <c r="I367" s="22" t="s">
        <v>51</v>
      </c>
      <c r="J367" s="22" t="s">
        <v>52</v>
      </c>
      <c r="K367" s="11" t="s">
        <v>59</v>
      </c>
      <c r="L367" s="12">
        <v>0.0216481</v>
      </c>
      <c r="M367" s="12">
        <v>0.0230534</v>
      </c>
      <c r="N367" s="12">
        <v>0.0230607</v>
      </c>
      <c r="O367" s="12">
        <v>0.0236066</v>
      </c>
      <c r="P367" s="12">
        <v>0.0234272</v>
      </c>
      <c r="Q367" s="12">
        <v>0.022943</v>
      </c>
      <c r="R367" s="12">
        <v>0.024968</v>
      </c>
      <c r="S367" s="12">
        <v>0.0269943</v>
      </c>
      <c r="T367" s="12">
        <v>0.0257991</v>
      </c>
      <c r="U367" s="12">
        <v>0.0223338</v>
      </c>
      <c r="V367" s="12">
        <v>0.0232819</v>
      </c>
      <c r="W367" s="12">
        <v>0.0261104</v>
      </c>
      <c r="X367" s="12">
        <v>0.026382</v>
      </c>
      <c r="Y367" s="12">
        <v>0.0266883</v>
      </c>
      <c r="Z367" s="12">
        <v>0.0280833</v>
      </c>
      <c r="AA367" s="12">
        <v>0.0288605</v>
      </c>
      <c r="AB367" s="12">
        <v>0.0288595</v>
      </c>
      <c r="AC367" s="12">
        <v>0.0295016</v>
      </c>
      <c r="AD367" s="12">
        <v>0.0295266</v>
      </c>
      <c r="AE367" s="12">
        <v>0.0304309</v>
      </c>
      <c r="AF367" s="12">
        <v>0.0319459</v>
      </c>
      <c r="AG367" s="12">
        <v>0.0333937</v>
      </c>
      <c r="AH367" s="12">
        <v>0.0341485</v>
      </c>
      <c r="AI367" s="12">
        <v>0.0335606</v>
      </c>
      <c r="AJ367" s="12">
        <v>0.0300991</v>
      </c>
      <c r="AK367" s="12">
        <v>0.0216113</v>
      </c>
      <c r="AL367" s="12">
        <v>0.0115698</v>
      </c>
      <c r="AM367" s="12">
        <v>0.0029234</v>
      </c>
      <c r="AN367" s="12">
        <v>0.0</v>
      </c>
      <c r="AO367" s="12">
        <v>0.0</v>
      </c>
      <c r="AP367" s="13">
        <v>0.0</v>
      </c>
      <c r="AQ367" s="13">
        <v>0.0</v>
      </c>
      <c r="AR367" s="13">
        <v>0.0</v>
      </c>
      <c r="AS367" s="13">
        <v>0.0</v>
      </c>
      <c r="AT367" s="2">
        <f>AVERAGE(L367:AM367)</f>
        <v>0.02552898214</v>
      </c>
      <c r="AU367" s="12">
        <f t="shared" si="29"/>
        <v>0.02552898214</v>
      </c>
      <c r="AV367" s="14"/>
      <c r="AW367" s="15"/>
      <c r="AX367" s="15"/>
    </row>
    <row r="368" ht="15.75" customHeight="1">
      <c r="A368" s="7">
        <v>231128.0</v>
      </c>
      <c r="B368" s="7">
        <v>65.0</v>
      </c>
      <c r="C368" s="7">
        <v>2.0</v>
      </c>
      <c r="D368" s="8" t="s">
        <v>221</v>
      </c>
      <c r="E368" s="7">
        <v>10.0</v>
      </c>
      <c r="F368" s="8" t="s">
        <v>48</v>
      </c>
      <c r="G368" s="8" t="s">
        <v>67</v>
      </c>
      <c r="H368" s="8" t="s">
        <v>65</v>
      </c>
      <c r="I368" s="22" t="s">
        <v>51</v>
      </c>
      <c r="J368" s="22" t="s">
        <v>52</v>
      </c>
      <c r="K368" s="11" t="s">
        <v>70</v>
      </c>
      <c r="L368" s="12">
        <v>0.0285353</v>
      </c>
      <c r="M368" s="12">
        <v>0.0268726</v>
      </c>
      <c r="N368" s="12">
        <v>0.0265032</v>
      </c>
      <c r="O368" s="12">
        <v>0.0266996</v>
      </c>
      <c r="P368" s="12">
        <v>0.0262594</v>
      </c>
      <c r="Q368" s="12">
        <v>0.0247861</v>
      </c>
      <c r="R368" s="12">
        <v>0.0237775</v>
      </c>
      <c r="S368" s="12">
        <v>0.0239798</v>
      </c>
      <c r="T368" s="12">
        <v>0.0247719</v>
      </c>
      <c r="U368" s="12">
        <v>0.0264584</v>
      </c>
      <c r="V368" s="12">
        <v>0.0292614</v>
      </c>
      <c r="W368" s="12">
        <v>0.0323858</v>
      </c>
      <c r="X368" s="12">
        <v>0.0336037</v>
      </c>
      <c r="Y368" s="12">
        <v>0.0334832</v>
      </c>
      <c r="Z368" s="12">
        <v>0.0349255</v>
      </c>
      <c r="AA368" s="12">
        <v>0.0339283</v>
      </c>
      <c r="AB368" s="12">
        <v>0.0324381</v>
      </c>
      <c r="AC368" s="12">
        <v>0.0370776</v>
      </c>
      <c r="AD368" s="12">
        <v>0.0416877</v>
      </c>
      <c r="AE368" s="12">
        <v>0.0432327</v>
      </c>
      <c r="AF368" s="12">
        <v>0.0431392</v>
      </c>
      <c r="AG368" s="12">
        <v>0.042921</v>
      </c>
      <c r="AH368" s="12">
        <v>0.0422761</v>
      </c>
      <c r="AI368" s="12">
        <v>0.0436708</v>
      </c>
      <c r="AJ368" s="12">
        <v>0.045919</v>
      </c>
      <c r="AK368" s="12">
        <v>0.0433388</v>
      </c>
      <c r="AL368" s="12">
        <v>0.0366239</v>
      </c>
      <c r="AM368" s="12">
        <v>0.0253746</v>
      </c>
      <c r="AN368" s="12">
        <v>0.0141211</v>
      </c>
      <c r="AO368" s="12">
        <v>0.0035567</v>
      </c>
      <c r="AP368" s="13">
        <v>0.0</v>
      </c>
      <c r="AQ368" s="13">
        <v>0.0</v>
      </c>
      <c r="AR368" s="13">
        <v>0.0</v>
      </c>
      <c r="AS368" s="13">
        <v>0.0</v>
      </c>
      <c r="AT368" s="2">
        <f>AVERAGE(L368:AO368)</f>
        <v>0.0317203</v>
      </c>
      <c r="AU368" s="12">
        <f t="shared" si="29"/>
        <v>0.0317203</v>
      </c>
      <c r="AV368" s="14"/>
      <c r="AW368" s="15"/>
      <c r="AX368" s="15"/>
    </row>
    <row r="369" ht="15.75" customHeight="1">
      <c r="A369" s="7">
        <v>231128.0</v>
      </c>
      <c r="B369" s="7">
        <v>65.0</v>
      </c>
      <c r="C369" s="7">
        <v>2.0</v>
      </c>
      <c r="D369" s="8" t="s">
        <v>222</v>
      </c>
      <c r="E369" s="7">
        <v>10.0</v>
      </c>
      <c r="F369" s="8" t="s">
        <v>48</v>
      </c>
      <c r="G369" s="8" t="s">
        <v>67</v>
      </c>
      <c r="H369" s="8" t="s">
        <v>61</v>
      </c>
      <c r="I369" s="22" t="s">
        <v>51</v>
      </c>
      <c r="J369" s="22" t="s">
        <v>52</v>
      </c>
      <c r="K369" s="11" t="s">
        <v>70</v>
      </c>
      <c r="L369" s="12">
        <v>0.0183562</v>
      </c>
      <c r="M369" s="12">
        <v>0.0194719</v>
      </c>
      <c r="N369" s="12">
        <v>0.0219189</v>
      </c>
      <c r="O369" s="12">
        <v>0.0252991</v>
      </c>
      <c r="P369" s="12">
        <v>0.0264365</v>
      </c>
      <c r="Q369" s="12">
        <v>0.0248562</v>
      </c>
      <c r="R369" s="12">
        <v>0.0251786</v>
      </c>
      <c r="S369" s="12">
        <v>0.0282485</v>
      </c>
      <c r="T369" s="12">
        <v>0.028546</v>
      </c>
      <c r="U369" s="12">
        <v>0.027795</v>
      </c>
      <c r="V369" s="12">
        <v>0.0297293</v>
      </c>
      <c r="W369" s="12">
        <v>0.0294947</v>
      </c>
      <c r="X369" s="12">
        <v>0.0290182</v>
      </c>
      <c r="Y369" s="12">
        <v>0.0298387</v>
      </c>
      <c r="Z369" s="12">
        <v>0.0292104</v>
      </c>
      <c r="AA369" s="12">
        <v>0.0271085</v>
      </c>
      <c r="AB369" s="12">
        <v>0.0289657</v>
      </c>
      <c r="AC369" s="12">
        <v>0.0314231</v>
      </c>
      <c r="AD369" s="12">
        <v>0.0312865</v>
      </c>
      <c r="AE369" s="12">
        <v>0.0324424</v>
      </c>
      <c r="AF369" s="12">
        <v>0.0333808</v>
      </c>
      <c r="AG369" s="12">
        <v>0.0349285</v>
      </c>
      <c r="AH369" s="12">
        <v>0.0370846</v>
      </c>
      <c r="AI369" s="12">
        <v>0.0382603</v>
      </c>
      <c r="AJ369" s="12">
        <v>0.0364455</v>
      </c>
      <c r="AK369" s="12">
        <v>0.0289495</v>
      </c>
      <c r="AL369" s="12">
        <v>0.0185513</v>
      </c>
      <c r="AM369" s="12">
        <v>0.0105456</v>
      </c>
      <c r="AN369" s="12">
        <v>0.0</v>
      </c>
      <c r="AO369" s="12">
        <v>0.0</v>
      </c>
      <c r="AP369" s="13">
        <v>0.0</v>
      </c>
      <c r="AQ369" s="13">
        <v>0.0</v>
      </c>
      <c r="AR369" s="13">
        <v>0.0</v>
      </c>
      <c r="AS369" s="13">
        <v>0.0</v>
      </c>
      <c r="AT369" s="2">
        <f>AVERAGE(L369:AM369)</f>
        <v>0.02795608929</v>
      </c>
      <c r="AU369" s="12">
        <f t="shared" si="29"/>
        <v>0.02795608929</v>
      </c>
      <c r="AV369" s="14"/>
      <c r="AW369" s="15"/>
      <c r="AX369" s="15"/>
    </row>
    <row r="370" ht="15.75" customHeight="1">
      <c r="A370" s="7">
        <v>231128.0</v>
      </c>
      <c r="B370" s="7">
        <v>65.0</v>
      </c>
      <c r="C370" s="7">
        <v>2.0</v>
      </c>
      <c r="D370" s="8" t="s">
        <v>223</v>
      </c>
      <c r="E370" s="7">
        <v>10.0</v>
      </c>
      <c r="F370" s="8" t="s">
        <v>48</v>
      </c>
      <c r="G370" s="8" t="s">
        <v>67</v>
      </c>
      <c r="H370" s="8" t="s">
        <v>50</v>
      </c>
      <c r="I370" s="22" t="s">
        <v>51</v>
      </c>
      <c r="J370" s="22" t="s">
        <v>52</v>
      </c>
      <c r="K370" s="11" t="s">
        <v>70</v>
      </c>
      <c r="L370" s="12">
        <v>0.0218574</v>
      </c>
      <c r="M370" s="12">
        <v>0.0180936</v>
      </c>
      <c r="N370" s="12">
        <v>0.0201575</v>
      </c>
      <c r="O370" s="12">
        <v>0.0243984</v>
      </c>
      <c r="P370" s="12">
        <v>0.0263159</v>
      </c>
      <c r="Q370" s="12">
        <v>0.0268525</v>
      </c>
      <c r="R370" s="12">
        <v>0.027393</v>
      </c>
      <c r="S370" s="12">
        <v>0.0265474</v>
      </c>
      <c r="T370" s="12">
        <v>0.0236065</v>
      </c>
      <c r="U370" s="12">
        <v>0.0248054</v>
      </c>
      <c r="V370" s="12">
        <v>0.0274048</v>
      </c>
      <c r="W370" s="12">
        <v>0.0224188</v>
      </c>
      <c r="X370" s="12">
        <v>0.0202734</v>
      </c>
      <c r="Y370" s="12">
        <v>0.0216819</v>
      </c>
      <c r="Z370" s="12">
        <v>0.0253669</v>
      </c>
      <c r="AA370" s="12">
        <v>0.0287659</v>
      </c>
      <c r="AB370" s="12">
        <v>0.0285654</v>
      </c>
      <c r="AC370" s="12">
        <v>0.0290484</v>
      </c>
      <c r="AD370" s="12">
        <v>0.0313881</v>
      </c>
      <c r="AE370" s="12">
        <v>0.0333955</v>
      </c>
      <c r="AF370" s="12">
        <v>0.0326568</v>
      </c>
      <c r="AG370" s="12">
        <v>0.0316433</v>
      </c>
      <c r="AH370" s="12">
        <v>0.0328881</v>
      </c>
      <c r="AI370" s="12">
        <v>0.0340524</v>
      </c>
      <c r="AJ370" s="12">
        <v>0.0339132</v>
      </c>
      <c r="AK370" s="12">
        <v>0.0351723</v>
      </c>
      <c r="AL370" s="12">
        <v>0.0331157</v>
      </c>
      <c r="AM370" s="12">
        <v>0.0251854</v>
      </c>
      <c r="AN370" s="12">
        <v>0.0156345</v>
      </c>
      <c r="AO370" s="12">
        <v>0.0030466</v>
      </c>
      <c r="AP370" s="13">
        <v>0.0</v>
      </c>
      <c r="AQ370" s="13">
        <v>0.0</v>
      </c>
      <c r="AR370" s="13">
        <v>0.0</v>
      </c>
      <c r="AS370" s="13">
        <v>0.0</v>
      </c>
      <c r="AT370" s="2">
        <f>AVERAGE(L370:AO370)</f>
        <v>0.02618816667</v>
      </c>
      <c r="AU370" s="12">
        <f t="shared" si="29"/>
        <v>0.02618816667</v>
      </c>
      <c r="AV370" s="14"/>
      <c r="AW370" s="15"/>
      <c r="AX370" s="15"/>
    </row>
    <row r="371" ht="15.75" customHeight="1">
      <c r="A371" s="7">
        <v>231128.0</v>
      </c>
      <c r="B371" s="7">
        <v>65.0</v>
      </c>
      <c r="C371" s="7">
        <v>2.0</v>
      </c>
      <c r="D371" s="8" t="s">
        <v>224</v>
      </c>
      <c r="E371" s="7">
        <v>10.0</v>
      </c>
      <c r="F371" s="8" t="s">
        <v>48</v>
      </c>
      <c r="G371" s="8" t="s">
        <v>49</v>
      </c>
      <c r="H371" s="8" t="s">
        <v>50</v>
      </c>
      <c r="I371" s="22" t="s">
        <v>51</v>
      </c>
      <c r="J371" s="22" t="s">
        <v>52</v>
      </c>
      <c r="K371" s="11" t="s">
        <v>70</v>
      </c>
      <c r="L371" s="12">
        <v>0.0212341</v>
      </c>
      <c r="M371" s="12">
        <v>0.0247079</v>
      </c>
      <c r="N371" s="12">
        <v>0.027315</v>
      </c>
      <c r="O371" s="12">
        <v>0.0273261</v>
      </c>
      <c r="P371" s="12">
        <v>0.0265232</v>
      </c>
      <c r="Q371" s="12">
        <v>0.0260392</v>
      </c>
      <c r="R371" s="12">
        <v>0.0246031</v>
      </c>
      <c r="S371" s="12">
        <v>0.0232562</v>
      </c>
      <c r="T371" s="12">
        <v>0.0225197</v>
      </c>
      <c r="U371" s="12">
        <v>0.0241497</v>
      </c>
      <c r="V371" s="12">
        <v>0.0269785</v>
      </c>
      <c r="W371" s="12">
        <v>0.0287653</v>
      </c>
      <c r="X371" s="12">
        <v>0.0310379</v>
      </c>
      <c r="Y371" s="12">
        <v>0.030192</v>
      </c>
      <c r="Z371" s="12">
        <v>0.0298771</v>
      </c>
      <c r="AA371" s="12">
        <v>0.0323234</v>
      </c>
      <c r="AB371" s="12">
        <v>0.0333125</v>
      </c>
      <c r="AC371" s="12">
        <v>0.0334049</v>
      </c>
      <c r="AD371" s="12">
        <v>0.034878</v>
      </c>
      <c r="AE371" s="12">
        <v>0.0356639</v>
      </c>
      <c r="AF371" s="12">
        <v>0.0340954</v>
      </c>
      <c r="AG371" s="12">
        <v>0.0339072</v>
      </c>
      <c r="AH371" s="12">
        <v>0.0338635</v>
      </c>
      <c r="AI371" s="12">
        <v>0.0297002</v>
      </c>
      <c r="AJ371" s="12">
        <v>0.0221442</v>
      </c>
      <c r="AK371" s="12">
        <v>0.015548</v>
      </c>
      <c r="AL371" s="12">
        <v>0.0116821</v>
      </c>
      <c r="AM371" s="12">
        <v>0.0101817</v>
      </c>
      <c r="AN371" s="12">
        <v>0.0176722</v>
      </c>
      <c r="AO371" s="12">
        <v>0.0</v>
      </c>
      <c r="AP371" s="13">
        <v>0.0</v>
      </c>
      <c r="AQ371" s="13">
        <v>0.0</v>
      </c>
      <c r="AR371" s="13">
        <v>0.0</v>
      </c>
      <c r="AS371" s="13">
        <v>0.0</v>
      </c>
      <c r="AT371" s="2">
        <f>AVERAGE(L371:AN371)</f>
        <v>0.0266518</v>
      </c>
      <c r="AU371" s="12">
        <f t="shared" si="29"/>
        <v>0.0266518</v>
      </c>
      <c r="AV371" s="14"/>
      <c r="AW371" s="15"/>
      <c r="AX371" s="15"/>
    </row>
    <row r="372" ht="15.75" customHeight="1">
      <c r="A372" s="7">
        <v>231128.0</v>
      </c>
      <c r="B372" s="7">
        <v>65.0</v>
      </c>
      <c r="C372" s="7">
        <v>2.0</v>
      </c>
      <c r="D372" s="8" t="s">
        <v>225</v>
      </c>
      <c r="E372" s="7">
        <v>10.0</v>
      </c>
      <c r="F372" s="8" t="s">
        <v>48</v>
      </c>
      <c r="G372" s="8" t="s">
        <v>49</v>
      </c>
      <c r="H372" s="8" t="s">
        <v>61</v>
      </c>
      <c r="I372" s="22" t="s">
        <v>51</v>
      </c>
      <c r="J372" s="22" t="s">
        <v>52</v>
      </c>
      <c r="K372" s="11" t="s">
        <v>70</v>
      </c>
      <c r="L372" s="12">
        <v>0.0240576</v>
      </c>
      <c r="M372" s="12">
        <v>0.0260928</v>
      </c>
      <c r="N372" s="12">
        <v>0.0277084</v>
      </c>
      <c r="O372" s="12">
        <v>0.0288847</v>
      </c>
      <c r="P372" s="12">
        <v>0.0286741</v>
      </c>
      <c r="Q372" s="12">
        <v>0.028683</v>
      </c>
      <c r="R372" s="12">
        <v>0.0285656</v>
      </c>
      <c r="S372" s="12">
        <v>0.0290417</v>
      </c>
      <c r="T372" s="12">
        <v>0.0283182</v>
      </c>
      <c r="U372" s="12">
        <v>0.0261861</v>
      </c>
      <c r="V372" s="12">
        <v>0.0293047</v>
      </c>
      <c r="W372" s="12">
        <v>0.0314171</v>
      </c>
      <c r="X372" s="12">
        <v>0.0316694</v>
      </c>
      <c r="Y372" s="12">
        <v>0.0344178</v>
      </c>
      <c r="Z372" s="12">
        <v>0.0370065</v>
      </c>
      <c r="AA372" s="12">
        <v>0.0376451</v>
      </c>
      <c r="AB372" s="12">
        <v>0.0362454</v>
      </c>
      <c r="AC372" s="12">
        <v>0.0356822</v>
      </c>
      <c r="AD372" s="12">
        <v>0.0370448</v>
      </c>
      <c r="AE372" s="12">
        <v>0.039079</v>
      </c>
      <c r="AF372" s="12">
        <v>0.0411525</v>
      </c>
      <c r="AG372" s="12">
        <v>0.042212</v>
      </c>
      <c r="AH372" s="12">
        <v>0.0434141</v>
      </c>
      <c r="AI372" s="12">
        <v>0.0434397</v>
      </c>
      <c r="AJ372" s="12">
        <v>0.0379215</v>
      </c>
      <c r="AK372" s="12">
        <v>0.021416</v>
      </c>
      <c r="AL372" s="12">
        <v>0.0087272</v>
      </c>
      <c r="AM372" s="12">
        <v>0.0084479</v>
      </c>
      <c r="AN372" s="12">
        <v>0.0092061</v>
      </c>
      <c r="AO372" s="12">
        <v>0.0454545</v>
      </c>
      <c r="AP372" s="13">
        <v>0.0</v>
      </c>
      <c r="AQ372" s="13">
        <v>0.0</v>
      </c>
      <c r="AR372" s="13">
        <v>0.0</v>
      </c>
      <c r="AS372" s="13">
        <v>0.0</v>
      </c>
      <c r="AT372" s="2">
        <f>AVERAGE(L372:AO372)</f>
        <v>0.03090385667</v>
      </c>
      <c r="AU372" s="12">
        <f t="shared" si="29"/>
        <v>0.03090385667</v>
      </c>
      <c r="AV372" s="14"/>
      <c r="AW372" s="15"/>
      <c r="AX372" s="15"/>
    </row>
    <row r="373" ht="15.75" customHeight="1">
      <c r="A373" s="7">
        <v>231128.0</v>
      </c>
      <c r="B373" s="7">
        <v>65.0</v>
      </c>
      <c r="C373" s="7">
        <v>2.0</v>
      </c>
      <c r="D373" s="8" t="s">
        <v>226</v>
      </c>
      <c r="E373" s="7">
        <v>10.0</v>
      </c>
      <c r="F373" s="8" t="s">
        <v>48</v>
      </c>
      <c r="G373" s="8" t="s">
        <v>49</v>
      </c>
      <c r="H373" s="8" t="s">
        <v>65</v>
      </c>
      <c r="I373" s="22" t="s">
        <v>51</v>
      </c>
      <c r="J373" s="22" t="s">
        <v>52</v>
      </c>
      <c r="K373" s="11" t="s">
        <v>70</v>
      </c>
      <c r="L373" s="12">
        <v>0.029064</v>
      </c>
      <c r="M373" s="12">
        <v>0.0260925</v>
      </c>
      <c r="N373" s="12">
        <v>0.0274155</v>
      </c>
      <c r="O373" s="12">
        <v>0.0276177</v>
      </c>
      <c r="P373" s="12">
        <v>0.0273766</v>
      </c>
      <c r="Q373" s="12">
        <v>0.0302185</v>
      </c>
      <c r="R373" s="12">
        <v>0.0315074</v>
      </c>
      <c r="S373" s="12">
        <v>0.0328604</v>
      </c>
      <c r="T373" s="12">
        <v>0.0354229</v>
      </c>
      <c r="U373" s="12">
        <v>0.0380341</v>
      </c>
      <c r="V373" s="12">
        <v>0.0377816</v>
      </c>
      <c r="W373" s="12">
        <v>0.0391041</v>
      </c>
      <c r="X373" s="12">
        <v>0.0426604</v>
      </c>
      <c r="Y373" s="12">
        <v>0.0427669</v>
      </c>
      <c r="Z373" s="12">
        <v>0.0439697</v>
      </c>
      <c r="AA373" s="12">
        <v>0.0467269</v>
      </c>
      <c r="AB373" s="12">
        <v>0.0458949</v>
      </c>
      <c r="AC373" s="12">
        <v>0.0467298</v>
      </c>
      <c r="AD373" s="12">
        <v>0.0478036</v>
      </c>
      <c r="AE373" s="12">
        <v>0.0465416</v>
      </c>
      <c r="AF373" s="12">
        <v>0.0482278</v>
      </c>
      <c r="AG373" s="12">
        <v>0.0481663</v>
      </c>
      <c r="AH373" s="12">
        <v>0.0463733</v>
      </c>
      <c r="AI373" s="12">
        <v>0.043868</v>
      </c>
      <c r="AJ373" s="12">
        <v>0.0396288</v>
      </c>
      <c r="AK373" s="12">
        <v>0.0265393</v>
      </c>
      <c r="AL373" s="12">
        <v>0.0099539</v>
      </c>
      <c r="AM373" s="12">
        <v>0.0010363</v>
      </c>
      <c r="AN373" s="12">
        <v>0.0098661</v>
      </c>
      <c r="AO373" s="12">
        <v>0.0</v>
      </c>
      <c r="AP373" s="13">
        <v>0.0</v>
      </c>
      <c r="AQ373" s="13">
        <v>0.0</v>
      </c>
      <c r="AR373" s="13">
        <v>0.0</v>
      </c>
      <c r="AS373" s="13">
        <v>0.0</v>
      </c>
      <c r="AT373" s="2">
        <f>AVERAGE(L373:AN373)</f>
        <v>0.03514651379</v>
      </c>
      <c r="AU373" s="12">
        <f t="shared" si="29"/>
        <v>0.03514651379</v>
      </c>
      <c r="AV373" s="14"/>
      <c r="AW373" s="15"/>
      <c r="AX373" s="15"/>
    </row>
    <row r="374" ht="15.75" customHeight="1">
      <c r="A374" s="7">
        <v>240115.0</v>
      </c>
      <c r="B374" s="7">
        <v>73.0</v>
      </c>
      <c r="C374" s="7">
        <v>3.0</v>
      </c>
      <c r="D374" s="8" t="s">
        <v>227</v>
      </c>
      <c r="E374" s="7">
        <v>10.0</v>
      </c>
      <c r="F374" s="8" t="s">
        <v>48</v>
      </c>
      <c r="G374" s="8" t="s">
        <v>49</v>
      </c>
      <c r="H374" s="8" t="s">
        <v>65</v>
      </c>
      <c r="I374" s="22" t="s">
        <v>51</v>
      </c>
      <c r="J374" s="22" t="s">
        <v>52</v>
      </c>
      <c r="K374" s="11" t="s">
        <v>76</v>
      </c>
      <c r="L374" s="12">
        <v>0.0183771</v>
      </c>
      <c r="M374" s="12">
        <v>0.0176168</v>
      </c>
      <c r="N374" s="12">
        <v>0.0184914</v>
      </c>
      <c r="O374" s="12">
        <v>0.0188092</v>
      </c>
      <c r="P374" s="12">
        <v>0.01953</v>
      </c>
      <c r="Q374" s="12">
        <v>0.0224972</v>
      </c>
      <c r="R374" s="12">
        <v>0.0237571</v>
      </c>
      <c r="S374" s="12">
        <v>0.023152</v>
      </c>
      <c r="T374" s="12">
        <v>0.0234817</v>
      </c>
      <c r="U374" s="12">
        <v>0.025261</v>
      </c>
      <c r="V374" s="12">
        <v>0.0277439</v>
      </c>
      <c r="W374" s="12">
        <v>0.028928</v>
      </c>
      <c r="X374" s="12">
        <v>0.0280552</v>
      </c>
      <c r="Y374" s="12">
        <v>0.0279337</v>
      </c>
      <c r="Z374" s="12">
        <v>0.0302123</v>
      </c>
      <c r="AA374" s="12">
        <v>0.0330966</v>
      </c>
      <c r="AB374" s="12">
        <v>0.0341756</v>
      </c>
      <c r="AC374" s="12">
        <v>0.0344473</v>
      </c>
      <c r="AD374" s="12">
        <v>0.0358724</v>
      </c>
      <c r="AE374" s="12">
        <v>0.0367221</v>
      </c>
      <c r="AF374" s="12">
        <v>0.0367697</v>
      </c>
      <c r="AG374" s="12">
        <v>0.0350804</v>
      </c>
      <c r="AH374" s="12">
        <v>0.032381</v>
      </c>
      <c r="AI374" s="12">
        <v>0.0242663</v>
      </c>
      <c r="AJ374" s="12">
        <v>0.0154837</v>
      </c>
      <c r="AK374" s="12">
        <v>0.0110403</v>
      </c>
      <c r="AL374" s="12">
        <v>0.0</v>
      </c>
      <c r="AM374" s="12">
        <v>0.0</v>
      </c>
      <c r="AN374" s="12">
        <v>0.0</v>
      </c>
      <c r="AO374" s="12">
        <v>0.0</v>
      </c>
      <c r="AP374" s="13">
        <v>0.0</v>
      </c>
      <c r="AQ374" s="13">
        <v>0.0</v>
      </c>
      <c r="AR374" s="13">
        <v>0.0</v>
      </c>
      <c r="AS374" s="13">
        <v>0.0</v>
      </c>
      <c r="AT374" s="2">
        <f t="shared" ref="AT374:AT375" si="41">AVERAGE(L374:AK374)</f>
        <v>0.02627623077</v>
      </c>
      <c r="AU374" s="12">
        <f t="shared" si="29"/>
        <v>0.02627623077</v>
      </c>
      <c r="AV374" s="14"/>
      <c r="AW374" s="15"/>
      <c r="AX374" s="15"/>
    </row>
    <row r="375" ht="15.75" customHeight="1">
      <c r="A375" s="7">
        <v>240115.0</v>
      </c>
      <c r="B375" s="7">
        <v>73.0</v>
      </c>
      <c r="C375" s="7">
        <v>3.0</v>
      </c>
      <c r="D375" s="8" t="s">
        <v>228</v>
      </c>
      <c r="E375" s="7">
        <v>10.0</v>
      </c>
      <c r="F375" s="8" t="s">
        <v>48</v>
      </c>
      <c r="G375" s="8" t="s">
        <v>49</v>
      </c>
      <c r="H375" s="8" t="s">
        <v>61</v>
      </c>
      <c r="I375" s="22" t="s">
        <v>51</v>
      </c>
      <c r="J375" s="22" t="s">
        <v>52</v>
      </c>
      <c r="K375" s="11" t="s">
        <v>76</v>
      </c>
      <c r="L375" s="12">
        <v>0.0136791</v>
      </c>
      <c r="M375" s="12">
        <v>0.0157242</v>
      </c>
      <c r="N375" s="12">
        <v>0.0176564</v>
      </c>
      <c r="O375" s="12">
        <v>0.0188906</v>
      </c>
      <c r="P375" s="12">
        <v>0.0183768</v>
      </c>
      <c r="Q375" s="12">
        <v>0.0193129</v>
      </c>
      <c r="R375" s="12">
        <v>0.0208843</v>
      </c>
      <c r="S375" s="12">
        <v>0.0219307</v>
      </c>
      <c r="T375" s="12">
        <v>0.0238269</v>
      </c>
      <c r="U375" s="12">
        <v>0.0261224</v>
      </c>
      <c r="V375" s="12">
        <v>0.0265729</v>
      </c>
      <c r="W375" s="12">
        <v>0.0265463</v>
      </c>
      <c r="X375" s="12">
        <v>0.0260009</v>
      </c>
      <c r="Y375" s="12">
        <v>0.0260699</v>
      </c>
      <c r="Z375" s="12">
        <v>0.028774</v>
      </c>
      <c r="AA375" s="12">
        <v>0.0303155</v>
      </c>
      <c r="AB375" s="12">
        <v>0.0301613</v>
      </c>
      <c r="AC375" s="12">
        <v>0.0306891</v>
      </c>
      <c r="AD375" s="12">
        <v>0.0319407</v>
      </c>
      <c r="AE375" s="12">
        <v>0.034042</v>
      </c>
      <c r="AF375" s="12">
        <v>0.035362</v>
      </c>
      <c r="AG375" s="12">
        <v>0.0338803</v>
      </c>
      <c r="AH375" s="12">
        <v>0.0310218</v>
      </c>
      <c r="AI375" s="12">
        <v>0.0281089</v>
      </c>
      <c r="AJ375" s="12">
        <v>0.025838</v>
      </c>
      <c r="AK375" s="12">
        <v>0.0214879</v>
      </c>
      <c r="AL375" s="12">
        <v>0.0</v>
      </c>
      <c r="AM375" s="12">
        <v>0.0</v>
      </c>
      <c r="AN375" s="12">
        <v>0.0</v>
      </c>
      <c r="AO375" s="12">
        <v>0.0</v>
      </c>
      <c r="AP375" s="13">
        <v>0.0</v>
      </c>
      <c r="AQ375" s="13">
        <v>0.0</v>
      </c>
      <c r="AR375" s="13">
        <v>0.0</v>
      </c>
      <c r="AS375" s="13">
        <v>0.0</v>
      </c>
      <c r="AT375" s="2">
        <f t="shared" si="41"/>
        <v>0.0255083</v>
      </c>
      <c r="AU375" s="12">
        <f t="shared" si="29"/>
        <v>0.0255083</v>
      </c>
      <c r="AV375" s="14"/>
      <c r="AW375" s="15"/>
      <c r="AX375" s="15"/>
    </row>
    <row r="376" ht="15.75" customHeight="1">
      <c r="A376" s="7">
        <v>240115.0</v>
      </c>
      <c r="B376" s="7">
        <v>73.0</v>
      </c>
      <c r="C376" s="7">
        <v>3.0</v>
      </c>
      <c r="D376" s="8" t="s">
        <v>229</v>
      </c>
      <c r="E376" s="7">
        <v>10.0</v>
      </c>
      <c r="F376" s="8" t="s">
        <v>48</v>
      </c>
      <c r="G376" s="8" t="s">
        <v>49</v>
      </c>
      <c r="H376" s="8" t="s">
        <v>50</v>
      </c>
      <c r="I376" s="22" t="s">
        <v>51</v>
      </c>
      <c r="J376" s="22" t="s">
        <v>52</v>
      </c>
      <c r="K376" s="11" t="s">
        <v>76</v>
      </c>
      <c r="L376" s="12">
        <v>0.0099559</v>
      </c>
      <c r="M376" s="12">
        <v>0.0137671</v>
      </c>
      <c r="N376" s="12">
        <v>0.0157964</v>
      </c>
      <c r="O376" s="12">
        <v>0.0194541</v>
      </c>
      <c r="P376" s="12">
        <v>0.0207694</v>
      </c>
      <c r="Q376" s="12">
        <v>0.0194196</v>
      </c>
      <c r="R376" s="12">
        <v>0.0216627</v>
      </c>
      <c r="S376" s="12">
        <v>0.0220603</v>
      </c>
      <c r="T376" s="12">
        <v>0.0218441</v>
      </c>
      <c r="U376" s="12">
        <v>0.0234996</v>
      </c>
      <c r="V376" s="12">
        <v>0.0253271</v>
      </c>
      <c r="W376" s="12">
        <v>0.0241472</v>
      </c>
      <c r="X376" s="12">
        <v>0.0219401</v>
      </c>
      <c r="Y376" s="12">
        <v>0.0226907</v>
      </c>
      <c r="Z376" s="12">
        <v>0.0251087</v>
      </c>
      <c r="AA376" s="12">
        <v>0.0246969</v>
      </c>
      <c r="AB376" s="12">
        <v>0.0245198</v>
      </c>
      <c r="AC376" s="12">
        <v>0.0291217</v>
      </c>
      <c r="AD376" s="12">
        <v>0.030848</v>
      </c>
      <c r="AE376" s="12">
        <v>0.0326063</v>
      </c>
      <c r="AF376" s="12">
        <v>0.0352268</v>
      </c>
      <c r="AG376" s="12">
        <v>0.0365949</v>
      </c>
      <c r="AH376" s="12">
        <v>0.0357766</v>
      </c>
      <c r="AI376" s="12">
        <v>0.0343754</v>
      </c>
      <c r="AJ376" s="12">
        <v>0.033509</v>
      </c>
      <c r="AK376" s="12">
        <v>0.0313183</v>
      </c>
      <c r="AL376" s="12">
        <v>0.0241262</v>
      </c>
      <c r="AM376" s="12">
        <v>0.0</v>
      </c>
      <c r="AN376" s="12">
        <v>0.0</v>
      </c>
      <c r="AO376" s="12">
        <v>0.0</v>
      </c>
      <c r="AP376" s="13">
        <v>0.0</v>
      </c>
      <c r="AQ376" s="13">
        <v>0.0</v>
      </c>
      <c r="AR376" s="13">
        <v>0.0</v>
      </c>
      <c r="AS376" s="13">
        <v>0.0</v>
      </c>
      <c r="AT376" s="2">
        <f>AVERAGE(L376:AL376)</f>
        <v>0.02519121852</v>
      </c>
      <c r="AU376" s="12">
        <f t="shared" si="29"/>
        <v>0.02519121852</v>
      </c>
      <c r="AV376" s="14"/>
      <c r="AW376" s="15"/>
      <c r="AX376" s="15"/>
    </row>
    <row r="377" ht="15.75" customHeight="1">
      <c r="A377" s="7">
        <v>240115.0</v>
      </c>
      <c r="B377" s="7">
        <v>73.0</v>
      </c>
      <c r="C377" s="7">
        <v>3.0</v>
      </c>
      <c r="D377" s="8" t="s">
        <v>230</v>
      </c>
      <c r="E377" s="7">
        <v>10.0</v>
      </c>
      <c r="F377" s="8" t="s">
        <v>48</v>
      </c>
      <c r="G377" s="8" t="s">
        <v>49</v>
      </c>
      <c r="H377" s="8" t="s">
        <v>63</v>
      </c>
      <c r="I377" s="22" t="s">
        <v>51</v>
      </c>
      <c r="J377" s="22" t="s">
        <v>52</v>
      </c>
      <c r="K377" s="11" t="s">
        <v>76</v>
      </c>
      <c r="L377" s="12">
        <v>0.0200087</v>
      </c>
      <c r="M377" s="12">
        <v>0.0201353</v>
      </c>
      <c r="N377" s="12">
        <v>0.0214654</v>
      </c>
      <c r="O377" s="12">
        <v>0.0220833</v>
      </c>
      <c r="P377" s="12">
        <v>0.0196336</v>
      </c>
      <c r="Q377" s="12">
        <v>0.0164634</v>
      </c>
      <c r="R377" s="12">
        <v>0.0155093</v>
      </c>
      <c r="S377" s="12">
        <v>0.0188021</v>
      </c>
      <c r="T377" s="12">
        <v>0.0223901</v>
      </c>
      <c r="U377" s="12">
        <v>0.0228489</v>
      </c>
      <c r="V377" s="12">
        <v>0.0237015</v>
      </c>
      <c r="W377" s="12">
        <v>0.0242997</v>
      </c>
      <c r="X377" s="12">
        <v>0.0240633</v>
      </c>
      <c r="Y377" s="12">
        <v>0.0239018</v>
      </c>
      <c r="Z377" s="12">
        <v>0.0214138</v>
      </c>
      <c r="AA377" s="12">
        <v>0.0200092</v>
      </c>
      <c r="AB377" s="12">
        <v>0.0216114</v>
      </c>
      <c r="AC377" s="12">
        <v>0.0232047</v>
      </c>
      <c r="AD377" s="12">
        <v>0.0260207</v>
      </c>
      <c r="AE377" s="12">
        <v>0.0278735</v>
      </c>
      <c r="AF377" s="12">
        <v>0.0267707</v>
      </c>
      <c r="AG377" s="12">
        <v>0.0289943</v>
      </c>
      <c r="AH377" s="12">
        <v>0.0339071</v>
      </c>
      <c r="AI377" s="12">
        <v>0.0349039</v>
      </c>
      <c r="AJ377" s="12">
        <v>0.032685</v>
      </c>
      <c r="AK377" s="12">
        <v>0.0325535</v>
      </c>
      <c r="AL377" s="12">
        <v>0.0343418</v>
      </c>
      <c r="AM377" s="12">
        <v>0.0608899</v>
      </c>
      <c r="AN377" s="12">
        <v>0.0</v>
      </c>
      <c r="AO377" s="12">
        <v>0.0</v>
      </c>
      <c r="AP377" s="13">
        <v>0.0</v>
      </c>
      <c r="AQ377" s="13">
        <v>0.0</v>
      </c>
      <c r="AR377" s="13">
        <v>0.0</v>
      </c>
      <c r="AS377" s="13">
        <v>0.0</v>
      </c>
      <c r="AT377" s="2">
        <f>AVERAGE(L377:AM377)</f>
        <v>0.02573163929</v>
      </c>
      <c r="AU377" s="12">
        <f t="shared" si="29"/>
        <v>0.02573163929</v>
      </c>
      <c r="AV377" s="14"/>
      <c r="AW377" s="15"/>
      <c r="AX377" s="15"/>
    </row>
    <row r="378" ht="15.75" customHeight="1">
      <c r="A378" s="7">
        <v>240115.0</v>
      </c>
      <c r="B378" s="7">
        <v>73.0</v>
      </c>
      <c r="C378" s="7">
        <v>3.0</v>
      </c>
      <c r="D378" s="8" t="s">
        <v>231</v>
      </c>
      <c r="E378" s="7">
        <v>10.0</v>
      </c>
      <c r="F378" s="8" t="s">
        <v>48</v>
      </c>
      <c r="G378" s="8" t="s">
        <v>67</v>
      </c>
      <c r="H378" s="8" t="s">
        <v>65</v>
      </c>
      <c r="I378" s="22" t="s">
        <v>51</v>
      </c>
      <c r="J378" s="22" t="s">
        <v>52</v>
      </c>
      <c r="K378" s="11" t="s">
        <v>76</v>
      </c>
      <c r="L378" s="12">
        <v>0.019948</v>
      </c>
      <c r="M378" s="12">
        <v>0.0201986</v>
      </c>
      <c r="N378" s="12">
        <v>0.0217486</v>
      </c>
      <c r="O378" s="12">
        <v>0.0225584</v>
      </c>
      <c r="P378" s="12">
        <v>0.0218384</v>
      </c>
      <c r="Q378" s="12">
        <v>0.02195</v>
      </c>
      <c r="R378" s="12">
        <v>0.0215537</v>
      </c>
      <c r="S378" s="12">
        <v>0.0202512</v>
      </c>
      <c r="T378" s="12">
        <v>0.0202773</v>
      </c>
      <c r="U378" s="12">
        <v>0.0215622</v>
      </c>
      <c r="V378" s="12">
        <v>0.0229015</v>
      </c>
      <c r="W378" s="12">
        <v>0.023369</v>
      </c>
      <c r="X378" s="12">
        <v>0.0234316</v>
      </c>
      <c r="Y378" s="12">
        <v>0.0243465</v>
      </c>
      <c r="Z378" s="12">
        <v>0.0243738</v>
      </c>
      <c r="AA378" s="12">
        <v>0.0265346</v>
      </c>
      <c r="AB378" s="12">
        <v>0.0284052</v>
      </c>
      <c r="AC378" s="12">
        <v>0.0283797</v>
      </c>
      <c r="AD378" s="12">
        <v>0.0296092</v>
      </c>
      <c r="AE378" s="12">
        <v>0.0302188</v>
      </c>
      <c r="AF378" s="12">
        <v>0.0302067</v>
      </c>
      <c r="AG378" s="12">
        <v>0.0309754</v>
      </c>
      <c r="AH378" s="12">
        <v>0.0310843</v>
      </c>
      <c r="AI378" s="12">
        <v>0.031067</v>
      </c>
      <c r="AJ378" s="12">
        <v>0.0310279</v>
      </c>
      <c r="AK378" s="12">
        <v>0.0290897</v>
      </c>
      <c r="AL378" s="12">
        <v>0.0233289</v>
      </c>
      <c r="AM378" s="12">
        <v>0.0151305</v>
      </c>
      <c r="AN378" s="12">
        <v>0.0082821</v>
      </c>
      <c r="AO378" s="12">
        <v>0.0017517</v>
      </c>
      <c r="AP378" s="13">
        <v>0.0</v>
      </c>
      <c r="AQ378" s="13">
        <v>0.0</v>
      </c>
      <c r="AR378" s="13">
        <v>0.0</v>
      </c>
      <c r="AS378" s="13">
        <v>0.0</v>
      </c>
      <c r="AT378" s="2">
        <f>AVERAGE(L378:AO378)</f>
        <v>0.02351335</v>
      </c>
      <c r="AU378" s="12">
        <f t="shared" si="29"/>
        <v>0.02351335</v>
      </c>
      <c r="AV378" s="14"/>
      <c r="AW378" s="15"/>
      <c r="AX378" s="15"/>
    </row>
    <row r="379" ht="15.75" customHeight="1">
      <c r="A379" s="7">
        <v>240115.0</v>
      </c>
      <c r="B379" s="7">
        <v>73.0</v>
      </c>
      <c r="C379" s="7">
        <v>3.0</v>
      </c>
      <c r="D379" s="8" t="s">
        <v>232</v>
      </c>
      <c r="E379" s="7">
        <v>10.0</v>
      </c>
      <c r="F379" s="8" t="s">
        <v>48</v>
      </c>
      <c r="G379" s="8" t="s">
        <v>67</v>
      </c>
      <c r="H379" s="8" t="s">
        <v>63</v>
      </c>
      <c r="I379" s="22" t="s">
        <v>51</v>
      </c>
      <c r="J379" s="22" t="s">
        <v>52</v>
      </c>
      <c r="K379" s="11" t="s">
        <v>76</v>
      </c>
      <c r="L379" s="12">
        <v>0.0189652</v>
      </c>
      <c r="M379" s="12">
        <v>0.0196226</v>
      </c>
      <c r="N379" s="12">
        <v>0.0178224</v>
      </c>
      <c r="O379" s="12">
        <v>0.0162514</v>
      </c>
      <c r="P379" s="12">
        <v>0.0173721</v>
      </c>
      <c r="Q379" s="12">
        <v>0.0183547</v>
      </c>
      <c r="R379" s="12">
        <v>0.0187771</v>
      </c>
      <c r="S379" s="12">
        <v>0.0190478</v>
      </c>
      <c r="T379" s="12">
        <v>0.0187172</v>
      </c>
      <c r="U379" s="12">
        <v>0.0196848</v>
      </c>
      <c r="V379" s="12">
        <v>0.0200144</v>
      </c>
      <c r="W379" s="12">
        <v>0.0195006</v>
      </c>
      <c r="X379" s="12">
        <v>0.0198613</v>
      </c>
      <c r="Y379" s="12">
        <v>0.0201128</v>
      </c>
      <c r="Z379" s="12">
        <v>0.0209034</v>
      </c>
      <c r="AA379" s="12">
        <v>0.0224873</v>
      </c>
      <c r="AB379" s="12">
        <v>0.0238408</v>
      </c>
      <c r="AC379" s="12">
        <v>0.0245742</v>
      </c>
      <c r="AD379" s="12">
        <v>0.0257721</v>
      </c>
      <c r="AE379" s="12">
        <v>0.026007</v>
      </c>
      <c r="AF379" s="12">
        <v>0.0250262</v>
      </c>
      <c r="AG379" s="12">
        <v>0.0274062</v>
      </c>
      <c r="AH379" s="12">
        <v>0.0295465</v>
      </c>
      <c r="AI379" s="12">
        <v>0.0304072</v>
      </c>
      <c r="AJ379" s="12">
        <v>0.0303892</v>
      </c>
      <c r="AK379" s="12">
        <v>0.028978</v>
      </c>
      <c r="AL379" s="12">
        <v>0.0244058</v>
      </c>
      <c r="AM379" s="12">
        <v>0.0144806</v>
      </c>
      <c r="AN379" s="12">
        <v>0.0075371</v>
      </c>
      <c r="AO379" s="12">
        <v>0.0</v>
      </c>
      <c r="AP379" s="13">
        <v>0.0</v>
      </c>
      <c r="AQ379" s="13">
        <v>0.0</v>
      </c>
      <c r="AR379" s="13">
        <v>0.0</v>
      </c>
      <c r="AS379" s="13">
        <v>0.0</v>
      </c>
      <c r="AT379" s="2">
        <f t="shared" ref="AT379:AT381" si="42">AVERAGE(L379:AN379)</f>
        <v>0.02158158621</v>
      </c>
      <c r="AU379" s="12">
        <f t="shared" si="29"/>
        <v>0.02158158621</v>
      </c>
      <c r="AV379" s="14"/>
      <c r="AW379" s="15"/>
      <c r="AX379" s="15"/>
    </row>
    <row r="380" ht="15.75" customHeight="1">
      <c r="A380" s="7">
        <v>240115.0</v>
      </c>
      <c r="B380" s="7">
        <v>73.0</v>
      </c>
      <c r="C380" s="7">
        <v>3.0</v>
      </c>
      <c r="D380" s="8" t="s">
        <v>233</v>
      </c>
      <c r="E380" s="7">
        <v>10.0</v>
      </c>
      <c r="F380" s="8" t="s">
        <v>48</v>
      </c>
      <c r="G380" s="8" t="s">
        <v>67</v>
      </c>
      <c r="H380" s="8" t="s">
        <v>50</v>
      </c>
      <c r="I380" s="22" t="s">
        <v>51</v>
      </c>
      <c r="J380" s="22" t="s">
        <v>52</v>
      </c>
      <c r="K380" s="11" t="s">
        <v>76</v>
      </c>
      <c r="L380" s="12">
        <v>0.0231576</v>
      </c>
      <c r="M380" s="12">
        <v>0.024188</v>
      </c>
      <c r="N380" s="12">
        <v>0.0233856</v>
      </c>
      <c r="O380" s="12">
        <v>0.0220909</v>
      </c>
      <c r="P380" s="12">
        <v>0.0215061</v>
      </c>
      <c r="Q380" s="12">
        <v>0.0218461</v>
      </c>
      <c r="R380" s="12">
        <v>0.0219898</v>
      </c>
      <c r="S380" s="12">
        <v>0.0217953</v>
      </c>
      <c r="T380" s="12">
        <v>0.022543</v>
      </c>
      <c r="U380" s="12">
        <v>0.0228267</v>
      </c>
      <c r="V380" s="12">
        <v>0.0223347</v>
      </c>
      <c r="W380" s="12">
        <v>0.0237072</v>
      </c>
      <c r="X380" s="12">
        <v>0.0252212</v>
      </c>
      <c r="Y380" s="12">
        <v>0.0254</v>
      </c>
      <c r="Z380" s="12">
        <v>0.024951</v>
      </c>
      <c r="AA380" s="12">
        <v>0.024981</v>
      </c>
      <c r="AB380" s="12">
        <v>0.0275436</v>
      </c>
      <c r="AC380" s="12">
        <v>0.0293577</v>
      </c>
      <c r="AD380" s="12">
        <v>0.0284853</v>
      </c>
      <c r="AE380" s="12">
        <v>0.0281365</v>
      </c>
      <c r="AF380" s="12">
        <v>0.0293841</v>
      </c>
      <c r="AG380" s="12">
        <v>0.0310829</v>
      </c>
      <c r="AH380" s="12">
        <v>0.0336444</v>
      </c>
      <c r="AI380" s="12">
        <v>0.0365009</v>
      </c>
      <c r="AJ380" s="12">
        <v>0.0391541</v>
      </c>
      <c r="AK380" s="12">
        <v>0.0406595</v>
      </c>
      <c r="AL380" s="12">
        <v>0.0376909</v>
      </c>
      <c r="AM380" s="12">
        <v>0.0305386</v>
      </c>
      <c r="AN380" s="12">
        <v>0.0359615</v>
      </c>
      <c r="AO380" s="12">
        <v>0.0</v>
      </c>
      <c r="AP380" s="13">
        <v>0.0</v>
      </c>
      <c r="AQ380" s="13">
        <v>0.0</v>
      </c>
      <c r="AR380" s="13">
        <v>0.0</v>
      </c>
      <c r="AS380" s="13">
        <v>0.0</v>
      </c>
      <c r="AT380" s="2">
        <f t="shared" si="42"/>
        <v>0.02758842069</v>
      </c>
      <c r="AU380" s="12">
        <f t="shared" si="29"/>
        <v>0.02758842069</v>
      </c>
      <c r="AV380" s="14"/>
      <c r="AW380" s="15"/>
      <c r="AX380" s="15"/>
    </row>
    <row r="381" ht="15.75" customHeight="1">
      <c r="A381" s="7">
        <v>240115.0</v>
      </c>
      <c r="B381" s="7">
        <v>73.0</v>
      </c>
      <c r="C381" s="7">
        <v>3.0</v>
      </c>
      <c r="D381" s="8" t="s">
        <v>234</v>
      </c>
      <c r="E381" s="7">
        <v>10.0</v>
      </c>
      <c r="F381" s="8" t="s">
        <v>48</v>
      </c>
      <c r="G381" s="8" t="s">
        <v>67</v>
      </c>
      <c r="H381" s="8" t="s">
        <v>61</v>
      </c>
      <c r="I381" s="22" t="s">
        <v>51</v>
      </c>
      <c r="J381" s="22" t="s">
        <v>52</v>
      </c>
      <c r="K381" s="11" t="s">
        <v>76</v>
      </c>
      <c r="L381" s="12">
        <v>0.0146262</v>
      </c>
      <c r="M381" s="12">
        <v>0.0177244</v>
      </c>
      <c r="N381" s="12">
        <v>0.0188628</v>
      </c>
      <c r="O381" s="12">
        <v>0.0188483</v>
      </c>
      <c r="P381" s="12">
        <v>0.0195862</v>
      </c>
      <c r="Q381" s="12">
        <v>0.0194392</v>
      </c>
      <c r="R381" s="12">
        <v>0.0190864</v>
      </c>
      <c r="S381" s="12">
        <v>0.0200226</v>
      </c>
      <c r="T381" s="12">
        <v>0.0215079</v>
      </c>
      <c r="U381" s="12">
        <v>0.0229923</v>
      </c>
      <c r="V381" s="12">
        <v>0.024524</v>
      </c>
      <c r="W381" s="12">
        <v>0.0243603</v>
      </c>
      <c r="X381" s="12">
        <v>0.0239206</v>
      </c>
      <c r="Y381" s="12">
        <v>0.0249815</v>
      </c>
      <c r="Z381" s="12">
        <v>0.0254268</v>
      </c>
      <c r="AA381" s="12">
        <v>0.0263861</v>
      </c>
      <c r="AB381" s="12">
        <v>0.027031</v>
      </c>
      <c r="AC381" s="12">
        <v>0.0264059</v>
      </c>
      <c r="AD381" s="12">
        <v>0.0269424</v>
      </c>
      <c r="AE381" s="12">
        <v>0.0271158</v>
      </c>
      <c r="AF381" s="12">
        <v>0.0257183</v>
      </c>
      <c r="AG381" s="12">
        <v>0.0230612</v>
      </c>
      <c r="AH381" s="12">
        <v>0.0210742</v>
      </c>
      <c r="AI381" s="12">
        <v>0.0219867</v>
      </c>
      <c r="AJ381" s="12">
        <v>0.0208316</v>
      </c>
      <c r="AK381" s="12">
        <v>0.0168172</v>
      </c>
      <c r="AL381" s="12">
        <v>0.0103122</v>
      </c>
      <c r="AM381" s="12">
        <v>0.0026225</v>
      </c>
      <c r="AN381" s="12">
        <v>8.73E-5</v>
      </c>
      <c r="AO381" s="12">
        <v>0.0</v>
      </c>
      <c r="AP381" s="13">
        <v>0.0</v>
      </c>
      <c r="AQ381" s="13">
        <v>0.0</v>
      </c>
      <c r="AR381" s="13">
        <v>0.0</v>
      </c>
      <c r="AS381" s="13">
        <v>0.0</v>
      </c>
      <c r="AT381" s="2">
        <f t="shared" si="42"/>
        <v>0.02042420345</v>
      </c>
      <c r="AU381" s="12">
        <f t="shared" si="29"/>
        <v>0.02042420345</v>
      </c>
      <c r="AV381" s="14"/>
      <c r="AW381" s="15"/>
      <c r="AX381" s="15"/>
    </row>
    <row r="382" ht="15.75" customHeight="1">
      <c r="A382" s="7">
        <v>240119.0</v>
      </c>
      <c r="B382" s="7">
        <v>73.0</v>
      </c>
      <c r="C382" s="7">
        <v>3.0</v>
      </c>
      <c r="D382" s="8" t="s">
        <v>235</v>
      </c>
      <c r="E382" s="7">
        <v>10.0</v>
      </c>
      <c r="F382" s="8" t="s">
        <v>56</v>
      </c>
      <c r="G382" s="8" t="s">
        <v>49</v>
      </c>
      <c r="H382" s="8" t="s">
        <v>50</v>
      </c>
      <c r="I382" s="22" t="s">
        <v>51</v>
      </c>
      <c r="J382" s="22" t="s">
        <v>52</v>
      </c>
      <c r="K382" s="11" t="s">
        <v>118</v>
      </c>
      <c r="L382" s="12">
        <v>0.012779</v>
      </c>
      <c r="M382" s="12">
        <v>0.0173053</v>
      </c>
      <c r="N382" s="12">
        <v>0.0208597</v>
      </c>
      <c r="O382" s="12">
        <v>0.0212461</v>
      </c>
      <c r="P382" s="12">
        <v>0.0207394</v>
      </c>
      <c r="Q382" s="12">
        <v>0.0202113</v>
      </c>
      <c r="R382" s="12">
        <v>0.0183153</v>
      </c>
      <c r="S382" s="12">
        <v>0.0193486</v>
      </c>
      <c r="T382" s="12">
        <v>0.0206725</v>
      </c>
      <c r="U382" s="12">
        <v>0.0211124</v>
      </c>
      <c r="V382" s="12">
        <v>0.0213779</v>
      </c>
      <c r="W382" s="12">
        <v>0.0217574</v>
      </c>
      <c r="X382" s="12">
        <v>0.023537</v>
      </c>
      <c r="Y382" s="12">
        <v>0.0253671</v>
      </c>
      <c r="Z382" s="12">
        <v>0.0270841</v>
      </c>
      <c r="AA382" s="12">
        <v>0.0284238</v>
      </c>
      <c r="AB382" s="12">
        <v>0.0279264</v>
      </c>
      <c r="AC382" s="12">
        <v>0.0271008</v>
      </c>
      <c r="AD382" s="12">
        <v>0.0279628</v>
      </c>
      <c r="AE382" s="12">
        <v>0.0290642</v>
      </c>
      <c r="AF382" s="12">
        <v>0.03157</v>
      </c>
      <c r="AG382" s="12">
        <v>0.0335657</v>
      </c>
      <c r="AH382" s="12">
        <v>0.0334063</v>
      </c>
      <c r="AI382" s="12">
        <v>0.0328532</v>
      </c>
      <c r="AJ382" s="12">
        <v>0.0329057</v>
      </c>
      <c r="AK382" s="12">
        <v>0.031575</v>
      </c>
      <c r="AL382" s="12">
        <v>0.027533</v>
      </c>
      <c r="AM382" s="12">
        <v>0.0</v>
      </c>
      <c r="AN382" s="12">
        <v>0.0</v>
      </c>
      <c r="AO382" s="12">
        <v>0.0</v>
      </c>
      <c r="AP382" s="13">
        <v>0.0</v>
      </c>
      <c r="AQ382" s="13">
        <v>0.0</v>
      </c>
      <c r="AR382" s="13">
        <v>0.0</v>
      </c>
      <c r="AS382" s="13">
        <v>0.0</v>
      </c>
      <c r="AT382" s="2">
        <f>AVERAGE(L382:AL382)</f>
        <v>0.02502222222</v>
      </c>
      <c r="AU382" s="12">
        <f t="shared" si="29"/>
        <v>0.02502222222</v>
      </c>
      <c r="AV382" s="14"/>
      <c r="AW382" s="15"/>
      <c r="AX382" s="15"/>
    </row>
    <row r="383" ht="15.75" customHeight="1">
      <c r="A383" s="7">
        <v>240119.0</v>
      </c>
      <c r="B383" s="7">
        <v>73.0</v>
      </c>
      <c r="C383" s="7">
        <v>3.0</v>
      </c>
      <c r="D383" s="8" t="s">
        <v>236</v>
      </c>
      <c r="E383" s="7">
        <v>10.0</v>
      </c>
      <c r="F383" s="8" t="s">
        <v>56</v>
      </c>
      <c r="G383" s="8" t="s">
        <v>49</v>
      </c>
      <c r="H383" s="8" t="s">
        <v>63</v>
      </c>
      <c r="I383" s="22" t="s">
        <v>51</v>
      </c>
      <c r="J383" s="22" t="s">
        <v>52</v>
      </c>
      <c r="K383" s="11" t="s">
        <v>118</v>
      </c>
      <c r="L383" s="12">
        <v>0.0156642</v>
      </c>
      <c r="M383" s="12">
        <v>0.0205206</v>
      </c>
      <c r="N383" s="12">
        <v>0.0230899</v>
      </c>
      <c r="O383" s="12">
        <v>0.0217877</v>
      </c>
      <c r="P383" s="12">
        <v>0.0202477</v>
      </c>
      <c r="Q383" s="12">
        <v>0.020182</v>
      </c>
      <c r="R383" s="12">
        <v>0.0205945</v>
      </c>
      <c r="S383" s="12">
        <v>0.0210476</v>
      </c>
      <c r="T383" s="12">
        <v>0.0215301</v>
      </c>
      <c r="U383" s="12">
        <v>0.0219386</v>
      </c>
      <c r="V383" s="12">
        <v>0.0220073</v>
      </c>
      <c r="W383" s="12">
        <v>0.0231858</v>
      </c>
      <c r="X383" s="12">
        <v>0.0246013</v>
      </c>
      <c r="Y383" s="12">
        <v>0.0264149</v>
      </c>
      <c r="Z383" s="12">
        <v>0.0279243</v>
      </c>
      <c r="AA383" s="12">
        <v>0.0276923</v>
      </c>
      <c r="AB383" s="12">
        <v>0.0259633</v>
      </c>
      <c r="AC383" s="12">
        <v>0.0253788</v>
      </c>
      <c r="AD383" s="12">
        <v>0.0272158</v>
      </c>
      <c r="AE383" s="12">
        <v>0.0262309</v>
      </c>
      <c r="AF383" s="12">
        <v>0.025438</v>
      </c>
      <c r="AG383" s="12">
        <v>0.0267875</v>
      </c>
      <c r="AH383" s="12">
        <v>0.0275593</v>
      </c>
      <c r="AI383" s="12">
        <v>0.0287</v>
      </c>
      <c r="AJ383" s="12">
        <v>0.0278985</v>
      </c>
      <c r="AK383" s="12">
        <v>0.0266721</v>
      </c>
      <c r="AL383" s="12">
        <v>0.0215462</v>
      </c>
      <c r="AM383" s="12">
        <v>0.0139327</v>
      </c>
      <c r="AN383" s="12">
        <v>0.0</v>
      </c>
      <c r="AO383" s="12">
        <v>0.0</v>
      </c>
      <c r="AP383" s="13">
        <v>0.0</v>
      </c>
      <c r="AQ383" s="13">
        <v>0.0</v>
      </c>
      <c r="AR383" s="13">
        <v>0.0</v>
      </c>
      <c r="AS383" s="13">
        <v>0.0</v>
      </c>
      <c r="AT383" s="2">
        <f>AVERAGE(L383:AM383)</f>
        <v>0.02363399643</v>
      </c>
      <c r="AU383" s="12">
        <f t="shared" si="29"/>
        <v>0.02363399643</v>
      </c>
      <c r="AV383" s="14"/>
      <c r="AW383" s="15"/>
      <c r="AX383" s="15"/>
    </row>
    <row r="384" ht="15.75" customHeight="1">
      <c r="A384" s="7">
        <v>240119.0</v>
      </c>
      <c r="B384" s="7">
        <v>73.0</v>
      </c>
      <c r="C384" s="7">
        <v>3.0</v>
      </c>
      <c r="D384" s="8" t="s">
        <v>237</v>
      </c>
      <c r="E384" s="7">
        <v>10.0</v>
      </c>
      <c r="F384" s="8" t="s">
        <v>56</v>
      </c>
      <c r="G384" s="8" t="s">
        <v>49</v>
      </c>
      <c r="H384" s="8" t="s">
        <v>65</v>
      </c>
      <c r="I384" s="22" t="s">
        <v>51</v>
      </c>
      <c r="J384" s="22" t="s">
        <v>52</v>
      </c>
      <c r="K384" s="11" t="s">
        <v>118</v>
      </c>
      <c r="L384" s="12">
        <v>0.0200792</v>
      </c>
      <c r="M384" s="12">
        <v>0.0193259</v>
      </c>
      <c r="N384" s="12">
        <v>0.0221393</v>
      </c>
      <c r="O384" s="12">
        <v>0.0233993</v>
      </c>
      <c r="P384" s="12">
        <v>0.0227472</v>
      </c>
      <c r="Q384" s="12">
        <v>0.0223179</v>
      </c>
      <c r="R384" s="12">
        <v>0.0209786</v>
      </c>
      <c r="S384" s="12">
        <v>0.020389</v>
      </c>
      <c r="T384" s="12">
        <v>0.0215769</v>
      </c>
      <c r="U384" s="12">
        <v>0.0225491</v>
      </c>
      <c r="V384" s="12">
        <v>0.0240302</v>
      </c>
      <c r="W384" s="12">
        <v>0.0264403</v>
      </c>
      <c r="X384" s="12">
        <v>0.027477</v>
      </c>
      <c r="Y384" s="12">
        <v>0.030129</v>
      </c>
      <c r="Z384" s="12">
        <v>0.0316441</v>
      </c>
      <c r="AA384" s="12">
        <v>0.0308381</v>
      </c>
      <c r="AB384" s="12">
        <v>0.0312274</v>
      </c>
      <c r="AC384" s="12">
        <v>0.0312923</v>
      </c>
      <c r="AD384" s="12">
        <v>0.031893</v>
      </c>
      <c r="AE384" s="12">
        <v>0.0340207</v>
      </c>
      <c r="AF384" s="12">
        <v>0.0364859</v>
      </c>
      <c r="AG384" s="12">
        <v>0.0360935</v>
      </c>
      <c r="AH384" s="12">
        <v>0.0337683</v>
      </c>
      <c r="AI384" s="12">
        <v>0.0342555</v>
      </c>
      <c r="AJ384" s="12">
        <v>0.0336647</v>
      </c>
      <c r="AK384" s="12">
        <v>0.0308008</v>
      </c>
      <c r="AL384" s="12">
        <v>0.0275468</v>
      </c>
      <c r="AM384" s="12">
        <v>0.0212894</v>
      </c>
      <c r="AN384" s="12">
        <v>0.0109721</v>
      </c>
      <c r="AO384" s="12">
        <v>0.0</v>
      </c>
      <c r="AP384" s="13">
        <v>0.0</v>
      </c>
      <c r="AQ384" s="13">
        <v>0.0</v>
      </c>
      <c r="AR384" s="13">
        <v>0.0</v>
      </c>
      <c r="AS384" s="13">
        <v>0.0</v>
      </c>
      <c r="AT384" s="2">
        <f>AVERAGE(L384:AN384)</f>
        <v>0.02687487931</v>
      </c>
      <c r="AU384" s="12">
        <f t="shared" si="29"/>
        <v>0.02687487931</v>
      </c>
      <c r="AV384" s="14"/>
      <c r="AW384" s="15"/>
      <c r="AX384" s="15"/>
    </row>
    <row r="385" ht="15.75" customHeight="1">
      <c r="A385" s="7">
        <v>240119.0</v>
      </c>
      <c r="B385" s="7">
        <v>73.0</v>
      </c>
      <c r="C385" s="7">
        <v>3.0</v>
      </c>
      <c r="D385" s="8" t="s">
        <v>238</v>
      </c>
      <c r="E385" s="7">
        <v>10.0</v>
      </c>
      <c r="F385" s="8" t="s">
        <v>56</v>
      </c>
      <c r="G385" s="8" t="s">
        <v>49</v>
      </c>
      <c r="H385" s="8" t="s">
        <v>61</v>
      </c>
      <c r="I385" s="22" t="s">
        <v>51</v>
      </c>
      <c r="J385" s="22" t="s">
        <v>52</v>
      </c>
      <c r="K385" s="11" t="s">
        <v>118</v>
      </c>
      <c r="L385" s="12">
        <v>0.024994</v>
      </c>
      <c r="M385" s="12">
        <v>0.0238291</v>
      </c>
      <c r="N385" s="12">
        <v>0.0211204</v>
      </c>
      <c r="O385" s="12">
        <v>0.0206732</v>
      </c>
      <c r="P385" s="12">
        <v>0.0234566</v>
      </c>
      <c r="Q385" s="12">
        <v>0.0240022</v>
      </c>
      <c r="R385" s="12">
        <v>0.0224796</v>
      </c>
      <c r="S385" s="12">
        <v>0.0214187</v>
      </c>
      <c r="T385" s="12">
        <v>0.0196441</v>
      </c>
      <c r="U385" s="12">
        <v>0.0203048</v>
      </c>
      <c r="V385" s="12">
        <v>0.0240875</v>
      </c>
      <c r="W385" s="12">
        <v>0.0254004</v>
      </c>
      <c r="X385" s="12">
        <v>0.0269377</v>
      </c>
      <c r="Y385" s="12">
        <v>0.0279802</v>
      </c>
      <c r="Z385" s="12">
        <v>0.0308102</v>
      </c>
      <c r="AA385" s="12">
        <v>0.0338305</v>
      </c>
      <c r="AB385" s="12">
        <v>0.0333394</v>
      </c>
      <c r="AC385" s="12">
        <v>0.0317299</v>
      </c>
      <c r="AD385" s="12">
        <v>0.030437</v>
      </c>
      <c r="AE385" s="12">
        <v>0.0297663</v>
      </c>
      <c r="AF385" s="12">
        <v>0.0303886</v>
      </c>
      <c r="AG385" s="12">
        <v>0.0319311</v>
      </c>
      <c r="AH385" s="12">
        <v>0.0340061</v>
      </c>
      <c r="AI385" s="12">
        <v>0.0360592</v>
      </c>
      <c r="AJ385" s="12">
        <v>0.0375152</v>
      </c>
      <c r="AK385" s="12">
        <v>0.038083</v>
      </c>
      <c r="AL385" s="12">
        <v>0.0394135</v>
      </c>
      <c r="AM385" s="12">
        <v>0.0838894</v>
      </c>
      <c r="AN385" s="12">
        <v>0.0</v>
      </c>
      <c r="AO385" s="12">
        <v>0.0</v>
      </c>
      <c r="AP385" s="13">
        <v>0.0</v>
      </c>
      <c r="AQ385" s="13">
        <v>0.0</v>
      </c>
      <c r="AR385" s="13">
        <v>0.0</v>
      </c>
      <c r="AS385" s="13">
        <v>0.0</v>
      </c>
      <c r="AT385" s="2">
        <f>AVERAGE(L385:AM385)</f>
        <v>0.03026885357</v>
      </c>
      <c r="AU385" s="12">
        <f t="shared" si="29"/>
        <v>0.03026885357</v>
      </c>
      <c r="AV385" s="14"/>
      <c r="AW385" s="15"/>
      <c r="AX385" s="15"/>
    </row>
    <row r="386" ht="15.75" customHeight="1"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3"/>
      <c r="AQ386" s="13"/>
      <c r="AR386" s="13"/>
      <c r="AS386" s="13"/>
      <c r="AT386" s="12"/>
      <c r="AU386" s="12"/>
      <c r="AV386" s="14"/>
      <c r="AW386" s="15"/>
      <c r="AX386" s="15"/>
    </row>
    <row r="387" ht="15.75" customHeight="1"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3"/>
      <c r="AQ387" s="13"/>
      <c r="AR387" s="13"/>
      <c r="AS387" s="13"/>
      <c r="AT387" s="12"/>
      <c r="AU387" s="12"/>
      <c r="AV387" s="14"/>
      <c r="AW387" s="15"/>
      <c r="AX387" s="15"/>
    </row>
    <row r="388" ht="15.75" customHeight="1">
      <c r="A388" s="7">
        <v>231110.0</v>
      </c>
      <c r="B388" s="7">
        <v>67.0</v>
      </c>
      <c r="C388" s="7">
        <v>1.0</v>
      </c>
      <c r="D388" s="8" t="s">
        <v>239</v>
      </c>
      <c r="E388" s="7">
        <v>11.0</v>
      </c>
      <c r="F388" s="8" t="s">
        <v>48</v>
      </c>
      <c r="G388" s="8" t="s">
        <v>89</v>
      </c>
      <c r="H388" s="8" t="s">
        <v>61</v>
      </c>
      <c r="I388" s="22" t="s">
        <v>146</v>
      </c>
      <c r="J388" s="22" t="s">
        <v>52</v>
      </c>
      <c r="K388" s="11" t="s">
        <v>53</v>
      </c>
      <c r="L388" s="18">
        <v>0.026538</v>
      </c>
      <c r="M388" s="18">
        <v>0.026046</v>
      </c>
      <c r="N388" s="18">
        <v>0.026879</v>
      </c>
      <c r="O388" s="18">
        <v>0.028412</v>
      </c>
      <c r="P388" s="18">
        <v>0.029167</v>
      </c>
      <c r="Q388" s="18">
        <v>0.030135</v>
      </c>
      <c r="R388" s="18">
        <v>0.030966</v>
      </c>
      <c r="S388" s="18">
        <v>0.029856</v>
      </c>
      <c r="T388" s="18">
        <v>0.029012</v>
      </c>
      <c r="U388" s="18">
        <v>0.028644</v>
      </c>
      <c r="V388" s="18">
        <v>0.028478</v>
      </c>
      <c r="W388" s="18">
        <v>0.027783</v>
      </c>
      <c r="X388" s="18">
        <v>0.026075</v>
      </c>
      <c r="Y388" s="18">
        <v>0.025293</v>
      </c>
      <c r="Z388" s="18">
        <v>0.024419</v>
      </c>
      <c r="AA388" s="18">
        <v>0.025416</v>
      </c>
      <c r="AB388" s="18">
        <v>0.026704</v>
      </c>
      <c r="AC388" s="18">
        <v>0.025603</v>
      </c>
      <c r="AD388" s="18">
        <v>0.024912</v>
      </c>
      <c r="AE388" s="18">
        <v>0.025641</v>
      </c>
      <c r="AF388" s="18">
        <v>0.024929</v>
      </c>
      <c r="AG388" s="18">
        <v>0.023282</v>
      </c>
      <c r="AH388" s="18">
        <v>0.021986</v>
      </c>
      <c r="AI388" s="18">
        <v>0.02077</v>
      </c>
      <c r="AJ388" s="18">
        <v>0.017186</v>
      </c>
      <c r="AK388" s="18">
        <v>0.009416</v>
      </c>
      <c r="AL388" s="18">
        <v>0.002594</v>
      </c>
      <c r="AM388" s="18">
        <v>4.76E-5</v>
      </c>
      <c r="AN388" s="18">
        <v>3.13E-5</v>
      </c>
      <c r="AO388" s="18">
        <v>0.0</v>
      </c>
      <c r="AP388" s="20">
        <v>0.0</v>
      </c>
      <c r="AQ388" s="20">
        <v>0.0</v>
      </c>
      <c r="AR388" s="20">
        <v>0.0</v>
      </c>
      <c r="AS388" s="20">
        <v>0.0</v>
      </c>
      <c r="AT388" s="2">
        <f>AVERAGE(L388:AN388)</f>
        <v>0.02297313448</v>
      </c>
      <c r="AU388" s="12">
        <f t="shared" ref="AU388:AU477" si="43">AVERAGEIF(L388:AS388, "&gt;0")
</f>
        <v>0.02297313448</v>
      </c>
      <c r="AV388" s="14"/>
      <c r="AW388" s="15"/>
      <c r="AX388" s="15"/>
    </row>
    <row r="389" ht="15.75" customHeight="1">
      <c r="A389" s="7">
        <v>231110.0</v>
      </c>
      <c r="B389" s="7">
        <v>67.0</v>
      </c>
      <c r="C389" s="7">
        <v>1.0</v>
      </c>
      <c r="D389" s="8" t="s">
        <v>240</v>
      </c>
      <c r="E389" s="7">
        <v>11.0</v>
      </c>
      <c r="F389" s="8" t="s">
        <v>48</v>
      </c>
      <c r="G389" s="8" t="s">
        <v>89</v>
      </c>
      <c r="H389" s="8" t="s">
        <v>50</v>
      </c>
      <c r="I389" s="22" t="s">
        <v>146</v>
      </c>
      <c r="J389" s="22" t="s">
        <v>52</v>
      </c>
      <c r="K389" s="11" t="s">
        <v>53</v>
      </c>
      <c r="L389" s="18">
        <v>0.022479</v>
      </c>
      <c r="M389" s="18">
        <v>0.029819</v>
      </c>
      <c r="N389" s="18">
        <v>0.030699</v>
      </c>
      <c r="O389" s="18">
        <v>0.029979</v>
      </c>
      <c r="P389" s="18">
        <v>0.032156</v>
      </c>
      <c r="Q389" s="18">
        <v>0.032063</v>
      </c>
      <c r="R389" s="18">
        <v>0.032485</v>
      </c>
      <c r="S389" s="18">
        <v>0.034217</v>
      </c>
      <c r="T389" s="18">
        <v>0.032554</v>
      </c>
      <c r="U389" s="18">
        <v>0.032043</v>
      </c>
      <c r="V389" s="18">
        <v>0.033618</v>
      </c>
      <c r="W389" s="18">
        <v>0.033548</v>
      </c>
      <c r="X389" s="18">
        <v>0.03299</v>
      </c>
      <c r="Y389" s="18">
        <v>0.033155</v>
      </c>
      <c r="Z389" s="18">
        <v>0.035271</v>
      </c>
      <c r="AA389" s="18">
        <v>0.034724</v>
      </c>
      <c r="AB389" s="18">
        <v>0.034423</v>
      </c>
      <c r="AC389" s="18">
        <v>0.034634</v>
      </c>
      <c r="AD389" s="18">
        <v>0.033199</v>
      </c>
      <c r="AE389" s="18">
        <v>0.031801</v>
      </c>
      <c r="AF389" s="18">
        <v>0.031661</v>
      </c>
      <c r="AG389" s="18">
        <v>0.033896</v>
      </c>
      <c r="AH389" s="18">
        <v>0.033768</v>
      </c>
      <c r="AI389" s="18">
        <v>0.029526</v>
      </c>
      <c r="AJ389" s="18">
        <v>0.02539</v>
      </c>
      <c r="AK389" s="18">
        <v>0.018685</v>
      </c>
      <c r="AL389" s="18">
        <v>0.007993</v>
      </c>
      <c r="AM389" s="18">
        <v>0.001515</v>
      </c>
      <c r="AN389" s="18">
        <v>0.0</v>
      </c>
      <c r="AO389" s="2">
        <v>0.0</v>
      </c>
      <c r="AP389" s="20">
        <v>0.0</v>
      </c>
      <c r="AQ389" s="20">
        <v>0.0</v>
      </c>
      <c r="AR389" s="20">
        <v>0.0</v>
      </c>
      <c r="AS389" s="20">
        <v>0.0</v>
      </c>
      <c r="AT389" s="2">
        <f t="shared" ref="AT389:AT390" si="44">AVERAGE(L389:AM389)</f>
        <v>0.02958182143</v>
      </c>
      <c r="AU389" s="12">
        <f t="shared" si="43"/>
        <v>0.02958182143</v>
      </c>
      <c r="AV389" s="14"/>
      <c r="AW389" s="15"/>
      <c r="AX389" s="15"/>
    </row>
    <row r="390" ht="15.75" customHeight="1">
      <c r="A390" s="7">
        <v>231110.0</v>
      </c>
      <c r="B390" s="7">
        <v>67.0</v>
      </c>
      <c r="C390" s="7">
        <v>1.0</v>
      </c>
      <c r="D390" s="8" t="s">
        <v>241</v>
      </c>
      <c r="E390" s="7">
        <v>11.0</v>
      </c>
      <c r="F390" s="8" t="s">
        <v>48</v>
      </c>
      <c r="G390" s="8" t="s">
        <v>89</v>
      </c>
      <c r="H390" s="8" t="s">
        <v>63</v>
      </c>
      <c r="I390" s="22" t="s">
        <v>146</v>
      </c>
      <c r="J390" s="22" t="s">
        <v>52</v>
      </c>
      <c r="K390" s="11" t="s">
        <v>53</v>
      </c>
      <c r="L390" s="18">
        <v>0.02825</v>
      </c>
      <c r="M390" s="18">
        <v>0.032087</v>
      </c>
      <c r="N390" s="18">
        <v>0.033434</v>
      </c>
      <c r="O390" s="18">
        <v>0.03235</v>
      </c>
      <c r="P390" s="18">
        <v>0.029761</v>
      </c>
      <c r="Q390" s="18">
        <v>0.028997</v>
      </c>
      <c r="R390" s="18">
        <v>0.030479</v>
      </c>
      <c r="S390" s="18">
        <v>0.031796</v>
      </c>
      <c r="T390" s="18">
        <v>0.031162</v>
      </c>
      <c r="U390" s="18">
        <v>0.029693</v>
      </c>
      <c r="V390" s="18">
        <v>0.031035</v>
      </c>
      <c r="W390" s="18">
        <v>0.032558</v>
      </c>
      <c r="X390" s="18">
        <v>0.032968</v>
      </c>
      <c r="Y390" s="18">
        <v>0.032434</v>
      </c>
      <c r="Z390" s="18">
        <v>0.032352</v>
      </c>
      <c r="AA390" s="18">
        <v>0.032544</v>
      </c>
      <c r="AB390" s="18">
        <v>0.031474</v>
      </c>
      <c r="AC390" s="18">
        <v>0.030922</v>
      </c>
      <c r="AD390" s="18">
        <v>0.029628</v>
      </c>
      <c r="AE390" s="18">
        <v>0.028776</v>
      </c>
      <c r="AF390" s="18">
        <v>0.028535</v>
      </c>
      <c r="AG390" s="18">
        <v>0.027671</v>
      </c>
      <c r="AH390" s="18">
        <v>0.026934</v>
      </c>
      <c r="AI390" s="18">
        <v>0.026522</v>
      </c>
      <c r="AJ390" s="18">
        <v>0.022254</v>
      </c>
      <c r="AK390" s="18">
        <v>0.015364</v>
      </c>
      <c r="AL390" s="18">
        <v>0.007461</v>
      </c>
      <c r="AM390" s="18">
        <v>0.001114</v>
      </c>
      <c r="AN390" s="18">
        <v>0.0</v>
      </c>
      <c r="AO390" s="2">
        <v>0.0</v>
      </c>
      <c r="AP390" s="20">
        <v>0.0</v>
      </c>
      <c r="AQ390" s="20">
        <v>0.0</v>
      </c>
      <c r="AR390" s="20">
        <v>0.0</v>
      </c>
      <c r="AS390" s="20">
        <v>0.0</v>
      </c>
      <c r="AT390" s="2">
        <f t="shared" si="44"/>
        <v>0.02780553571</v>
      </c>
      <c r="AU390" s="12">
        <f t="shared" si="43"/>
        <v>0.02780553571</v>
      </c>
      <c r="AV390" s="14"/>
      <c r="AW390" s="15"/>
      <c r="AX390" s="15"/>
    </row>
    <row r="391" ht="15.75" customHeight="1">
      <c r="A391" s="7">
        <v>231110.0</v>
      </c>
      <c r="B391" s="7">
        <v>67.0</v>
      </c>
      <c r="C391" s="7">
        <v>1.0</v>
      </c>
      <c r="D391" s="8" t="s">
        <v>242</v>
      </c>
      <c r="E391" s="7">
        <v>11.0</v>
      </c>
      <c r="F391" s="8" t="s">
        <v>48</v>
      </c>
      <c r="G391" s="8" t="s">
        <v>85</v>
      </c>
      <c r="H391" s="8" t="s">
        <v>61</v>
      </c>
      <c r="I391" s="22" t="s">
        <v>146</v>
      </c>
      <c r="J391" s="22" t="s">
        <v>52</v>
      </c>
      <c r="K391" s="11" t="s">
        <v>53</v>
      </c>
      <c r="L391" s="18">
        <v>0.012584</v>
      </c>
      <c r="M391" s="18">
        <v>0.01583</v>
      </c>
      <c r="N391" s="18">
        <v>0.019177</v>
      </c>
      <c r="O391" s="18">
        <v>0.020922</v>
      </c>
      <c r="P391" s="18">
        <v>0.020291</v>
      </c>
      <c r="Q391" s="18">
        <v>0.019796</v>
      </c>
      <c r="R391" s="18">
        <v>0.020684</v>
      </c>
      <c r="S391" s="18">
        <v>0.020179</v>
      </c>
      <c r="T391" s="18">
        <v>0.017307</v>
      </c>
      <c r="U391" s="18">
        <v>0.014448</v>
      </c>
      <c r="V391" s="18">
        <v>0.014366</v>
      </c>
      <c r="W391" s="18">
        <v>0.018332</v>
      </c>
      <c r="X391" s="18">
        <v>0.021283</v>
      </c>
      <c r="Y391" s="18">
        <v>0.020311</v>
      </c>
      <c r="Z391" s="18">
        <v>0.019677</v>
      </c>
      <c r="AA391" s="18">
        <v>0.019885</v>
      </c>
      <c r="AB391" s="18">
        <v>0.019002</v>
      </c>
      <c r="AC391" s="18">
        <v>0.020645</v>
      </c>
      <c r="AD391" s="18">
        <v>0.023361</v>
      </c>
      <c r="AE391" s="18">
        <v>0.020902</v>
      </c>
      <c r="AF391" s="18">
        <v>0.018992</v>
      </c>
      <c r="AG391" s="18">
        <v>0.019018</v>
      </c>
      <c r="AH391" s="18">
        <v>0.015525</v>
      </c>
      <c r="AI391" s="18">
        <v>0.008983</v>
      </c>
      <c r="AJ391" s="18">
        <v>0.005684</v>
      </c>
      <c r="AK391" s="18">
        <v>0.003875</v>
      </c>
      <c r="AL391" s="18">
        <v>7.65E-4</v>
      </c>
      <c r="AM391" s="18">
        <v>1.4E-4</v>
      </c>
      <c r="AN391" s="18">
        <v>3.09E-4</v>
      </c>
      <c r="AO391" s="2">
        <v>0.0</v>
      </c>
      <c r="AP391" s="20">
        <v>0.0</v>
      </c>
      <c r="AQ391" s="20">
        <v>0.0</v>
      </c>
      <c r="AR391" s="20">
        <v>0.0</v>
      </c>
      <c r="AS391" s="20">
        <v>0.0</v>
      </c>
      <c r="AT391" s="2">
        <f>AVERAGE(L391:AN391)</f>
        <v>0.01559562069</v>
      </c>
      <c r="AU391" s="12">
        <f t="shared" si="43"/>
        <v>0.01559562069</v>
      </c>
      <c r="AV391" s="14"/>
      <c r="AW391" s="15"/>
      <c r="AX391" s="15"/>
    </row>
    <row r="392" ht="15.75" customHeight="1">
      <c r="A392" s="7">
        <v>231110.0</v>
      </c>
      <c r="B392" s="7">
        <v>67.0</v>
      </c>
      <c r="C392" s="7">
        <v>1.0</v>
      </c>
      <c r="D392" s="8" t="s">
        <v>243</v>
      </c>
      <c r="E392" s="7">
        <v>11.0</v>
      </c>
      <c r="F392" s="8" t="s">
        <v>48</v>
      </c>
      <c r="G392" s="8" t="s">
        <v>85</v>
      </c>
      <c r="H392" s="8" t="s">
        <v>65</v>
      </c>
      <c r="I392" s="22" t="s">
        <v>146</v>
      </c>
      <c r="J392" s="22" t="s">
        <v>52</v>
      </c>
      <c r="K392" s="11" t="s">
        <v>53</v>
      </c>
      <c r="L392" s="18">
        <v>0.01647</v>
      </c>
      <c r="M392" s="18">
        <v>0.015282</v>
      </c>
      <c r="N392" s="18">
        <v>0.015379</v>
      </c>
      <c r="O392" s="18">
        <v>0.016284</v>
      </c>
      <c r="P392" s="18">
        <v>0.016388</v>
      </c>
      <c r="Q392" s="18">
        <v>0.016801</v>
      </c>
      <c r="R392" s="18">
        <v>0.017519</v>
      </c>
      <c r="S392" s="18">
        <v>0.017157</v>
      </c>
      <c r="T392" s="18">
        <v>0.018694</v>
      </c>
      <c r="U392" s="18">
        <v>0.020027</v>
      </c>
      <c r="V392" s="18">
        <v>0.019507</v>
      </c>
      <c r="W392" s="18">
        <v>0.01847</v>
      </c>
      <c r="X392" s="18">
        <v>0.017743</v>
      </c>
      <c r="Y392" s="18">
        <v>0.01889</v>
      </c>
      <c r="Z392" s="18">
        <v>0.019459</v>
      </c>
      <c r="AA392" s="18">
        <v>0.018668</v>
      </c>
      <c r="AB392" s="18">
        <v>0.018627</v>
      </c>
      <c r="AC392" s="18">
        <v>0.018189</v>
      </c>
      <c r="AD392" s="18">
        <v>0.014883</v>
      </c>
      <c r="AE392" s="18">
        <v>0.010628</v>
      </c>
      <c r="AF392" s="18">
        <v>0.00906</v>
      </c>
      <c r="AG392" s="18">
        <v>0.007503</v>
      </c>
      <c r="AH392" s="18">
        <v>0.004137</v>
      </c>
      <c r="AI392" s="18">
        <v>0.004036</v>
      </c>
      <c r="AJ392" s="18">
        <v>0.004973</v>
      </c>
      <c r="AK392" s="18">
        <v>0.00493</v>
      </c>
      <c r="AL392" s="18">
        <v>0.003278</v>
      </c>
      <c r="AM392" s="18">
        <v>0.001416</v>
      </c>
      <c r="AN392" s="18">
        <v>0.002917</v>
      </c>
      <c r="AO392" s="18">
        <v>0.004713</v>
      </c>
      <c r="AP392" s="20">
        <v>0.0</v>
      </c>
      <c r="AQ392" s="20">
        <v>0.0</v>
      </c>
      <c r="AR392" s="20">
        <v>0.0</v>
      </c>
      <c r="AS392" s="20">
        <v>0.0</v>
      </c>
      <c r="AT392" s="2">
        <f>AVERAGE(L392:AO392)</f>
        <v>0.0130676</v>
      </c>
      <c r="AU392" s="12">
        <f t="shared" si="43"/>
        <v>0.0130676</v>
      </c>
      <c r="AV392" s="14"/>
      <c r="AW392" s="15"/>
      <c r="AX392" s="15"/>
    </row>
    <row r="393" ht="15.75" customHeight="1">
      <c r="A393" s="7">
        <v>231110.0</v>
      </c>
      <c r="B393" s="7">
        <v>67.0</v>
      </c>
      <c r="C393" s="7">
        <v>1.0</v>
      </c>
      <c r="D393" s="8" t="s">
        <v>244</v>
      </c>
      <c r="E393" s="7">
        <v>11.0</v>
      </c>
      <c r="F393" s="8" t="s">
        <v>48</v>
      </c>
      <c r="G393" s="8" t="s">
        <v>85</v>
      </c>
      <c r="H393" s="8" t="s">
        <v>63</v>
      </c>
      <c r="I393" s="22" t="s">
        <v>146</v>
      </c>
      <c r="J393" s="22" t="s">
        <v>52</v>
      </c>
      <c r="K393" s="11" t="s">
        <v>53</v>
      </c>
      <c r="L393" s="18">
        <v>0.014034</v>
      </c>
      <c r="M393" s="18">
        <v>0.015385</v>
      </c>
      <c r="N393" s="18">
        <v>0.014987</v>
      </c>
      <c r="O393" s="18">
        <v>0.012974</v>
      </c>
      <c r="P393" s="18">
        <v>0.012598</v>
      </c>
      <c r="Q393" s="18">
        <v>0.013047</v>
      </c>
      <c r="R393" s="18">
        <v>0.015921</v>
      </c>
      <c r="S393" s="18">
        <v>0.020651</v>
      </c>
      <c r="T393" s="18">
        <v>0.021802</v>
      </c>
      <c r="U393" s="18">
        <v>0.020479</v>
      </c>
      <c r="V393" s="18">
        <v>0.020111</v>
      </c>
      <c r="W393" s="18">
        <v>0.020867</v>
      </c>
      <c r="X393" s="18">
        <v>0.02301</v>
      </c>
      <c r="Y393" s="18">
        <v>0.025312</v>
      </c>
      <c r="Z393" s="18">
        <v>0.023774</v>
      </c>
      <c r="AA393" s="18">
        <v>0.021277</v>
      </c>
      <c r="AB393" s="18">
        <v>0.021856</v>
      </c>
      <c r="AC393" s="18">
        <v>0.020721</v>
      </c>
      <c r="AD393" s="18">
        <v>0.019863</v>
      </c>
      <c r="AE393" s="18">
        <v>0.020483</v>
      </c>
      <c r="AF393" s="18">
        <v>0.017867</v>
      </c>
      <c r="AG393" s="18">
        <v>0.01473</v>
      </c>
      <c r="AH393" s="18">
        <v>0.013698</v>
      </c>
      <c r="AI393" s="18">
        <v>0.011564</v>
      </c>
      <c r="AJ393" s="18">
        <v>0.006084</v>
      </c>
      <c r="AK393" s="18">
        <v>0.001531</v>
      </c>
      <c r="AL393" s="18">
        <v>0.0</v>
      </c>
      <c r="AM393" s="18">
        <v>0.0</v>
      </c>
      <c r="AN393" s="2">
        <v>0.0</v>
      </c>
      <c r="AO393" s="2">
        <v>0.0</v>
      </c>
      <c r="AP393" s="20">
        <v>0.0</v>
      </c>
      <c r="AQ393" s="20">
        <v>0.0</v>
      </c>
      <c r="AR393" s="20">
        <v>0.0</v>
      </c>
      <c r="AS393" s="20">
        <v>0.0</v>
      </c>
      <c r="AT393" s="2">
        <f>AVERAGE(L393:AK393)</f>
        <v>0.017101</v>
      </c>
      <c r="AU393" s="12">
        <f t="shared" si="43"/>
        <v>0.017101</v>
      </c>
      <c r="AV393" s="14"/>
      <c r="AW393" s="15"/>
      <c r="AX393" s="15"/>
    </row>
    <row r="394" ht="15.75" customHeight="1">
      <c r="A394" s="7">
        <v>231115.0</v>
      </c>
      <c r="B394" s="7">
        <v>68.0</v>
      </c>
      <c r="C394" s="7">
        <v>2.0</v>
      </c>
      <c r="D394" s="8" t="s">
        <v>245</v>
      </c>
      <c r="E394" s="7">
        <v>11.0</v>
      </c>
      <c r="F394" s="8" t="s">
        <v>56</v>
      </c>
      <c r="G394" s="8" t="s">
        <v>85</v>
      </c>
      <c r="H394" s="8" t="s">
        <v>65</v>
      </c>
      <c r="I394" s="22" t="s">
        <v>146</v>
      </c>
      <c r="J394" s="22" t="s">
        <v>52</v>
      </c>
      <c r="K394" s="11" t="s">
        <v>57</v>
      </c>
      <c r="L394" s="18">
        <v>0.030822</v>
      </c>
      <c r="M394" s="18">
        <v>0.029502</v>
      </c>
      <c r="N394" s="18">
        <v>0.029636</v>
      </c>
      <c r="O394" s="18">
        <v>0.029883</v>
      </c>
      <c r="P394" s="18">
        <v>0.029156</v>
      </c>
      <c r="Q394" s="18">
        <v>0.02916</v>
      </c>
      <c r="R394" s="18">
        <v>0.029289</v>
      </c>
      <c r="S394" s="18">
        <v>0.028706</v>
      </c>
      <c r="T394" s="18">
        <v>0.028822</v>
      </c>
      <c r="U394" s="18">
        <v>0.029994</v>
      </c>
      <c r="V394" s="18">
        <v>0.029846</v>
      </c>
      <c r="W394" s="18">
        <v>0.027661</v>
      </c>
      <c r="X394" s="18">
        <v>0.026443</v>
      </c>
      <c r="Y394" s="18">
        <v>0.025754</v>
      </c>
      <c r="Z394" s="18">
        <v>0.026008</v>
      </c>
      <c r="AA394" s="18">
        <v>0.02985</v>
      </c>
      <c r="AB394" s="18">
        <v>0.030984</v>
      </c>
      <c r="AC394" s="18">
        <v>0.026795</v>
      </c>
      <c r="AD394" s="18">
        <v>0.026452</v>
      </c>
      <c r="AE394" s="18">
        <v>0.024926</v>
      </c>
      <c r="AF394" s="18">
        <v>0.019133</v>
      </c>
      <c r="AG394" s="18">
        <v>0.014862</v>
      </c>
      <c r="AH394" s="18">
        <v>0.008668</v>
      </c>
      <c r="AI394" s="18">
        <v>0.00225</v>
      </c>
      <c r="AJ394" s="18">
        <v>5.67E-5</v>
      </c>
      <c r="AK394" s="18">
        <v>2.0E-4</v>
      </c>
      <c r="AL394" s="18">
        <v>0.004664</v>
      </c>
      <c r="AM394" s="18">
        <v>0.014453</v>
      </c>
      <c r="AN394" s="18">
        <v>0.024435</v>
      </c>
      <c r="AO394" s="2">
        <v>0.0</v>
      </c>
      <c r="AP394" s="20">
        <v>0.0</v>
      </c>
      <c r="AQ394" s="20">
        <v>0.0</v>
      </c>
      <c r="AR394" s="20">
        <v>0.0</v>
      </c>
      <c r="AS394" s="20">
        <v>0.0</v>
      </c>
      <c r="AT394" s="2">
        <f t="shared" ref="AT394:AT395" si="45">AVERAGE(L394:AN394)</f>
        <v>0.02270381724</v>
      </c>
      <c r="AU394" s="12">
        <f t="shared" si="43"/>
        <v>0.02270381724</v>
      </c>
      <c r="AV394" s="14"/>
      <c r="AW394" s="15"/>
      <c r="AX394" s="15"/>
    </row>
    <row r="395" ht="15.75" customHeight="1">
      <c r="A395" s="7">
        <v>231115.0</v>
      </c>
      <c r="B395" s="7">
        <v>68.0</v>
      </c>
      <c r="C395" s="7">
        <v>2.0</v>
      </c>
      <c r="D395" s="8" t="s">
        <v>246</v>
      </c>
      <c r="E395" s="7">
        <v>11.0</v>
      </c>
      <c r="F395" s="8" t="s">
        <v>56</v>
      </c>
      <c r="G395" s="8" t="s">
        <v>85</v>
      </c>
      <c r="H395" s="8" t="s">
        <v>63</v>
      </c>
      <c r="I395" s="22" t="s">
        <v>146</v>
      </c>
      <c r="J395" s="22" t="s">
        <v>52</v>
      </c>
      <c r="K395" s="11" t="s">
        <v>57</v>
      </c>
      <c r="L395" s="18">
        <v>0.025641</v>
      </c>
      <c r="M395" s="18">
        <v>0.02756</v>
      </c>
      <c r="N395" s="18">
        <v>0.028653</v>
      </c>
      <c r="O395" s="18">
        <v>0.028925</v>
      </c>
      <c r="P395" s="18">
        <v>0.0283</v>
      </c>
      <c r="Q395" s="18">
        <v>0.027434</v>
      </c>
      <c r="R395" s="18">
        <v>0.027091</v>
      </c>
      <c r="S395" s="18">
        <v>0.027022</v>
      </c>
      <c r="T395" s="18">
        <v>0.027568</v>
      </c>
      <c r="U395" s="18">
        <v>0.027559</v>
      </c>
      <c r="V395" s="18">
        <v>0.027465</v>
      </c>
      <c r="W395" s="18">
        <v>0.028292</v>
      </c>
      <c r="X395" s="18">
        <v>0.027868</v>
      </c>
      <c r="Y395" s="18">
        <v>0.027203</v>
      </c>
      <c r="Z395" s="18">
        <v>0.027253</v>
      </c>
      <c r="AA395" s="18">
        <v>0.027244</v>
      </c>
      <c r="AB395" s="18">
        <v>0.0252</v>
      </c>
      <c r="AC395" s="18">
        <v>0.021688</v>
      </c>
      <c r="AD395" s="18">
        <v>0.018137</v>
      </c>
      <c r="AE395" s="18">
        <v>0.014947</v>
      </c>
      <c r="AF395" s="18">
        <v>0.015425</v>
      </c>
      <c r="AG395" s="18">
        <v>0.017066</v>
      </c>
      <c r="AH395" s="18">
        <v>0.014547</v>
      </c>
      <c r="AI395" s="18">
        <v>0.010604</v>
      </c>
      <c r="AJ395" s="18">
        <v>0.007572</v>
      </c>
      <c r="AK395" s="18">
        <v>0.004844</v>
      </c>
      <c r="AL395" s="18">
        <v>0.003934</v>
      </c>
      <c r="AM395" s="18">
        <v>0.002261</v>
      </c>
      <c r="AN395" s="18">
        <v>1.04E-4</v>
      </c>
      <c r="AO395" s="18">
        <v>0.0</v>
      </c>
      <c r="AP395" s="20">
        <v>0.0</v>
      </c>
      <c r="AQ395" s="20">
        <v>0.0</v>
      </c>
      <c r="AR395" s="20">
        <v>0.0</v>
      </c>
      <c r="AS395" s="20">
        <v>0.0</v>
      </c>
      <c r="AT395" s="2">
        <f t="shared" si="45"/>
        <v>0.02060024138</v>
      </c>
      <c r="AU395" s="12">
        <f t="shared" si="43"/>
        <v>0.02060024138</v>
      </c>
      <c r="AV395" s="14"/>
      <c r="AW395" s="15"/>
      <c r="AX395" s="15"/>
    </row>
    <row r="396" ht="15.75" customHeight="1">
      <c r="A396" s="7">
        <v>231115.0</v>
      </c>
      <c r="B396" s="7">
        <v>68.0</v>
      </c>
      <c r="C396" s="7">
        <v>2.0</v>
      </c>
      <c r="D396" s="8" t="s">
        <v>247</v>
      </c>
      <c r="E396" s="7">
        <v>11.0</v>
      </c>
      <c r="F396" s="8" t="s">
        <v>56</v>
      </c>
      <c r="G396" s="8" t="s">
        <v>85</v>
      </c>
      <c r="H396" s="8" t="s">
        <v>50</v>
      </c>
      <c r="I396" s="22" t="s">
        <v>146</v>
      </c>
      <c r="J396" s="22" t="s">
        <v>52</v>
      </c>
      <c r="K396" s="11" t="s">
        <v>57</v>
      </c>
      <c r="L396" s="18">
        <v>0.027931</v>
      </c>
      <c r="M396" s="18">
        <v>0.030898</v>
      </c>
      <c r="N396" s="18">
        <v>0.028515</v>
      </c>
      <c r="O396" s="18">
        <v>0.029168</v>
      </c>
      <c r="P396" s="18">
        <v>0.033208</v>
      </c>
      <c r="Q396" s="18">
        <v>0.034488</v>
      </c>
      <c r="R396" s="18">
        <v>0.034782</v>
      </c>
      <c r="S396" s="18">
        <v>0.034753</v>
      </c>
      <c r="T396" s="18">
        <v>0.035128</v>
      </c>
      <c r="U396" s="18">
        <v>0.033101</v>
      </c>
      <c r="V396" s="18">
        <v>0.032652</v>
      </c>
      <c r="W396" s="18">
        <v>0.034097</v>
      </c>
      <c r="X396" s="18">
        <v>0.035704</v>
      </c>
      <c r="Y396" s="18">
        <v>0.036251</v>
      </c>
      <c r="Z396" s="18">
        <v>0.036014</v>
      </c>
      <c r="AA396" s="18">
        <v>0.033643</v>
      </c>
      <c r="AB396" s="18">
        <v>0.03302</v>
      </c>
      <c r="AC396" s="18">
        <v>0.034801</v>
      </c>
      <c r="AD396" s="18">
        <v>0.035157</v>
      </c>
      <c r="AE396" s="18">
        <v>0.033262</v>
      </c>
      <c r="AF396" s="18">
        <v>0.031564</v>
      </c>
      <c r="AG396" s="18">
        <v>0.030583</v>
      </c>
      <c r="AH396" s="18">
        <v>0.030816</v>
      </c>
      <c r="AI396" s="18">
        <v>0.031611</v>
      </c>
      <c r="AJ396" s="18">
        <v>0.02869</v>
      </c>
      <c r="AK396" s="18">
        <v>0.025783</v>
      </c>
      <c r="AL396" s="18">
        <v>0.019812</v>
      </c>
      <c r="AM396" s="18">
        <v>0.009253</v>
      </c>
      <c r="AN396" s="18">
        <v>0.002639</v>
      </c>
      <c r="AO396" s="18">
        <v>0.002917</v>
      </c>
      <c r="AP396" s="20">
        <v>0.0</v>
      </c>
      <c r="AQ396" s="20">
        <v>0.0</v>
      </c>
      <c r="AR396" s="20">
        <v>0.0</v>
      </c>
      <c r="AS396" s="20">
        <v>0.0</v>
      </c>
      <c r="AT396" s="2">
        <f>AVERAGE(L396:AO396)</f>
        <v>0.02934136667</v>
      </c>
      <c r="AU396" s="12">
        <f t="shared" si="43"/>
        <v>0.02934136667</v>
      </c>
      <c r="AV396" s="14"/>
      <c r="AW396" s="15"/>
      <c r="AX396" s="15"/>
    </row>
    <row r="397" ht="15.75" customHeight="1">
      <c r="A397" s="7">
        <v>231115.0</v>
      </c>
      <c r="B397" s="7">
        <v>68.0</v>
      </c>
      <c r="C397" s="7">
        <v>2.0</v>
      </c>
      <c r="D397" s="8" t="s">
        <v>248</v>
      </c>
      <c r="E397" s="7">
        <v>11.0</v>
      </c>
      <c r="F397" s="8" t="s">
        <v>56</v>
      </c>
      <c r="G397" s="8" t="s">
        <v>85</v>
      </c>
      <c r="H397" s="8" t="s">
        <v>61</v>
      </c>
      <c r="I397" s="22" t="s">
        <v>146</v>
      </c>
      <c r="J397" s="22" t="s">
        <v>52</v>
      </c>
      <c r="K397" s="11" t="s">
        <v>57</v>
      </c>
      <c r="L397" s="18">
        <v>0.030931</v>
      </c>
      <c r="M397" s="18">
        <v>0.030182</v>
      </c>
      <c r="N397" s="18">
        <v>0.029534</v>
      </c>
      <c r="O397" s="18">
        <v>0.027807</v>
      </c>
      <c r="P397" s="18">
        <v>0.024898</v>
      </c>
      <c r="Q397" s="18">
        <v>0.023181</v>
      </c>
      <c r="R397" s="18">
        <v>0.02557</v>
      </c>
      <c r="S397" s="18">
        <v>0.028392</v>
      </c>
      <c r="T397" s="18">
        <v>0.029307</v>
      </c>
      <c r="U397" s="18">
        <v>0.030873</v>
      </c>
      <c r="V397" s="18">
        <v>0.029736</v>
      </c>
      <c r="W397" s="18">
        <v>0.029415</v>
      </c>
      <c r="X397" s="18">
        <v>0.029058</v>
      </c>
      <c r="Y397" s="18">
        <v>0.028321</v>
      </c>
      <c r="Z397" s="18">
        <v>0.026277</v>
      </c>
      <c r="AA397" s="18">
        <v>0.025018</v>
      </c>
      <c r="AB397" s="18">
        <v>0.025203</v>
      </c>
      <c r="AC397" s="18">
        <v>0.024843</v>
      </c>
      <c r="AD397" s="18">
        <v>0.02408</v>
      </c>
      <c r="AE397" s="18">
        <v>0.024887</v>
      </c>
      <c r="AF397" s="18">
        <v>0.026716</v>
      </c>
      <c r="AG397" s="18">
        <v>0.023084</v>
      </c>
      <c r="AH397" s="18">
        <v>0.016757</v>
      </c>
      <c r="AI397" s="18">
        <v>0.010531</v>
      </c>
      <c r="AJ397" s="18">
        <v>0.004818</v>
      </c>
      <c r="AK397" s="18">
        <v>0.001425</v>
      </c>
      <c r="AL397" s="18">
        <v>0.0</v>
      </c>
      <c r="AM397" s="18">
        <v>0.0</v>
      </c>
      <c r="AN397" s="18">
        <v>0.0</v>
      </c>
      <c r="AO397" s="2">
        <v>0.0</v>
      </c>
      <c r="AP397" s="20">
        <v>0.0</v>
      </c>
      <c r="AQ397" s="20">
        <v>0.0</v>
      </c>
      <c r="AR397" s="20">
        <v>0.0</v>
      </c>
      <c r="AS397" s="20">
        <v>0.0</v>
      </c>
      <c r="AT397" s="2">
        <f>AVERAGE(L397:AK397)</f>
        <v>0.02426323077</v>
      </c>
      <c r="AU397" s="12">
        <f t="shared" si="43"/>
        <v>0.02426323077</v>
      </c>
      <c r="AV397" s="14"/>
      <c r="AW397" s="15"/>
      <c r="AX397" s="15"/>
    </row>
    <row r="398" ht="15.75" customHeight="1">
      <c r="A398" s="7">
        <v>231115.0</v>
      </c>
      <c r="B398" s="7">
        <v>68.0</v>
      </c>
      <c r="C398" s="7">
        <v>2.0</v>
      </c>
      <c r="D398" s="8" t="s">
        <v>249</v>
      </c>
      <c r="E398" s="7">
        <v>11.0</v>
      </c>
      <c r="F398" s="8" t="s">
        <v>56</v>
      </c>
      <c r="G398" s="8" t="s">
        <v>89</v>
      </c>
      <c r="H398" s="8" t="s">
        <v>50</v>
      </c>
      <c r="I398" s="22" t="s">
        <v>146</v>
      </c>
      <c r="J398" s="22" t="s">
        <v>52</v>
      </c>
      <c r="K398" s="11" t="s">
        <v>57</v>
      </c>
      <c r="L398" s="18">
        <v>0.034181</v>
      </c>
      <c r="M398" s="18">
        <v>0.035062</v>
      </c>
      <c r="N398" s="18">
        <v>0.036788</v>
      </c>
      <c r="O398" s="18">
        <v>0.038449</v>
      </c>
      <c r="P398" s="18">
        <v>0.038655</v>
      </c>
      <c r="Q398" s="18">
        <v>0.037779</v>
      </c>
      <c r="R398" s="18">
        <v>0.037051</v>
      </c>
      <c r="S398" s="18">
        <v>0.03794</v>
      </c>
      <c r="T398" s="18">
        <v>0.038268</v>
      </c>
      <c r="U398" s="18">
        <v>0.038964</v>
      </c>
      <c r="V398" s="18">
        <v>0.040866</v>
      </c>
      <c r="W398" s="18">
        <v>0.041489</v>
      </c>
      <c r="X398" s="18">
        <v>0.040012</v>
      </c>
      <c r="Y398" s="18">
        <v>0.038881</v>
      </c>
      <c r="Z398" s="18">
        <v>0.039489</v>
      </c>
      <c r="AA398" s="18">
        <v>0.039079</v>
      </c>
      <c r="AB398" s="18">
        <v>0.037512</v>
      </c>
      <c r="AC398" s="18">
        <v>0.034894</v>
      </c>
      <c r="AD398" s="18">
        <v>0.03406</v>
      </c>
      <c r="AE398" s="18">
        <v>0.034128</v>
      </c>
      <c r="AF398" s="18">
        <v>0.033546</v>
      </c>
      <c r="AG398" s="18">
        <v>0.033262</v>
      </c>
      <c r="AH398" s="18">
        <v>0.033918</v>
      </c>
      <c r="AI398" s="18">
        <v>0.02364</v>
      </c>
      <c r="AJ398" s="18">
        <v>0.006797</v>
      </c>
      <c r="AK398" s="18">
        <v>7.39E-4</v>
      </c>
      <c r="AL398" s="18">
        <v>2.59E-4</v>
      </c>
      <c r="AM398" s="18">
        <v>8.79E-5</v>
      </c>
      <c r="AN398" s="18">
        <v>0.001689</v>
      </c>
      <c r="AO398" s="2">
        <v>0.0</v>
      </c>
      <c r="AP398" s="20">
        <v>0.0</v>
      </c>
      <c r="AQ398" s="20">
        <v>0.0</v>
      </c>
      <c r="AR398" s="20">
        <v>0.0</v>
      </c>
      <c r="AS398" s="20">
        <v>0.0</v>
      </c>
      <c r="AT398" s="2">
        <f>AVERAGE(L398:AN398)</f>
        <v>0.03060292759</v>
      </c>
      <c r="AU398" s="12">
        <f t="shared" si="43"/>
        <v>0.03060292759</v>
      </c>
      <c r="AV398" s="14"/>
      <c r="AW398" s="15"/>
      <c r="AX398" s="15"/>
    </row>
    <row r="399" ht="15.75" customHeight="1">
      <c r="A399" s="7">
        <v>231115.0</v>
      </c>
      <c r="B399" s="7">
        <v>68.0</v>
      </c>
      <c r="C399" s="7">
        <v>2.0</v>
      </c>
      <c r="D399" s="8" t="s">
        <v>250</v>
      </c>
      <c r="E399" s="7">
        <v>11.0</v>
      </c>
      <c r="F399" s="8" t="s">
        <v>56</v>
      </c>
      <c r="G399" s="8" t="s">
        <v>89</v>
      </c>
      <c r="H399" s="8" t="s">
        <v>61</v>
      </c>
      <c r="I399" s="22" t="s">
        <v>146</v>
      </c>
      <c r="J399" s="22" t="s">
        <v>52</v>
      </c>
      <c r="K399" s="11" t="s">
        <v>57</v>
      </c>
      <c r="L399" s="18">
        <v>0.039888</v>
      </c>
      <c r="M399" s="18">
        <v>0.039169</v>
      </c>
      <c r="N399" s="18">
        <v>0.037527</v>
      </c>
      <c r="O399" s="18">
        <v>0.035886</v>
      </c>
      <c r="P399" s="18">
        <v>0.03494</v>
      </c>
      <c r="Q399" s="18">
        <v>0.034725</v>
      </c>
      <c r="R399" s="18">
        <v>0.03375</v>
      </c>
      <c r="S399" s="18">
        <v>0.034439</v>
      </c>
      <c r="T399" s="18">
        <v>0.035334</v>
      </c>
      <c r="U399" s="18">
        <v>0.035035</v>
      </c>
      <c r="V399" s="18">
        <v>0.03628</v>
      </c>
      <c r="W399" s="18">
        <v>0.036594</v>
      </c>
      <c r="X399" s="18">
        <v>0.037909</v>
      </c>
      <c r="Y399" s="18">
        <v>0.035609</v>
      </c>
      <c r="Z399" s="18">
        <v>0.03223</v>
      </c>
      <c r="AA399" s="18">
        <v>0.031635</v>
      </c>
      <c r="AB399" s="18">
        <v>0.033165</v>
      </c>
      <c r="AC399" s="18">
        <v>0.033603</v>
      </c>
      <c r="AD399" s="18">
        <v>0.030869</v>
      </c>
      <c r="AE399" s="18">
        <v>0.028224</v>
      </c>
      <c r="AF399" s="18">
        <v>0.023158</v>
      </c>
      <c r="AG399" s="18">
        <v>0.011756</v>
      </c>
      <c r="AH399" s="18">
        <v>0.001843</v>
      </c>
      <c r="AI399" s="18">
        <v>0.0</v>
      </c>
      <c r="AJ399" s="18">
        <v>0.0</v>
      </c>
      <c r="AK399" s="18">
        <v>0.0</v>
      </c>
      <c r="AL399" s="2">
        <v>0.0</v>
      </c>
      <c r="AM399" s="2">
        <v>0.0</v>
      </c>
      <c r="AN399" s="2">
        <v>0.0</v>
      </c>
      <c r="AO399" s="2">
        <v>0.0</v>
      </c>
      <c r="AP399" s="20">
        <v>0.0</v>
      </c>
      <c r="AQ399" s="20">
        <v>0.0</v>
      </c>
      <c r="AR399" s="20">
        <v>0.0</v>
      </c>
      <c r="AS399" s="20">
        <v>0.0</v>
      </c>
      <c r="AT399" s="2">
        <f>AVERAGE(L399:AH399)</f>
        <v>0.03189426087</v>
      </c>
      <c r="AU399" s="12">
        <f t="shared" si="43"/>
        <v>0.03189426087</v>
      </c>
      <c r="AV399" s="14"/>
      <c r="AW399" s="15"/>
      <c r="AX399" s="15"/>
    </row>
    <row r="400" ht="15.75" customHeight="1">
      <c r="A400" s="7">
        <v>231115.0</v>
      </c>
      <c r="B400" s="7">
        <v>68.0</v>
      </c>
      <c r="C400" s="7">
        <v>2.0</v>
      </c>
      <c r="D400" s="8" t="s">
        <v>251</v>
      </c>
      <c r="E400" s="7">
        <v>11.0</v>
      </c>
      <c r="F400" s="8" t="s">
        <v>56</v>
      </c>
      <c r="G400" s="8" t="s">
        <v>89</v>
      </c>
      <c r="H400" s="8" t="s">
        <v>65</v>
      </c>
      <c r="I400" s="22" t="s">
        <v>146</v>
      </c>
      <c r="J400" s="22" t="s">
        <v>52</v>
      </c>
      <c r="K400" s="11" t="s">
        <v>57</v>
      </c>
      <c r="L400" s="18">
        <v>0.036864</v>
      </c>
      <c r="M400" s="18">
        <v>0.035341</v>
      </c>
      <c r="N400" s="18">
        <v>0.034388</v>
      </c>
      <c r="O400" s="18">
        <v>0.035737</v>
      </c>
      <c r="P400" s="18">
        <v>0.038282</v>
      </c>
      <c r="Q400" s="18">
        <v>0.038512</v>
      </c>
      <c r="R400" s="18">
        <v>0.03668</v>
      </c>
      <c r="S400" s="18">
        <v>0.035531</v>
      </c>
      <c r="T400" s="18">
        <v>0.035494</v>
      </c>
      <c r="U400" s="18">
        <v>0.036017</v>
      </c>
      <c r="V400" s="18">
        <v>0.035787</v>
      </c>
      <c r="W400" s="18">
        <v>0.033389</v>
      </c>
      <c r="X400" s="18">
        <v>0.032509</v>
      </c>
      <c r="Y400" s="18">
        <v>0.034064</v>
      </c>
      <c r="Z400" s="18">
        <v>0.031849</v>
      </c>
      <c r="AA400" s="18">
        <v>0.027424</v>
      </c>
      <c r="AB400" s="18">
        <v>0.027786</v>
      </c>
      <c r="AC400" s="18">
        <v>0.027857</v>
      </c>
      <c r="AD400" s="18">
        <v>0.022331</v>
      </c>
      <c r="AE400" s="18">
        <v>0.017057</v>
      </c>
      <c r="AF400" s="18">
        <v>0.0157</v>
      </c>
      <c r="AG400" s="18">
        <v>0.015232</v>
      </c>
      <c r="AH400" s="18">
        <v>0.012689</v>
      </c>
      <c r="AI400" s="18">
        <v>0.009269</v>
      </c>
      <c r="AJ400" s="18">
        <v>0.005603</v>
      </c>
      <c r="AK400" s="18">
        <v>0.002489</v>
      </c>
      <c r="AL400" s="18">
        <v>9.7E-4</v>
      </c>
      <c r="AM400" s="18">
        <v>2.21E-4</v>
      </c>
      <c r="AN400" s="18">
        <v>0.0</v>
      </c>
      <c r="AO400" s="18">
        <v>0.0</v>
      </c>
      <c r="AP400" s="20">
        <v>0.0</v>
      </c>
      <c r="AQ400" s="20">
        <v>0.0</v>
      </c>
      <c r="AR400" s="20">
        <v>0.0</v>
      </c>
      <c r="AS400" s="20">
        <v>0.0</v>
      </c>
      <c r="AT400" s="2">
        <f>AVERAGE(L400:AM400)</f>
        <v>0.02553828571</v>
      </c>
      <c r="AU400" s="12">
        <f t="shared" si="43"/>
        <v>0.02553828571</v>
      </c>
      <c r="AV400" s="14"/>
      <c r="AW400" s="15"/>
      <c r="AX400" s="15"/>
    </row>
    <row r="401" ht="15.75" customHeight="1">
      <c r="A401" s="7">
        <v>231124.0</v>
      </c>
      <c r="B401" s="7">
        <v>68.0</v>
      </c>
      <c r="C401" s="7">
        <v>2.0</v>
      </c>
      <c r="D401" s="8" t="s">
        <v>252</v>
      </c>
      <c r="E401" s="7">
        <v>11.0</v>
      </c>
      <c r="F401" s="8" t="s">
        <v>48</v>
      </c>
      <c r="G401" s="8" t="s">
        <v>49</v>
      </c>
      <c r="H401" s="8" t="s">
        <v>65</v>
      </c>
      <c r="I401" s="22" t="s">
        <v>146</v>
      </c>
      <c r="J401" s="22" t="s">
        <v>52</v>
      </c>
      <c r="K401" s="11" t="s">
        <v>59</v>
      </c>
      <c r="L401" s="18">
        <v>0.033429</v>
      </c>
      <c r="M401" s="18">
        <v>0.032423</v>
      </c>
      <c r="N401" s="18">
        <v>0.030459</v>
      </c>
      <c r="O401" s="18">
        <v>0.02768</v>
      </c>
      <c r="P401" s="18">
        <v>0.024276</v>
      </c>
      <c r="Q401" s="18">
        <v>0.02413</v>
      </c>
      <c r="R401" s="18">
        <v>0.026061</v>
      </c>
      <c r="S401" s="18">
        <v>0.025383</v>
      </c>
      <c r="T401" s="18">
        <v>0.023358</v>
      </c>
      <c r="U401" s="18">
        <v>0.020899</v>
      </c>
      <c r="V401" s="18">
        <v>0.017202</v>
      </c>
      <c r="W401" s="18">
        <v>0.014032</v>
      </c>
      <c r="X401" s="18">
        <v>0.012352</v>
      </c>
      <c r="Y401" s="18">
        <v>0.008578</v>
      </c>
      <c r="Z401" s="18">
        <v>0.004925</v>
      </c>
      <c r="AA401" s="18">
        <v>0.003702</v>
      </c>
      <c r="AB401" s="18">
        <v>0.004159</v>
      </c>
      <c r="AC401" s="18">
        <v>0.002918</v>
      </c>
      <c r="AD401" s="18">
        <v>0.001439</v>
      </c>
      <c r="AE401" s="18">
        <v>0.001186</v>
      </c>
      <c r="AF401" s="18">
        <v>0.001209</v>
      </c>
      <c r="AG401" s="18">
        <v>0.001057</v>
      </c>
      <c r="AH401" s="18">
        <v>0.001092</v>
      </c>
      <c r="AI401" s="18">
        <v>9.47E-4</v>
      </c>
      <c r="AJ401" s="18">
        <v>1.78E-4</v>
      </c>
      <c r="AK401" s="18">
        <v>1.03E-4</v>
      </c>
      <c r="AL401" s="18">
        <v>4.17E-5</v>
      </c>
      <c r="AM401" s="18">
        <v>0.0</v>
      </c>
      <c r="AN401" s="18">
        <v>0.0</v>
      </c>
      <c r="AO401" s="18">
        <v>0.0</v>
      </c>
      <c r="AP401" s="20">
        <v>0.0</v>
      </c>
      <c r="AQ401" s="20">
        <v>0.0</v>
      </c>
      <c r="AR401" s="20">
        <v>0.0</v>
      </c>
      <c r="AS401" s="20">
        <v>0.0</v>
      </c>
      <c r="AT401" s="2">
        <f>AVERAGE(L401:AL401)</f>
        <v>0.0127118037</v>
      </c>
      <c r="AU401" s="12">
        <f t="shared" si="43"/>
        <v>0.0127118037</v>
      </c>
      <c r="AV401" s="14"/>
      <c r="AW401" s="15"/>
      <c r="AX401" s="15"/>
    </row>
    <row r="402" ht="15.75" customHeight="1">
      <c r="A402" s="7">
        <v>231124.0</v>
      </c>
      <c r="B402" s="7">
        <v>68.0</v>
      </c>
      <c r="C402" s="7">
        <v>2.0</v>
      </c>
      <c r="D402" s="8" t="s">
        <v>253</v>
      </c>
      <c r="E402" s="7">
        <v>11.0</v>
      </c>
      <c r="F402" s="8" t="s">
        <v>48</v>
      </c>
      <c r="G402" s="8" t="s">
        <v>49</v>
      </c>
      <c r="H402" s="8" t="s">
        <v>63</v>
      </c>
      <c r="I402" s="22" t="s">
        <v>146</v>
      </c>
      <c r="J402" s="22" t="s">
        <v>52</v>
      </c>
      <c r="K402" s="11" t="s">
        <v>59</v>
      </c>
      <c r="L402" s="18">
        <v>0.026975</v>
      </c>
      <c r="M402" s="18">
        <v>0.028278</v>
      </c>
      <c r="N402" s="18">
        <v>0.029663</v>
      </c>
      <c r="O402" s="18">
        <v>0.031178</v>
      </c>
      <c r="P402" s="18">
        <v>0.030283</v>
      </c>
      <c r="Q402" s="18">
        <v>0.028157</v>
      </c>
      <c r="R402" s="18">
        <v>0.028481</v>
      </c>
      <c r="S402" s="18">
        <v>0.028116</v>
      </c>
      <c r="T402" s="18">
        <v>0.026019</v>
      </c>
      <c r="U402" s="18">
        <v>0.025461</v>
      </c>
      <c r="V402" s="18">
        <v>0.02583</v>
      </c>
      <c r="W402" s="18">
        <v>0.025261</v>
      </c>
      <c r="X402" s="18">
        <v>0.025526</v>
      </c>
      <c r="Y402" s="18">
        <v>0.024038</v>
      </c>
      <c r="Z402" s="18">
        <v>0.020929</v>
      </c>
      <c r="AA402" s="18">
        <v>0.016824</v>
      </c>
      <c r="AB402" s="18">
        <v>0.013623</v>
      </c>
      <c r="AC402" s="18">
        <v>0.011392</v>
      </c>
      <c r="AD402" s="18">
        <v>0.007713</v>
      </c>
      <c r="AE402" s="18">
        <v>0.004677</v>
      </c>
      <c r="AF402" s="18">
        <v>0.002234</v>
      </c>
      <c r="AG402" s="18">
        <v>0.001136</v>
      </c>
      <c r="AH402" s="18">
        <v>0.002415</v>
      </c>
      <c r="AI402" s="18">
        <v>0.003651</v>
      </c>
      <c r="AJ402" s="18">
        <v>0.007207</v>
      </c>
      <c r="AK402" s="18">
        <v>0.017626</v>
      </c>
      <c r="AL402" s="18">
        <v>0.024102</v>
      </c>
      <c r="AM402" s="18">
        <v>0.006331</v>
      </c>
      <c r="AN402" s="18">
        <v>0.0</v>
      </c>
      <c r="AO402" s="2">
        <v>0.0</v>
      </c>
      <c r="AP402" s="20">
        <v>0.0</v>
      </c>
      <c r="AQ402" s="20">
        <v>0.0</v>
      </c>
      <c r="AR402" s="20">
        <v>0.0</v>
      </c>
      <c r="AS402" s="20">
        <v>0.0</v>
      </c>
      <c r="AT402" s="2">
        <f>AVERAGE(L402:AM402)</f>
        <v>0.01868307143</v>
      </c>
      <c r="AU402" s="12">
        <f t="shared" si="43"/>
        <v>0.01868307143</v>
      </c>
      <c r="AV402" s="14"/>
      <c r="AW402" s="15"/>
      <c r="AX402" s="15"/>
    </row>
    <row r="403" ht="15.75" customHeight="1">
      <c r="A403" s="7">
        <v>240301.0</v>
      </c>
      <c r="B403" s="7">
        <v>76.0</v>
      </c>
      <c r="C403" s="7">
        <v>3.0</v>
      </c>
      <c r="D403" s="8" t="s">
        <v>254</v>
      </c>
      <c r="E403" s="7">
        <v>11.0</v>
      </c>
      <c r="F403" s="8" t="s">
        <v>48</v>
      </c>
      <c r="G403" s="8" t="s">
        <v>67</v>
      </c>
      <c r="H403" s="8" t="s">
        <v>50</v>
      </c>
      <c r="I403" s="22" t="s">
        <v>146</v>
      </c>
      <c r="J403" s="22" t="s">
        <v>52</v>
      </c>
      <c r="K403" s="11" t="s">
        <v>70</v>
      </c>
      <c r="L403" s="18">
        <v>0.027397</v>
      </c>
      <c r="M403" s="18">
        <v>0.027931</v>
      </c>
      <c r="N403" s="18">
        <v>0.028379</v>
      </c>
      <c r="O403" s="18">
        <v>0.029425</v>
      </c>
      <c r="P403" s="18">
        <v>0.031392</v>
      </c>
      <c r="Q403" s="18">
        <v>0.031773</v>
      </c>
      <c r="R403" s="18">
        <v>0.032247</v>
      </c>
      <c r="S403" s="18">
        <v>0.03293</v>
      </c>
      <c r="T403" s="18">
        <v>0.033175</v>
      </c>
      <c r="U403" s="18">
        <v>0.034995</v>
      </c>
      <c r="V403" s="18">
        <v>0.03544</v>
      </c>
      <c r="W403" s="18">
        <v>0.034017</v>
      </c>
      <c r="X403" s="18">
        <v>0.036455</v>
      </c>
      <c r="Y403" s="18">
        <v>0.038544</v>
      </c>
      <c r="Z403" s="18">
        <v>0.036847</v>
      </c>
      <c r="AA403" s="18">
        <v>0.034469</v>
      </c>
      <c r="AB403" s="18">
        <v>0.032915</v>
      </c>
      <c r="AC403" s="18">
        <v>0.033754</v>
      </c>
      <c r="AD403" s="18">
        <v>0.03374</v>
      </c>
      <c r="AE403" s="18">
        <v>0.03332</v>
      </c>
      <c r="AF403" s="18">
        <v>0.033361</v>
      </c>
      <c r="AG403" s="18">
        <v>0.033561</v>
      </c>
      <c r="AH403" s="18">
        <v>0.028586</v>
      </c>
      <c r="AI403" s="18">
        <v>0.024403</v>
      </c>
      <c r="AJ403" s="18">
        <v>0.024873</v>
      </c>
      <c r="AK403" s="18">
        <v>0.022585</v>
      </c>
      <c r="AL403" s="18">
        <v>0.012</v>
      </c>
      <c r="AM403" s="18">
        <v>0.001178</v>
      </c>
      <c r="AN403" s="18">
        <v>4.51E-4</v>
      </c>
      <c r="AO403" s="2">
        <v>0.0</v>
      </c>
      <c r="AP403" s="20">
        <v>0.0</v>
      </c>
      <c r="AQ403" s="20">
        <v>0.0</v>
      </c>
      <c r="AR403" s="20">
        <v>0.0</v>
      </c>
      <c r="AS403" s="20">
        <v>0.0</v>
      </c>
      <c r="AT403" s="2">
        <f t="shared" ref="AT403:AT406" si="46">AVERAGE(L403:AN403)</f>
        <v>0.02897044828</v>
      </c>
      <c r="AU403" s="12">
        <f t="shared" si="43"/>
        <v>0.02897044828</v>
      </c>
      <c r="AV403" s="14"/>
      <c r="AW403" s="15"/>
      <c r="AX403" s="15"/>
    </row>
    <row r="404" ht="15.75" customHeight="1">
      <c r="A404" s="7">
        <v>240301.0</v>
      </c>
      <c r="B404" s="7">
        <v>76.0</v>
      </c>
      <c r="C404" s="7">
        <v>3.0</v>
      </c>
      <c r="D404" s="8" t="s">
        <v>255</v>
      </c>
      <c r="E404" s="7">
        <v>11.0</v>
      </c>
      <c r="F404" s="8" t="s">
        <v>48</v>
      </c>
      <c r="G404" s="8" t="s">
        <v>67</v>
      </c>
      <c r="H404" s="8" t="s">
        <v>63</v>
      </c>
      <c r="I404" s="22" t="s">
        <v>146</v>
      </c>
      <c r="J404" s="22" t="s">
        <v>52</v>
      </c>
      <c r="K404" s="11" t="s">
        <v>70</v>
      </c>
      <c r="L404" s="18">
        <v>0.035253</v>
      </c>
      <c r="M404" s="18">
        <v>0.032538</v>
      </c>
      <c r="N404" s="18">
        <v>0.032843</v>
      </c>
      <c r="O404" s="18">
        <v>0.033916</v>
      </c>
      <c r="P404" s="18">
        <v>0.033877</v>
      </c>
      <c r="Q404" s="18">
        <v>0.032557</v>
      </c>
      <c r="R404" s="18">
        <v>0.031058</v>
      </c>
      <c r="S404" s="18">
        <v>0.032151</v>
      </c>
      <c r="T404" s="18">
        <v>0.03315</v>
      </c>
      <c r="U404" s="18">
        <v>0.033395</v>
      </c>
      <c r="V404" s="18">
        <v>0.033036</v>
      </c>
      <c r="W404" s="18">
        <v>0.032289</v>
      </c>
      <c r="X404" s="18">
        <v>0.032095</v>
      </c>
      <c r="Y404" s="18">
        <v>0.03148</v>
      </c>
      <c r="Z404" s="18">
        <v>0.030382</v>
      </c>
      <c r="AA404" s="18">
        <v>0.029629</v>
      </c>
      <c r="AB404" s="18">
        <v>0.02934</v>
      </c>
      <c r="AC404" s="18">
        <v>0.027272</v>
      </c>
      <c r="AD404" s="18">
        <v>0.026302</v>
      </c>
      <c r="AE404" s="18">
        <v>0.027809</v>
      </c>
      <c r="AF404" s="18">
        <v>0.026259</v>
      </c>
      <c r="AG404" s="18">
        <v>0.025142</v>
      </c>
      <c r="AH404" s="18">
        <v>0.021298</v>
      </c>
      <c r="AI404" s="18">
        <v>0.010232</v>
      </c>
      <c r="AJ404" s="18">
        <v>0.002008</v>
      </c>
      <c r="AK404" s="18">
        <v>8.94E-4</v>
      </c>
      <c r="AL404" s="18">
        <v>0.005714</v>
      </c>
      <c r="AM404" s="18">
        <v>0.015512</v>
      </c>
      <c r="AN404" s="18">
        <v>0.014628</v>
      </c>
      <c r="AO404" s="2">
        <v>0.0</v>
      </c>
      <c r="AP404" s="20">
        <v>0.0</v>
      </c>
      <c r="AQ404" s="20">
        <v>0.0</v>
      </c>
      <c r="AR404" s="20">
        <v>0.0</v>
      </c>
      <c r="AS404" s="20">
        <v>0.0</v>
      </c>
      <c r="AT404" s="2">
        <f t="shared" si="46"/>
        <v>0.02593306897</v>
      </c>
      <c r="AU404" s="12">
        <f t="shared" si="43"/>
        <v>0.02593306897</v>
      </c>
      <c r="AV404" s="14"/>
      <c r="AW404" s="15"/>
      <c r="AX404" s="15"/>
    </row>
    <row r="405" ht="15.75" customHeight="1">
      <c r="A405" s="7">
        <v>240301.0</v>
      </c>
      <c r="B405" s="7">
        <v>76.0</v>
      </c>
      <c r="C405" s="7">
        <v>3.0</v>
      </c>
      <c r="D405" s="8" t="s">
        <v>256</v>
      </c>
      <c r="E405" s="7">
        <v>11.0</v>
      </c>
      <c r="F405" s="8" t="s">
        <v>48</v>
      </c>
      <c r="G405" s="8" t="s">
        <v>67</v>
      </c>
      <c r="H405" s="8" t="s">
        <v>61</v>
      </c>
      <c r="I405" s="22" t="s">
        <v>146</v>
      </c>
      <c r="J405" s="22" t="s">
        <v>52</v>
      </c>
      <c r="K405" s="11" t="s">
        <v>70</v>
      </c>
      <c r="L405" s="18">
        <v>0.027851</v>
      </c>
      <c r="M405" s="18">
        <v>0.027572</v>
      </c>
      <c r="N405" s="18">
        <v>0.029586</v>
      </c>
      <c r="O405" s="18">
        <v>0.033402</v>
      </c>
      <c r="P405" s="18">
        <v>0.034367</v>
      </c>
      <c r="Q405" s="18">
        <v>0.034035</v>
      </c>
      <c r="R405" s="18">
        <v>0.034385</v>
      </c>
      <c r="S405" s="18">
        <v>0.033997</v>
      </c>
      <c r="T405" s="18">
        <v>0.033742</v>
      </c>
      <c r="U405" s="18">
        <v>0.035447</v>
      </c>
      <c r="V405" s="18">
        <v>0.036323</v>
      </c>
      <c r="W405" s="18">
        <v>0.034601</v>
      </c>
      <c r="X405" s="18">
        <v>0.033283</v>
      </c>
      <c r="Y405" s="18">
        <v>0.033586</v>
      </c>
      <c r="Z405" s="18">
        <v>0.032185</v>
      </c>
      <c r="AA405" s="18">
        <v>0.028824</v>
      </c>
      <c r="AB405" s="18">
        <v>0.028314</v>
      </c>
      <c r="AC405" s="18">
        <v>0.030755</v>
      </c>
      <c r="AD405" s="18">
        <v>0.032332</v>
      </c>
      <c r="AE405" s="18">
        <v>0.030036</v>
      </c>
      <c r="AF405" s="18">
        <v>0.027899</v>
      </c>
      <c r="AG405" s="18">
        <v>0.026568</v>
      </c>
      <c r="AH405" s="18">
        <v>0.023066</v>
      </c>
      <c r="AI405" s="18">
        <v>0.017271</v>
      </c>
      <c r="AJ405" s="18">
        <v>0.00902</v>
      </c>
      <c r="AK405" s="18">
        <v>0.00267</v>
      </c>
      <c r="AL405" s="18">
        <v>0.002808</v>
      </c>
      <c r="AM405" s="18">
        <v>0.008047</v>
      </c>
      <c r="AN405" s="18">
        <v>0.013295</v>
      </c>
      <c r="AO405" s="2">
        <v>0.0</v>
      </c>
      <c r="AP405" s="20">
        <v>0.0</v>
      </c>
      <c r="AQ405" s="20">
        <v>0.0</v>
      </c>
      <c r="AR405" s="20">
        <v>0.0</v>
      </c>
      <c r="AS405" s="20">
        <v>0.0</v>
      </c>
      <c r="AT405" s="2">
        <f t="shared" si="46"/>
        <v>0.02673334483</v>
      </c>
      <c r="AU405" s="12">
        <f t="shared" si="43"/>
        <v>0.02673334483</v>
      </c>
      <c r="AV405" s="14"/>
      <c r="AW405" s="15"/>
      <c r="AX405" s="15"/>
    </row>
    <row r="406" ht="15.75" customHeight="1">
      <c r="A406" s="7">
        <v>240313.0</v>
      </c>
      <c r="B406" s="7">
        <v>76.0</v>
      </c>
      <c r="C406" s="7">
        <v>3.0</v>
      </c>
      <c r="D406" s="8" t="s">
        <v>257</v>
      </c>
      <c r="E406" s="7">
        <v>11.0</v>
      </c>
      <c r="F406" s="8" t="s">
        <v>48</v>
      </c>
      <c r="G406" s="8" t="s">
        <v>49</v>
      </c>
      <c r="H406" s="8" t="s">
        <v>50</v>
      </c>
      <c r="I406" s="22" t="s">
        <v>146</v>
      </c>
      <c r="J406" s="22" t="s">
        <v>52</v>
      </c>
      <c r="K406" s="11" t="s">
        <v>70</v>
      </c>
      <c r="L406" s="18">
        <v>0.025305</v>
      </c>
      <c r="M406" s="18">
        <v>0.026301</v>
      </c>
      <c r="N406" s="18">
        <v>0.030099</v>
      </c>
      <c r="O406" s="18">
        <v>0.032088</v>
      </c>
      <c r="P406" s="18">
        <v>0.03143</v>
      </c>
      <c r="Q406" s="18">
        <v>0.032587</v>
      </c>
      <c r="R406" s="18">
        <v>0.035091</v>
      </c>
      <c r="S406" s="18">
        <v>0.033789</v>
      </c>
      <c r="T406" s="18">
        <v>0.031926</v>
      </c>
      <c r="U406" s="18">
        <v>0.034874</v>
      </c>
      <c r="V406" s="18">
        <v>0.035661</v>
      </c>
      <c r="W406" s="18">
        <v>0.035198</v>
      </c>
      <c r="X406" s="18">
        <v>0.036241</v>
      </c>
      <c r="Y406" s="18">
        <v>0.034812</v>
      </c>
      <c r="Z406" s="18">
        <v>0.034447</v>
      </c>
      <c r="AA406" s="18">
        <v>0.036106</v>
      </c>
      <c r="AB406" s="18">
        <v>0.035056</v>
      </c>
      <c r="AC406" s="18">
        <v>0.033727</v>
      </c>
      <c r="AD406" s="18">
        <v>0.033501</v>
      </c>
      <c r="AE406" s="18">
        <v>0.031127</v>
      </c>
      <c r="AF406" s="18">
        <v>0.030945</v>
      </c>
      <c r="AG406" s="18">
        <v>0.034976</v>
      </c>
      <c r="AH406" s="18">
        <v>0.037174</v>
      </c>
      <c r="AI406" s="18">
        <v>0.031358</v>
      </c>
      <c r="AJ406" s="18">
        <v>0.016411</v>
      </c>
      <c r="AK406" s="18">
        <v>0.003053</v>
      </c>
      <c r="AL406" s="18">
        <v>0.001398</v>
      </c>
      <c r="AM406" s="18">
        <v>0.004173</v>
      </c>
      <c r="AN406" s="18">
        <v>0.021324</v>
      </c>
      <c r="AO406" s="2">
        <v>0.0</v>
      </c>
      <c r="AP406" s="20">
        <v>0.0</v>
      </c>
      <c r="AQ406" s="20">
        <v>0.0</v>
      </c>
      <c r="AR406" s="20">
        <v>0.0</v>
      </c>
      <c r="AS406" s="20">
        <v>0.0</v>
      </c>
      <c r="AT406" s="2">
        <f t="shared" si="46"/>
        <v>0.02897165517</v>
      </c>
      <c r="AU406" s="12">
        <f t="shared" si="43"/>
        <v>0.02897165517</v>
      </c>
      <c r="AV406" s="14"/>
      <c r="AW406" s="15"/>
      <c r="AX406" s="15"/>
    </row>
    <row r="407" ht="15.75" customHeight="1">
      <c r="A407" s="7">
        <v>240313.0</v>
      </c>
      <c r="B407" s="7">
        <v>76.0</v>
      </c>
      <c r="C407" s="7">
        <v>3.0</v>
      </c>
      <c r="D407" s="8" t="s">
        <v>258</v>
      </c>
      <c r="E407" s="7">
        <v>11.0</v>
      </c>
      <c r="F407" s="8" t="s">
        <v>48</v>
      </c>
      <c r="G407" s="8" t="s">
        <v>49</v>
      </c>
      <c r="H407" s="8" t="s">
        <v>63</v>
      </c>
      <c r="I407" s="22" t="s">
        <v>146</v>
      </c>
      <c r="J407" s="22" t="s">
        <v>52</v>
      </c>
      <c r="K407" s="11" t="s">
        <v>70</v>
      </c>
      <c r="L407" s="18">
        <v>0.035738</v>
      </c>
      <c r="M407" s="18">
        <v>0.03424</v>
      </c>
      <c r="N407" s="18">
        <v>0.033553</v>
      </c>
      <c r="O407" s="18">
        <v>0.032093</v>
      </c>
      <c r="P407" s="18">
        <v>0.030278</v>
      </c>
      <c r="Q407" s="18">
        <v>0.031632</v>
      </c>
      <c r="R407" s="18">
        <v>0.033918</v>
      </c>
      <c r="S407" s="18">
        <v>0.034548</v>
      </c>
      <c r="T407" s="18">
        <v>0.034136</v>
      </c>
      <c r="U407" s="18">
        <v>0.033297</v>
      </c>
      <c r="V407" s="18">
        <v>0.032968</v>
      </c>
      <c r="W407" s="18">
        <v>0.033177</v>
      </c>
      <c r="X407" s="18">
        <v>0.034446</v>
      </c>
      <c r="Y407" s="18">
        <v>0.033832</v>
      </c>
      <c r="Z407" s="18">
        <v>0.033063</v>
      </c>
      <c r="AA407" s="18">
        <v>0.032806</v>
      </c>
      <c r="AB407" s="18">
        <v>0.031011</v>
      </c>
      <c r="AC407" s="18">
        <v>0.030573</v>
      </c>
      <c r="AD407" s="18">
        <v>0.029732</v>
      </c>
      <c r="AE407" s="18">
        <v>0.029698</v>
      </c>
      <c r="AF407" s="18">
        <v>0.030324</v>
      </c>
      <c r="AG407" s="18">
        <v>0.028222</v>
      </c>
      <c r="AH407" s="18">
        <v>0.028697</v>
      </c>
      <c r="AI407" s="18">
        <v>0.029934</v>
      </c>
      <c r="AJ407" s="18">
        <v>0.024921</v>
      </c>
      <c r="AK407" s="18">
        <v>0.017073</v>
      </c>
      <c r="AL407" s="18">
        <v>0.00816</v>
      </c>
      <c r="AM407" s="18">
        <v>0.007783</v>
      </c>
      <c r="AN407" s="18">
        <v>0.017529</v>
      </c>
      <c r="AO407" s="18">
        <v>0.015783</v>
      </c>
      <c r="AP407" s="20">
        <v>0.0</v>
      </c>
      <c r="AQ407" s="20">
        <v>0.0</v>
      </c>
      <c r="AR407" s="20">
        <v>0.0</v>
      </c>
      <c r="AS407" s="20">
        <v>0.0</v>
      </c>
      <c r="AT407" s="2">
        <f>AVERAGE(L407:AO407)</f>
        <v>0.02877216667</v>
      </c>
      <c r="AU407" s="12">
        <f t="shared" si="43"/>
        <v>0.02877216667</v>
      </c>
      <c r="AV407" s="14"/>
      <c r="AW407" s="15"/>
      <c r="AX407" s="15"/>
    </row>
    <row r="408" ht="15.75" customHeight="1">
      <c r="A408" s="7">
        <v>240313.0</v>
      </c>
      <c r="B408" s="7">
        <v>76.0</v>
      </c>
      <c r="C408" s="7">
        <v>3.0</v>
      </c>
      <c r="D408" s="8" t="s">
        <v>259</v>
      </c>
      <c r="E408" s="7">
        <v>11.0</v>
      </c>
      <c r="F408" s="8" t="s">
        <v>48</v>
      </c>
      <c r="G408" s="8" t="s">
        <v>49</v>
      </c>
      <c r="H408" s="8" t="s">
        <v>65</v>
      </c>
      <c r="I408" s="22" t="s">
        <v>146</v>
      </c>
      <c r="J408" s="22" t="s">
        <v>52</v>
      </c>
      <c r="K408" s="11" t="s">
        <v>70</v>
      </c>
      <c r="L408" s="18">
        <v>0.034462</v>
      </c>
      <c r="M408" s="18">
        <v>0.034942</v>
      </c>
      <c r="N408" s="18">
        <v>0.03331</v>
      </c>
      <c r="O408" s="18">
        <v>0.032971</v>
      </c>
      <c r="P408" s="18">
        <v>0.034712</v>
      </c>
      <c r="Q408" s="18">
        <v>0.03319</v>
      </c>
      <c r="R408" s="18">
        <v>0.030562</v>
      </c>
      <c r="S408" s="18">
        <v>0.028889</v>
      </c>
      <c r="T408" s="18">
        <v>0.030096</v>
      </c>
      <c r="U408" s="18">
        <v>0.031475</v>
      </c>
      <c r="V408" s="18">
        <v>0.030517</v>
      </c>
      <c r="W408" s="18">
        <v>0.029668</v>
      </c>
      <c r="X408" s="18">
        <v>0.027528</v>
      </c>
      <c r="Y408" s="18">
        <v>0.025396</v>
      </c>
      <c r="Z408" s="18">
        <v>0.026312</v>
      </c>
      <c r="AA408" s="18">
        <v>0.029905</v>
      </c>
      <c r="AB408" s="18">
        <v>0.030073</v>
      </c>
      <c r="AC408" s="18">
        <v>0.028143</v>
      </c>
      <c r="AD408" s="18">
        <v>0.026408</v>
      </c>
      <c r="AE408" s="18">
        <v>0.02253</v>
      </c>
      <c r="AF408" s="18">
        <v>0.019119</v>
      </c>
      <c r="AG408" s="18">
        <v>0.018849</v>
      </c>
      <c r="AH408" s="18">
        <v>0.016001</v>
      </c>
      <c r="AI408" s="18">
        <v>0.007715</v>
      </c>
      <c r="AJ408" s="18">
        <v>0.001107</v>
      </c>
      <c r="AK408" s="18">
        <v>0.0</v>
      </c>
      <c r="AL408" s="18">
        <v>0.0</v>
      </c>
      <c r="AM408" s="2">
        <v>0.0</v>
      </c>
      <c r="AN408" s="2">
        <v>0.0</v>
      </c>
      <c r="AO408" s="2">
        <v>0.0</v>
      </c>
      <c r="AP408" s="20">
        <v>0.0</v>
      </c>
      <c r="AQ408" s="20">
        <v>0.0</v>
      </c>
      <c r="AR408" s="20">
        <v>0.0</v>
      </c>
      <c r="AS408" s="20">
        <v>0.0</v>
      </c>
      <c r="AT408" s="2">
        <f>AVERAGE(L408:AJ408)</f>
        <v>0.0265552</v>
      </c>
      <c r="AU408" s="12">
        <f t="shared" si="43"/>
        <v>0.0265552</v>
      </c>
      <c r="AV408" s="14"/>
      <c r="AW408" s="15"/>
      <c r="AX408" s="15"/>
    </row>
    <row r="409" ht="15.75" customHeight="1">
      <c r="A409" s="7">
        <v>240313.0</v>
      </c>
      <c r="B409" s="7">
        <v>76.0</v>
      </c>
      <c r="C409" s="7">
        <v>3.0</v>
      </c>
      <c r="D409" s="8" t="s">
        <v>260</v>
      </c>
      <c r="E409" s="7">
        <v>11.0</v>
      </c>
      <c r="F409" s="8" t="s">
        <v>48</v>
      </c>
      <c r="G409" s="8" t="s">
        <v>49</v>
      </c>
      <c r="H409" s="8" t="s">
        <v>61</v>
      </c>
      <c r="I409" s="22" t="s">
        <v>146</v>
      </c>
      <c r="J409" s="22" t="s">
        <v>52</v>
      </c>
      <c r="K409" s="11" t="s">
        <v>70</v>
      </c>
      <c r="L409" s="18">
        <v>0.035334</v>
      </c>
      <c r="M409" s="18">
        <v>0.032931</v>
      </c>
      <c r="N409" s="18">
        <v>0.031689</v>
      </c>
      <c r="O409" s="18">
        <v>0.032603</v>
      </c>
      <c r="P409" s="18">
        <v>0.033272</v>
      </c>
      <c r="Q409" s="18">
        <v>0.034066</v>
      </c>
      <c r="R409" s="18">
        <v>0.034751</v>
      </c>
      <c r="S409" s="18">
        <v>0.03202</v>
      </c>
      <c r="T409" s="18">
        <v>0.030161</v>
      </c>
      <c r="U409" s="18">
        <v>0.031578</v>
      </c>
      <c r="V409" s="18">
        <v>0.033031</v>
      </c>
      <c r="W409" s="18">
        <v>0.032615</v>
      </c>
      <c r="X409" s="18">
        <v>0.033182</v>
      </c>
      <c r="Y409" s="18">
        <v>0.032756</v>
      </c>
      <c r="Z409" s="18">
        <v>0.031264</v>
      </c>
      <c r="AA409" s="18">
        <v>0.030363</v>
      </c>
      <c r="AB409" s="18">
        <v>0.030055</v>
      </c>
      <c r="AC409" s="18">
        <v>0.031357</v>
      </c>
      <c r="AD409" s="18">
        <v>0.028933</v>
      </c>
      <c r="AE409" s="18">
        <v>0.027471</v>
      </c>
      <c r="AF409" s="18">
        <v>0.030365</v>
      </c>
      <c r="AG409" s="18">
        <v>0.030885</v>
      </c>
      <c r="AH409" s="18">
        <v>0.028885</v>
      </c>
      <c r="AI409" s="18">
        <v>0.020683</v>
      </c>
      <c r="AJ409" s="18">
        <v>0.008813</v>
      </c>
      <c r="AK409" s="18">
        <v>0.00217</v>
      </c>
      <c r="AL409" s="18">
        <v>0.0</v>
      </c>
      <c r="AM409" s="18">
        <v>0.0</v>
      </c>
      <c r="AN409" s="18">
        <v>0.0</v>
      </c>
      <c r="AO409" s="2">
        <v>0.0</v>
      </c>
      <c r="AP409" s="20">
        <v>0.0</v>
      </c>
      <c r="AQ409" s="20">
        <v>0.0</v>
      </c>
      <c r="AR409" s="20">
        <v>0.0</v>
      </c>
      <c r="AS409" s="20">
        <v>0.0</v>
      </c>
      <c r="AT409" s="2">
        <f>AVERAGE(L409:AK409)</f>
        <v>0.02927819231</v>
      </c>
      <c r="AU409" s="12">
        <f t="shared" si="43"/>
        <v>0.02927819231</v>
      </c>
      <c r="AV409" s="14"/>
      <c r="AW409" s="15"/>
      <c r="AX409" s="15"/>
    </row>
    <row r="410" ht="15.75" customHeight="1">
      <c r="A410" s="7">
        <v>240319.0</v>
      </c>
      <c r="B410" s="7">
        <v>76.0</v>
      </c>
      <c r="C410" s="7">
        <v>3.0</v>
      </c>
      <c r="D410" s="8" t="s">
        <v>261</v>
      </c>
      <c r="E410" s="7">
        <v>11.0</v>
      </c>
      <c r="F410" s="8" t="s">
        <v>56</v>
      </c>
      <c r="G410" s="8" t="s">
        <v>49</v>
      </c>
      <c r="H410" s="8" t="s">
        <v>61</v>
      </c>
      <c r="I410" s="22" t="s">
        <v>146</v>
      </c>
      <c r="J410" s="22" t="s">
        <v>52</v>
      </c>
      <c r="K410" s="11" t="s">
        <v>76</v>
      </c>
      <c r="L410" s="18">
        <v>0.028285</v>
      </c>
      <c r="M410" s="18">
        <v>0.029829</v>
      </c>
      <c r="N410" s="18">
        <v>0.029656</v>
      </c>
      <c r="O410" s="18">
        <v>0.03032</v>
      </c>
      <c r="P410" s="18">
        <v>0.032115</v>
      </c>
      <c r="Q410" s="18">
        <v>0.033919</v>
      </c>
      <c r="R410" s="18">
        <v>0.034739</v>
      </c>
      <c r="S410" s="18">
        <v>0.035704</v>
      </c>
      <c r="T410" s="18">
        <v>0.036791</v>
      </c>
      <c r="U410" s="18">
        <v>0.035402</v>
      </c>
      <c r="V410" s="18">
        <v>0.034369</v>
      </c>
      <c r="W410" s="18">
        <v>0.034344</v>
      </c>
      <c r="X410" s="18">
        <v>0.033192</v>
      </c>
      <c r="Y410" s="18">
        <v>0.032123</v>
      </c>
      <c r="Z410" s="18">
        <v>0.032106</v>
      </c>
      <c r="AA410" s="18">
        <v>0.031512</v>
      </c>
      <c r="AB410" s="18">
        <v>0.03155</v>
      </c>
      <c r="AC410" s="18">
        <v>0.030997</v>
      </c>
      <c r="AD410" s="18">
        <v>0.029237</v>
      </c>
      <c r="AE410" s="18">
        <v>0.029299</v>
      </c>
      <c r="AF410" s="18">
        <v>0.028816</v>
      </c>
      <c r="AG410" s="18">
        <v>0.026272</v>
      </c>
      <c r="AH410" s="18">
        <v>0.017726</v>
      </c>
      <c r="AI410" s="18">
        <v>0.005782</v>
      </c>
      <c r="AJ410" s="18">
        <v>5.37E-4</v>
      </c>
      <c r="AK410" s="18">
        <v>0.0</v>
      </c>
      <c r="AL410" s="18">
        <v>0.0</v>
      </c>
      <c r="AM410" s="2">
        <v>0.0</v>
      </c>
      <c r="AN410" s="2">
        <v>0.0</v>
      </c>
      <c r="AO410" s="2">
        <v>0.0</v>
      </c>
      <c r="AP410" s="20">
        <v>0.0</v>
      </c>
      <c r="AQ410" s="20">
        <v>0.0</v>
      </c>
      <c r="AR410" s="20">
        <v>0.0</v>
      </c>
      <c r="AS410" s="20">
        <v>0.0</v>
      </c>
      <c r="AT410" s="2">
        <f>AVERAGE(L410:AJ410)</f>
        <v>0.02898488</v>
      </c>
      <c r="AU410" s="12">
        <f t="shared" si="43"/>
        <v>0.02898488</v>
      </c>
      <c r="AV410" s="14"/>
      <c r="AW410" s="15"/>
      <c r="AX410" s="15"/>
    </row>
    <row r="411" ht="15.75" customHeight="1">
      <c r="A411" s="7">
        <v>240319.0</v>
      </c>
      <c r="B411" s="7">
        <v>76.0</v>
      </c>
      <c r="C411" s="7">
        <v>3.0</v>
      </c>
      <c r="D411" s="8" t="s">
        <v>262</v>
      </c>
      <c r="E411" s="7">
        <v>11.0</v>
      </c>
      <c r="F411" s="8" t="s">
        <v>56</v>
      </c>
      <c r="G411" s="8" t="s">
        <v>49</v>
      </c>
      <c r="H411" s="8" t="s">
        <v>50</v>
      </c>
      <c r="I411" s="22" t="s">
        <v>146</v>
      </c>
      <c r="J411" s="22" t="s">
        <v>52</v>
      </c>
      <c r="K411" s="11" t="s">
        <v>76</v>
      </c>
      <c r="L411" s="18">
        <v>0.033152</v>
      </c>
      <c r="M411" s="18">
        <v>0.033497</v>
      </c>
      <c r="N411" s="18">
        <v>0.033242</v>
      </c>
      <c r="O411" s="18">
        <v>0.032948</v>
      </c>
      <c r="P411" s="18">
        <v>0.033605</v>
      </c>
      <c r="Q411" s="18">
        <v>0.034027</v>
      </c>
      <c r="R411" s="18">
        <v>0.033978</v>
      </c>
      <c r="S411" s="18">
        <v>0.034867</v>
      </c>
      <c r="T411" s="18">
        <v>0.035001</v>
      </c>
      <c r="U411" s="18">
        <v>0.033931</v>
      </c>
      <c r="V411" s="18">
        <v>0.033845</v>
      </c>
      <c r="W411" s="18">
        <v>0.034708</v>
      </c>
      <c r="X411" s="18">
        <v>0.03464</v>
      </c>
      <c r="Y411" s="18">
        <v>0.03466</v>
      </c>
      <c r="Z411" s="18">
        <v>0.033945</v>
      </c>
      <c r="AA411" s="18">
        <v>0.033749</v>
      </c>
      <c r="AB411" s="18">
        <v>0.034857</v>
      </c>
      <c r="AC411" s="18">
        <v>0.0347</v>
      </c>
      <c r="AD411" s="18">
        <v>0.034502</v>
      </c>
      <c r="AE411" s="18">
        <v>0.034965</v>
      </c>
      <c r="AF411" s="18">
        <v>0.036354</v>
      </c>
      <c r="AG411" s="18">
        <v>0.034803</v>
      </c>
      <c r="AH411" s="18">
        <v>0.03215</v>
      </c>
      <c r="AI411" s="18">
        <v>0.029864</v>
      </c>
      <c r="AJ411" s="18">
        <v>0.027063</v>
      </c>
      <c r="AK411" s="18">
        <v>0.021206</v>
      </c>
      <c r="AL411" s="18">
        <v>0.009203</v>
      </c>
      <c r="AM411" s="18">
        <v>9.05E-4</v>
      </c>
      <c r="AN411" s="18">
        <v>0.001914</v>
      </c>
      <c r="AO411" s="2">
        <v>0.0</v>
      </c>
      <c r="AP411" s="20">
        <v>0.0</v>
      </c>
      <c r="AQ411" s="20">
        <v>0.0</v>
      </c>
      <c r="AR411" s="20">
        <v>0.0</v>
      </c>
      <c r="AS411" s="20">
        <v>0.0</v>
      </c>
      <c r="AT411" s="2">
        <f>AVERAGE(L411:AN411)</f>
        <v>0.03021658621</v>
      </c>
      <c r="AU411" s="12">
        <f t="shared" si="43"/>
        <v>0.03021658621</v>
      </c>
      <c r="AV411" s="14"/>
      <c r="AW411" s="15"/>
      <c r="AX411" s="15"/>
    </row>
    <row r="412" ht="15.75" customHeight="1">
      <c r="A412" s="7">
        <v>240319.0</v>
      </c>
      <c r="B412" s="7">
        <v>76.0</v>
      </c>
      <c r="C412" s="7">
        <v>3.0</v>
      </c>
      <c r="D412" s="8" t="s">
        <v>263</v>
      </c>
      <c r="E412" s="7">
        <v>11.0</v>
      </c>
      <c r="F412" s="8" t="s">
        <v>56</v>
      </c>
      <c r="G412" s="8" t="s">
        <v>49</v>
      </c>
      <c r="H412" s="8" t="s">
        <v>63</v>
      </c>
      <c r="I412" s="22" t="s">
        <v>146</v>
      </c>
      <c r="J412" s="22" t="s">
        <v>52</v>
      </c>
      <c r="K412" s="11" t="s">
        <v>76</v>
      </c>
      <c r="L412" s="18">
        <v>0.037083</v>
      </c>
      <c r="M412" s="18">
        <v>0.033299</v>
      </c>
      <c r="N412" s="18">
        <v>0.031317</v>
      </c>
      <c r="O412" s="18">
        <v>0.031549</v>
      </c>
      <c r="P412" s="18">
        <v>0.032205</v>
      </c>
      <c r="Q412" s="18">
        <v>0.032338</v>
      </c>
      <c r="R412" s="18">
        <v>0.031967</v>
      </c>
      <c r="S412" s="18">
        <v>0.033134</v>
      </c>
      <c r="T412" s="18">
        <v>0.035841</v>
      </c>
      <c r="U412" s="18">
        <v>0.036536</v>
      </c>
      <c r="V412" s="18">
        <v>0.036564</v>
      </c>
      <c r="W412" s="18">
        <v>0.034435</v>
      </c>
      <c r="X412" s="18">
        <v>0.032145</v>
      </c>
      <c r="Y412" s="18">
        <v>0.032166</v>
      </c>
      <c r="Z412" s="18">
        <v>0.032366</v>
      </c>
      <c r="AA412" s="18">
        <v>0.033095</v>
      </c>
      <c r="AB412" s="18">
        <v>0.031852</v>
      </c>
      <c r="AC412" s="18">
        <v>0.027544</v>
      </c>
      <c r="AD412" s="18">
        <v>0.023558</v>
      </c>
      <c r="AE412" s="18">
        <v>0.020798</v>
      </c>
      <c r="AF412" s="18">
        <v>0.018007</v>
      </c>
      <c r="AG412" s="18">
        <v>0.013128</v>
      </c>
      <c r="AH412" s="18">
        <v>0.007847</v>
      </c>
      <c r="AI412" s="18">
        <v>0.004628</v>
      </c>
      <c r="AJ412" s="18">
        <v>0.002342</v>
      </c>
      <c r="AK412" s="18">
        <v>0.002184</v>
      </c>
      <c r="AL412" s="18">
        <v>0.004822</v>
      </c>
      <c r="AM412" s="2">
        <v>0.0</v>
      </c>
      <c r="AN412" s="2">
        <v>0.0</v>
      </c>
      <c r="AO412" s="2">
        <v>0.0</v>
      </c>
      <c r="AP412" s="20">
        <v>0.0</v>
      </c>
      <c r="AQ412" s="20">
        <v>0.0</v>
      </c>
      <c r="AR412" s="20">
        <v>0.0</v>
      </c>
      <c r="AS412" s="20">
        <v>0.0</v>
      </c>
      <c r="AT412" s="2">
        <f>AVERAGE(L412:AL412)</f>
        <v>0.02565740741</v>
      </c>
      <c r="AU412" s="12">
        <f t="shared" si="43"/>
        <v>0.02565740741</v>
      </c>
      <c r="AV412" s="14"/>
      <c r="AW412" s="15"/>
      <c r="AX412" s="15"/>
    </row>
    <row r="413" ht="15.75" customHeight="1">
      <c r="A413" s="7">
        <v>240319.0</v>
      </c>
      <c r="B413" s="7">
        <v>76.0</v>
      </c>
      <c r="C413" s="7">
        <v>3.0</v>
      </c>
      <c r="D413" s="8" t="s">
        <v>264</v>
      </c>
      <c r="E413" s="7">
        <v>11.0</v>
      </c>
      <c r="F413" s="8" t="s">
        <v>56</v>
      </c>
      <c r="G413" s="8" t="s">
        <v>49</v>
      </c>
      <c r="H413" s="8" t="s">
        <v>65</v>
      </c>
      <c r="I413" s="22" t="s">
        <v>146</v>
      </c>
      <c r="J413" s="22" t="s">
        <v>52</v>
      </c>
      <c r="K413" s="11" t="s">
        <v>76</v>
      </c>
      <c r="L413" s="18">
        <v>0.032612</v>
      </c>
      <c r="M413" s="18">
        <v>0.031205</v>
      </c>
      <c r="N413" s="18">
        <v>0.030495</v>
      </c>
      <c r="O413" s="18">
        <v>0.03306</v>
      </c>
      <c r="P413" s="18">
        <v>0.03328</v>
      </c>
      <c r="Q413" s="18">
        <v>0.030273</v>
      </c>
      <c r="R413" s="18">
        <v>0.030098</v>
      </c>
      <c r="S413" s="18">
        <v>0.031757</v>
      </c>
      <c r="T413" s="18">
        <v>0.032513</v>
      </c>
      <c r="U413" s="18">
        <v>0.03447</v>
      </c>
      <c r="V413" s="18">
        <v>0.035325</v>
      </c>
      <c r="W413" s="18">
        <v>0.032001</v>
      </c>
      <c r="X413" s="18">
        <v>0.031582</v>
      </c>
      <c r="Y413" s="18">
        <v>0.034407</v>
      </c>
      <c r="Z413" s="18">
        <v>0.032457</v>
      </c>
      <c r="AA413" s="18">
        <v>0.028799</v>
      </c>
      <c r="AB413" s="18">
        <v>0.030842</v>
      </c>
      <c r="AC413" s="18">
        <v>0.034322</v>
      </c>
      <c r="AD413" s="18">
        <v>0.032038</v>
      </c>
      <c r="AE413" s="18">
        <v>0.029893</v>
      </c>
      <c r="AF413" s="18">
        <v>0.031079</v>
      </c>
      <c r="AG413" s="18">
        <v>0.028422</v>
      </c>
      <c r="AH413" s="18">
        <v>0.019861</v>
      </c>
      <c r="AI413" s="18">
        <v>0.009201</v>
      </c>
      <c r="AJ413" s="18">
        <v>0.002038</v>
      </c>
      <c r="AK413" s="18">
        <v>0.0</v>
      </c>
      <c r="AL413" s="18">
        <v>0.00247</v>
      </c>
      <c r="AM413" s="18">
        <v>0.008004</v>
      </c>
      <c r="AN413" s="18">
        <v>0.013316</v>
      </c>
      <c r="AO413" s="18">
        <v>0.00325</v>
      </c>
      <c r="AP413" s="20">
        <v>0.0</v>
      </c>
      <c r="AQ413" s="20">
        <v>0.0</v>
      </c>
      <c r="AR413" s="20">
        <v>0.0</v>
      </c>
      <c r="AS413" s="20">
        <v>0.0</v>
      </c>
      <c r="AT413" s="2">
        <f>AVERAGE(L413:AO413)</f>
        <v>0.02530233333</v>
      </c>
      <c r="AU413" s="12">
        <f t="shared" si="43"/>
        <v>0.02617482759</v>
      </c>
      <c r="AV413" s="14"/>
      <c r="AW413" s="15"/>
      <c r="AX413" s="15"/>
    </row>
    <row r="414" ht="15.75" customHeight="1">
      <c r="A414" s="7">
        <v>240320.0</v>
      </c>
      <c r="B414" s="7">
        <v>76.0</v>
      </c>
      <c r="C414" s="7">
        <v>3.0</v>
      </c>
      <c r="D414" s="8" t="s">
        <v>265</v>
      </c>
      <c r="E414" s="7">
        <v>11.0</v>
      </c>
      <c r="F414" s="8" t="s">
        <v>56</v>
      </c>
      <c r="G414" s="8" t="s">
        <v>67</v>
      </c>
      <c r="H414" s="8" t="s">
        <v>65</v>
      </c>
      <c r="I414" s="22" t="s">
        <v>146</v>
      </c>
      <c r="J414" s="22" t="s">
        <v>52</v>
      </c>
      <c r="K414" s="11" t="s">
        <v>76</v>
      </c>
      <c r="L414" s="18">
        <v>0.01649</v>
      </c>
      <c r="M414" s="18">
        <v>0.021375</v>
      </c>
      <c r="N414" s="18">
        <v>0.023034</v>
      </c>
      <c r="O414" s="18">
        <v>0.021865</v>
      </c>
      <c r="P414" s="18">
        <v>0.020643</v>
      </c>
      <c r="Q414" s="18">
        <v>0.020322</v>
      </c>
      <c r="R414" s="18">
        <v>0.021408</v>
      </c>
      <c r="S414" s="18">
        <v>0.023812</v>
      </c>
      <c r="T414" s="18">
        <v>0.024944</v>
      </c>
      <c r="U414" s="18">
        <v>0.024762</v>
      </c>
      <c r="V414" s="18">
        <v>0.02508</v>
      </c>
      <c r="W414" s="18">
        <v>0.025703</v>
      </c>
      <c r="X414" s="18">
        <v>0.025486</v>
      </c>
      <c r="Y414" s="18">
        <v>0.023296</v>
      </c>
      <c r="Z414" s="18">
        <v>0.019068</v>
      </c>
      <c r="AA414" s="18">
        <v>0.016994</v>
      </c>
      <c r="AB414" s="18">
        <v>0.014719</v>
      </c>
      <c r="AC414" s="18">
        <v>0.012201</v>
      </c>
      <c r="AD414" s="18">
        <v>0.012089</v>
      </c>
      <c r="AE414" s="18">
        <v>0.009578</v>
      </c>
      <c r="AF414" s="18">
        <v>0.004428</v>
      </c>
      <c r="AG414" s="18">
        <v>0.001058</v>
      </c>
      <c r="AH414" s="18">
        <v>7.28E-4</v>
      </c>
      <c r="AI414" s="18">
        <v>8.78E-4</v>
      </c>
      <c r="AJ414" s="18">
        <v>0.001559</v>
      </c>
      <c r="AK414" s="18">
        <v>0.002545</v>
      </c>
      <c r="AL414" s="18">
        <v>0.0</v>
      </c>
      <c r="AM414" s="2">
        <v>0.0</v>
      </c>
      <c r="AN414" s="2">
        <v>0.0</v>
      </c>
      <c r="AO414" s="2">
        <v>0.0</v>
      </c>
      <c r="AP414" s="20">
        <v>0.0</v>
      </c>
      <c r="AQ414" s="20">
        <v>0.0</v>
      </c>
      <c r="AR414" s="20">
        <v>0.0</v>
      </c>
      <c r="AS414" s="20">
        <v>0.0</v>
      </c>
      <c r="AT414" s="2">
        <f>AVERAGE(L414:AK414)</f>
        <v>0.01592557692</v>
      </c>
      <c r="AU414" s="12">
        <f t="shared" si="43"/>
        <v>0.01592557692</v>
      </c>
      <c r="AV414" s="14"/>
      <c r="AW414" s="15"/>
      <c r="AX414" s="15"/>
    </row>
    <row r="415" ht="15.75" customHeight="1">
      <c r="A415" s="7">
        <v>240320.0</v>
      </c>
      <c r="B415" s="7">
        <v>76.0</v>
      </c>
      <c r="C415" s="7">
        <v>3.0</v>
      </c>
      <c r="D415" s="8" t="s">
        <v>266</v>
      </c>
      <c r="E415" s="7">
        <v>11.0</v>
      </c>
      <c r="F415" s="8" t="s">
        <v>56</v>
      </c>
      <c r="G415" s="8" t="s">
        <v>67</v>
      </c>
      <c r="H415" s="8" t="s">
        <v>61</v>
      </c>
      <c r="I415" s="22" t="s">
        <v>146</v>
      </c>
      <c r="J415" s="22" t="s">
        <v>52</v>
      </c>
      <c r="K415" s="11" t="s">
        <v>76</v>
      </c>
      <c r="L415" s="18">
        <v>0.022435</v>
      </c>
      <c r="M415" s="18">
        <v>0.025231</v>
      </c>
      <c r="N415" s="18">
        <v>0.024836</v>
      </c>
      <c r="O415" s="18">
        <v>0.023964</v>
      </c>
      <c r="P415" s="18">
        <v>0.02303</v>
      </c>
      <c r="Q415" s="18">
        <v>0.023837</v>
      </c>
      <c r="R415" s="18">
        <v>0.023952</v>
      </c>
      <c r="S415" s="18">
        <v>0.021665</v>
      </c>
      <c r="T415" s="18">
        <v>0.020664</v>
      </c>
      <c r="U415" s="18">
        <v>0.020004</v>
      </c>
      <c r="V415" s="18">
        <v>0.020197</v>
      </c>
      <c r="W415" s="18">
        <v>0.020749</v>
      </c>
      <c r="X415" s="18">
        <v>0.02234</v>
      </c>
      <c r="Y415" s="18">
        <v>0.023805</v>
      </c>
      <c r="Z415" s="18">
        <v>0.021737</v>
      </c>
      <c r="AA415" s="18">
        <v>0.019573</v>
      </c>
      <c r="AB415" s="18">
        <v>0.019594</v>
      </c>
      <c r="AC415" s="18">
        <v>0.020427</v>
      </c>
      <c r="AD415" s="18">
        <v>0.021661</v>
      </c>
      <c r="AE415" s="18">
        <v>0.018453</v>
      </c>
      <c r="AF415" s="18">
        <v>0.011841</v>
      </c>
      <c r="AG415" s="18">
        <v>0.006174</v>
      </c>
      <c r="AH415" s="18">
        <v>0.002066</v>
      </c>
      <c r="AI415" s="18">
        <v>1.55E-4</v>
      </c>
      <c r="AJ415" s="18">
        <v>0.0</v>
      </c>
      <c r="AK415" s="18">
        <v>0.001475</v>
      </c>
      <c r="AL415" s="18">
        <v>0.007586</v>
      </c>
      <c r="AM415" s="2">
        <v>0.0</v>
      </c>
      <c r="AN415" s="2">
        <v>0.0</v>
      </c>
      <c r="AO415" s="2">
        <v>0.0</v>
      </c>
      <c r="AP415" s="20">
        <v>0.0</v>
      </c>
      <c r="AQ415" s="20">
        <v>0.0</v>
      </c>
      <c r="AR415" s="20">
        <v>0.0</v>
      </c>
      <c r="AS415" s="20">
        <v>0.0</v>
      </c>
      <c r="AT415" s="2">
        <f>AVERAGE(L415:AL415)</f>
        <v>0.017313</v>
      </c>
      <c r="AU415" s="12">
        <f t="shared" si="43"/>
        <v>0.01797888462</v>
      </c>
      <c r="AV415" s="14"/>
      <c r="AW415" s="15"/>
      <c r="AX415" s="15"/>
    </row>
    <row r="416" ht="15.75" customHeight="1">
      <c r="A416" s="7">
        <v>240320.0</v>
      </c>
      <c r="B416" s="7">
        <v>76.0</v>
      </c>
      <c r="C416" s="7">
        <v>3.0</v>
      </c>
      <c r="D416" s="8" t="s">
        <v>267</v>
      </c>
      <c r="E416" s="7">
        <v>11.0</v>
      </c>
      <c r="F416" s="8" t="s">
        <v>56</v>
      </c>
      <c r="G416" s="8" t="s">
        <v>67</v>
      </c>
      <c r="H416" s="8" t="s">
        <v>50</v>
      </c>
      <c r="I416" s="22" t="s">
        <v>146</v>
      </c>
      <c r="J416" s="22" t="s">
        <v>52</v>
      </c>
      <c r="K416" s="11" t="s">
        <v>76</v>
      </c>
      <c r="L416" s="18">
        <v>0.025411</v>
      </c>
      <c r="M416" s="18">
        <v>0.028264</v>
      </c>
      <c r="N416" s="18">
        <v>0.027802</v>
      </c>
      <c r="O416" s="18">
        <v>0.027621</v>
      </c>
      <c r="P416" s="18">
        <v>0.029267</v>
      </c>
      <c r="Q416" s="18">
        <v>0.028278</v>
      </c>
      <c r="R416" s="18">
        <v>0.027268</v>
      </c>
      <c r="S416" s="18">
        <v>0.02729</v>
      </c>
      <c r="T416" s="18">
        <v>0.026309</v>
      </c>
      <c r="U416" s="18">
        <v>0.025896</v>
      </c>
      <c r="V416" s="18">
        <v>0.027177</v>
      </c>
      <c r="W416" s="18">
        <v>0.026581</v>
      </c>
      <c r="X416" s="18">
        <v>0.02636</v>
      </c>
      <c r="Y416" s="18">
        <v>0.027075</v>
      </c>
      <c r="Z416" s="18">
        <v>0.027392</v>
      </c>
      <c r="AA416" s="18">
        <v>0.028619</v>
      </c>
      <c r="AB416" s="18">
        <v>0.029326</v>
      </c>
      <c r="AC416" s="18">
        <v>0.029584</v>
      </c>
      <c r="AD416" s="18">
        <v>0.028885</v>
      </c>
      <c r="AE416" s="18">
        <v>0.027878</v>
      </c>
      <c r="AF416" s="18">
        <v>0.025463</v>
      </c>
      <c r="AG416" s="18">
        <v>0.022422</v>
      </c>
      <c r="AH416" s="18">
        <v>0.01895</v>
      </c>
      <c r="AI416" s="18">
        <v>0.012852</v>
      </c>
      <c r="AJ416" s="18">
        <v>0.007958</v>
      </c>
      <c r="AK416" s="18">
        <v>0.004194</v>
      </c>
      <c r="AL416" s="18">
        <v>0.001007</v>
      </c>
      <c r="AM416" s="18">
        <v>9.42E-4</v>
      </c>
      <c r="AN416" s="18">
        <v>0.001577</v>
      </c>
      <c r="AO416" s="18">
        <v>0.0</v>
      </c>
      <c r="AP416" s="20">
        <v>0.0</v>
      </c>
      <c r="AQ416" s="20">
        <v>0.0</v>
      </c>
      <c r="AR416" s="20">
        <v>0.0</v>
      </c>
      <c r="AS416" s="20">
        <v>0.0</v>
      </c>
      <c r="AT416" s="2">
        <f t="shared" ref="AT416:AT421" si="47">AVERAGE(L416:AN416)</f>
        <v>0.02233268966</v>
      </c>
      <c r="AU416" s="12">
        <f t="shared" si="43"/>
        <v>0.02233268966</v>
      </c>
      <c r="AV416" s="14"/>
      <c r="AW416" s="15"/>
      <c r="AX416" s="15"/>
    </row>
    <row r="417" ht="15.75" customHeight="1">
      <c r="A417" s="7">
        <v>240320.0</v>
      </c>
      <c r="B417" s="7">
        <v>76.0</v>
      </c>
      <c r="C417" s="7">
        <v>3.0</v>
      </c>
      <c r="D417" s="8" t="s">
        <v>268</v>
      </c>
      <c r="E417" s="7">
        <v>11.0</v>
      </c>
      <c r="F417" s="8" t="s">
        <v>56</v>
      </c>
      <c r="G417" s="8" t="s">
        <v>67</v>
      </c>
      <c r="H417" s="8" t="s">
        <v>63</v>
      </c>
      <c r="I417" s="22" t="s">
        <v>146</v>
      </c>
      <c r="J417" s="22" t="s">
        <v>52</v>
      </c>
      <c r="K417" s="11" t="s">
        <v>76</v>
      </c>
      <c r="L417" s="18">
        <v>0.026887</v>
      </c>
      <c r="M417" s="18">
        <v>0.026702</v>
      </c>
      <c r="N417" s="18">
        <v>0.027246</v>
      </c>
      <c r="O417" s="18">
        <v>0.02783</v>
      </c>
      <c r="P417" s="18">
        <v>0.027685</v>
      </c>
      <c r="Q417" s="18">
        <v>0.028249</v>
      </c>
      <c r="R417" s="18">
        <v>0.029094</v>
      </c>
      <c r="S417" s="18">
        <v>0.029889</v>
      </c>
      <c r="T417" s="18">
        <v>0.029224</v>
      </c>
      <c r="U417" s="18">
        <v>0.029429</v>
      </c>
      <c r="V417" s="18">
        <v>0.031811</v>
      </c>
      <c r="W417" s="18">
        <v>0.031795</v>
      </c>
      <c r="X417" s="18">
        <v>0.03049</v>
      </c>
      <c r="Y417" s="18">
        <v>0.030698</v>
      </c>
      <c r="Z417" s="18">
        <v>0.032574</v>
      </c>
      <c r="AA417" s="18">
        <v>0.033085</v>
      </c>
      <c r="AB417" s="18">
        <v>0.031788</v>
      </c>
      <c r="AC417" s="18">
        <v>0.031523</v>
      </c>
      <c r="AD417" s="18">
        <v>0.030514</v>
      </c>
      <c r="AE417" s="18">
        <v>0.028741</v>
      </c>
      <c r="AF417" s="18">
        <v>0.027176</v>
      </c>
      <c r="AG417" s="18">
        <v>0.02774</v>
      </c>
      <c r="AH417" s="18">
        <v>0.025953</v>
      </c>
      <c r="AI417" s="18">
        <v>0.02232</v>
      </c>
      <c r="AJ417" s="18">
        <v>0.020248</v>
      </c>
      <c r="AK417" s="18">
        <v>0.010185</v>
      </c>
      <c r="AL417" s="18">
        <v>0.001933</v>
      </c>
      <c r="AM417" s="18">
        <v>0.004922</v>
      </c>
      <c r="AN417" s="18">
        <v>0.02211</v>
      </c>
      <c r="AO417" s="2">
        <v>0.0</v>
      </c>
      <c r="AP417" s="20">
        <v>0.0</v>
      </c>
      <c r="AQ417" s="20">
        <v>0.0</v>
      </c>
      <c r="AR417" s="20">
        <v>0.0</v>
      </c>
      <c r="AS417" s="20">
        <v>0.0</v>
      </c>
      <c r="AT417" s="2">
        <f t="shared" si="47"/>
        <v>0.02613244828</v>
      </c>
      <c r="AU417" s="12">
        <f t="shared" si="43"/>
        <v>0.02613244828</v>
      </c>
      <c r="AV417" s="14"/>
      <c r="AW417" s="15"/>
      <c r="AX417" s="15"/>
    </row>
    <row r="418" ht="15.75" customHeight="1">
      <c r="A418" s="7">
        <v>231110.0</v>
      </c>
      <c r="B418" s="7">
        <v>67.0</v>
      </c>
      <c r="C418" s="7">
        <v>1.0</v>
      </c>
      <c r="D418" s="8" t="s">
        <v>239</v>
      </c>
      <c r="E418" s="7">
        <v>11.0</v>
      </c>
      <c r="F418" s="8" t="s">
        <v>48</v>
      </c>
      <c r="G418" s="8" t="s">
        <v>89</v>
      </c>
      <c r="H418" s="8" t="s">
        <v>61</v>
      </c>
      <c r="I418" s="22" t="s">
        <v>185</v>
      </c>
      <c r="J418" s="22" t="s">
        <v>52</v>
      </c>
      <c r="K418" s="11" t="s">
        <v>53</v>
      </c>
      <c r="L418" s="12">
        <v>0.0192201</v>
      </c>
      <c r="M418" s="12">
        <v>0.0165071</v>
      </c>
      <c r="N418" s="12">
        <v>0.0139202</v>
      </c>
      <c r="O418" s="12">
        <v>0.0119898</v>
      </c>
      <c r="P418" s="12">
        <v>0.0120736</v>
      </c>
      <c r="Q418" s="12">
        <v>0.0128752</v>
      </c>
      <c r="R418" s="12">
        <v>0.0130842</v>
      </c>
      <c r="S418" s="12">
        <v>0.0128585</v>
      </c>
      <c r="T418" s="12">
        <v>0.0126204</v>
      </c>
      <c r="U418" s="12">
        <v>0.0126783</v>
      </c>
      <c r="V418" s="12">
        <v>0.0132036</v>
      </c>
      <c r="W418" s="12">
        <v>0.0150398</v>
      </c>
      <c r="X418" s="12">
        <v>0.01367</v>
      </c>
      <c r="Y418" s="12">
        <v>0.011546</v>
      </c>
      <c r="Z418" s="12">
        <v>0.0102898</v>
      </c>
      <c r="AA418" s="12">
        <v>0.0084882</v>
      </c>
      <c r="AB418" s="12">
        <v>0.008388</v>
      </c>
      <c r="AC418" s="12">
        <v>0.0083232</v>
      </c>
      <c r="AD418" s="12">
        <v>0.0073393</v>
      </c>
      <c r="AE418" s="12">
        <v>0.0076651</v>
      </c>
      <c r="AF418" s="12">
        <v>0.0078879</v>
      </c>
      <c r="AG418" s="12">
        <v>0.007231</v>
      </c>
      <c r="AH418" s="12">
        <v>0.0078358</v>
      </c>
      <c r="AI418" s="12">
        <v>0.0088991</v>
      </c>
      <c r="AJ418" s="12">
        <v>0.0097401</v>
      </c>
      <c r="AK418" s="12">
        <v>0.0099792</v>
      </c>
      <c r="AL418" s="12">
        <v>0.0097982</v>
      </c>
      <c r="AM418" s="12">
        <v>0.0055605</v>
      </c>
      <c r="AN418" s="12">
        <v>7.477E-4</v>
      </c>
      <c r="AO418" s="12">
        <v>0.0</v>
      </c>
      <c r="AP418" s="13">
        <v>0.0</v>
      </c>
      <c r="AQ418" s="13">
        <v>0.0</v>
      </c>
      <c r="AR418" s="13">
        <v>0.0</v>
      </c>
      <c r="AS418" s="13">
        <v>0.0</v>
      </c>
      <c r="AT418" s="2">
        <f t="shared" si="47"/>
        <v>0.01067103103</v>
      </c>
      <c r="AU418" s="12">
        <f t="shared" si="43"/>
        <v>0.01067103103</v>
      </c>
      <c r="AV418" s="14"/>
      <c r="AW418" s="15"/>
      <c r="AX418" s="15"/>
    </row>
    <row r="419" ht="15.75" customHeight="1">
      <c r="A419" s="7">
        <v>231110.0</v>
      </c>
      <c r="B419" s="7">
        <v>67.0</v>
      </c>
      <c r="C419" s="7">
        <v>1.0</v>
      </c>
      <c r="D419" s="8" t="s">
        <v>240</v>
      </c>
      <c r="E419" s="7">
        <v>11.0</v>
      </c>
      <c r="F419" s="8" t="s">
        <v>48</v>
      </c>
      <c r="G419" s="8" t="s">
        <v>89</v>
      </c>
      <c r="H419" s="8" t="s">
        <v>50</v>
      </c>
      <c r="I419" s="22" t="s">
        <v>185</v>
      </c>
      <c r="J419" s="22" t="s">
        <v>52</v>
      </c>
      <c r="K419" s="11" t="s">
        <v>53</v>
      </c>
      <c r="L419" s="12">
        <v>0.0195246</v>
      </c>
      <c r="M419" s="12">
        <v>0.016125</v>
      </c>
      <c r="N419" s="12">
        <v>0.013054</v>
      </c>
      <c r="O419" s="12">
        <v>0.0110887</v>
      </c>
      <c r="P419" s="12">
        <v>0.0112784</v>
      </c>
      <c r="Q419" s="12">
        <v>0.0119486</v>
      </c>
      <c r="R419" s="12">
        <v>0.0127494</v>
      </c>
      <c r="S419" s="12">
        <v>0.0136648</v>
      </c>
      <c r="T419" s="12">
        <v>0.0139094</v>
      </c>
      <c r="U419" s="12">
        <v>0.0136116</v>
      </c>
      <c r="V419" s="12">
        <v>0.0123042</v>
      </c>
      <c r="W419" s="12">
        <v>0.0114036</v>
      </c>
      <c r="X419" s="12">
        <v>0.013298</v>
      </c>
      <c r="Y419" s="12">
        <v>0.0140387</v>
      </c>
      <c r="Z419" s="12">
        <v>0.0132726</v>
      </c>
      <c r="AA419" s="12">
        <v>0.0108082</v>
      </c>
      <c r="AB419" s="12">
        <v>0.0084988</v>
      </c>
      <c r="AC419" s="12">
        <v>0.0084015</v>
      </c>
      <c r="AD419" s="12">
        <v>0.0076177</v>
      </c>
      <c r="AE419" s="12">
        <v>0.0075762</v>
      </c>
      <c r="AF419" s="12">
        <v>0.0086401</v>
      </c>
      <c r="AG419" s="12">
        <v>0.0096939</v>
      </c>
      <c r="AH419" s="12">
        <v>0.009657</v>
      </c>
      <c r="AI419" s="12">
        <v>0.0087853</v>
      </c>
      <c r="AJ419" s="12">
        <v>0.0072536</v>
      </c>
      <c r="AK419" s="12">
        <v>0.0060456</v>
      </c>
      <c r="AL419" s="12">
        <v>0.0042746</v>
      </c>
      <c r="AM419" s="12">
        <v>0.0026583</v>
      </c>
      <c r="AN419" s="12">
        <v>0.0066449</v>
      </c>
      <c r="AO419" s="12">
        <v>0.0</v>
      </c>
      <c r="AP419" s="13">
        <v>0.0</v>
      </c>
      <c r="AQ419" s="13">
        <v>0.0</v>
      </c>
      <c r="AR419" s="13">
        <v>0.0</v>
      </c>
      <c r="AS419" s="13">
        <v>0.0</v>
      </c>
      <c r="AT419" s="2">
        <f t="shared" si="47"/>
        <v>0.01061473448</v>
      </c>
      <c r="AU419" s="12">
        <f t="shared" si="43"/>
        <v>0.01061473448</v>
      </c>
      <c r="AV419" s="14"/>
      <c r="AW419" s="15"/>
      <c r="AX419" s="15"/>
    </row>
    <row r="420" ht="15.75" customHeight="1">
      <c r="A420" s="7">
        <v>231110.0</v>
      </c>
      <c r="B420" s="7">
        <v>67.0</v>
      </c>
      <c r="C420" s="7">
        <v>1.0</v>
      </c>
      <c r="D420" s="8" t="s">
        <v>241</v>
      </c>
      <c r="E420" s="7">
        <v>11.0</v>
      </c>
      <c r="F420" s="8" t="s">
        <v>48</v>
      </c>
      <c r="G420" s="8" t="s">
        <v>89</v>
      </c>
      <c r="H420" s="8" t="s">
        <v>63</v>
      </c>
      <c r="I420" s="22" t="s">
        <v>185</v>
      </c>
      <c r="J420" s="22" t="s">
        <v>52</v>
      </c>
      <c r="K420" s="11" t="s">
        <v>53</v>
      </c>
      <c r="L420" s="12">
        <v>0.0113599</v>
      </c>
      <c r="M420" s="12">
        <v>0.0090032</v>
      </c>
      <c r="N420" s="12">
        <v>0.009361</v>
      </c>
      <c r="O420" s="12">
        <v>0.0115164</v>
      </c>
      <c r="P420" s="12">
        <v>0.0122669</v>
      </c>
      <c r="Q420" s="12">
        <v>0.011336</v>
      </c>
      <c r="R420" s="12">
        <v>0.0110118</v>
      </c>
      <c r="S420" s="12">
        <v>0.0117069</v>
      </c>
      <c r="T420" s="12">
        <v>0.0100178</v>
      </c>
      <c r="U420" s="12">
        <v>0.0088547</v>
      </c>
      <c r="V420" s="12">
        <v>0.0105346</v>
      </c>
      <c r="W420" s="12">
        <v>0.0108768</v>
      </c>
      <c r="X420" s="12">
        <v>0.0095666</v>
      </c>
      <c r="Y420" s="12">
        <v>0.0085598</v>
      </c>
      <c r="Z420" s="12">
        <v>0.0081231</v>
      </c>
      <c r="AA420" s="12">
        <v>0.0077283</v>
      </c>
      <c r="AB420" s="12">
        <v>0.0074433</v>
      </c>
      <c r="AC420" s="12">
        <v>0.0069816</v>
      </c>
      <c r="AD420" s="12">
        <v>0.006697</v>
      </c>
      <c r="AE420" s="12">
        <v>0.0062742</v>
      </c>
      <c r="AF420" s="12">
        <v>0.0062867</v>
      </c>
      <c r="AG420" s="12">
        <v>0.0068222</v>
      </c>
      <c r="AH420" s="12">
        <v>0.0067389</v>
      </c>
      <c r="AI420" s="12">
        <v>0.0070553</v>
      </c>
      <c r="AJ420" s="12">
        <v>0.0076272</v>
      </c>
      <c r="AK420" s="12">
        <v>0.0086809</v>
      </c>
      <c r="AL420" s="12">
        <v>0.0055648</v>
      </c>
      <c r="AM420" s="12">
        <v>8.3E-4</v>
      </c>
      <c r="AN420" s="12">
        <v>6.2E-5</v>
      </c>
      <c r="AO420" s="12">
        <v>0.0</v>
      </c>
      <c r="AP420" s="13">
        <v>0.0</v>
      </c>
      <c r="AQ420" s="13">
        <v>0.0</v>
      </c>
      <c r="AR420" s="13">
        <v>0.0</v>
      </c>
      <c r="AS420" s="13">
        <v>0.0</v>
      </c>
      <c r="AT420" s="2">
        <f t="shared" si="47"/>
        <v>0.008237513793</v>
      </c>
      <c r="AU420" s="12">
        <f t="shared" si="43"/>
        <v>0.008237513793</v>
      </c>
      <c r="AV420" s="14"/>
      <c r="AW420" s="15"/>
      <c r="AX420" s="15"/>
    </row>
    <row r="421" ht="15.75" customHeight="1">
      <c r="A421" s="7">
        <v>231110.0</v>
      </c>
      <c r="B421" s="7">
        <v>67.0</v>
      </c>
      <c r="C421" s="7">
        <v>1.0</v>
      </c>
      <c r="D421" s="8" t="s">
        <v>242</v>
      </c>
      <c r="E421" s="7">
        <v>11.0</v>
      </c>
      <c r="F421" s="8" t="s">
        <v>48</v>
      </c>
      <c r="G421" s="8" t="s">
        <v>85</v>
      </c>
      <c r="H421" s="8" t="s">
        <v>61</v>
      </c>
      <c r="I421" s="22" t="s">
        <v>185</v>
      </c>
      <c r="J421" s="22" t="s">
        <v>52</v>
      </c>
      <c r="K421" s="11" t="s">
        <v>53</v>
      </c>
      <c r="L421" s="12">
        <v>0.0148349</v>
      </c>
      <c r="M421" s="12">
        <v>0.0119173</v>
      </c>
      <c r="N421" s="12">
        <v>0.0114581</v>
      </c>
      <c r="O421" s="12">
        <v>0.0125773</v>
      </c>
      <c r="P421" s="12">
        <v>0.0138403</v>
      </c>
      <c r="Q421" s="12">
        <v>0.0139186</v>
      </c>
      <c r="R421" s="12">
        <v>0.0134062</v>
      </c>
      <c r="S421" s="12">
        <v>0.0129062</v>
      </c>
      <c r="T421" s="12">
        <v>0.0114868</v>
      </c>
      <c r="U421" s="12">
        <v>0.0108121</v>
      </c>
      <c r="V421" s="12">
        <v>0.011164</v>
      </c>
      <c r="W421" s="12">
        <v>0.0123201</v>
      </c>
      <c r="X421" s="12">
        <v>0.0121325</v>
      </c>
      <c r="Y421" s="12">
        <v>0.010463</v>
      </c>
      <c r="Z421" s="12">
        <v>0.0095435</v>
      </c>
      <c r="AA421" s="12">
        <v>0.0088172</v>
      </c>
      <c r="AB421" s="12">
        <v>0.0076549</v>
      </c>
      <c r="AC421" s="12">
        <v>0.0074562</v>
      </c>
      <c r="AD421" s="12">
        <v>0.0079723</v>
      </c>
      <c r="AE421" s="12">
        <v>0.0074876</v>
      </c>
      <c r="AF421" s="12">
        <v>0.0069569</v>
      </c>
      <c r="AG421" s="12">
        <v>0.0076831</v>
      </c>
      <c r="AH421" s="12">
        <v>0.0069487</v>
      </c>
      <c r="AI421" s="12">
        <v>0.0043885</v>
      </c>
      <c r="AJ421" s="12">
        <v>0.0026653</v>
      </c>
      <c r="AK421" s="12">
        <v>0.0011163</v>
      </c>
      <c r="AL421" s="12">
        <v>2.224E-4</v>
      </c>
      <c r="AM421" s="12">
        <v>3.111E-4</v>
      </c>
      <c r="AN421" s="12">
        <v>6.921E-4</v>
      </c>
      <c r="AO421" s="12">
        <v>0.0</v>
      </c>
      <c r="AP421" s="13">
        <v>0.0</v>
      </c>
      <c r="AQ421" s="13">
        <v>0.0</v>
      </c>
      <c r="AR421" s="13">
        <v>0.0</v>
      </c>
      <c r="AS421" s="13">
        <v>0.0</v>
      </c>
      <c r="AT421" s="2">
        <f t="shared" si="47"/>
        <v>0.008729431034</v>
      </c>
      <c r="AU421" s="12">
        <f t="shared" si="43"/>
        <v>0.008729431034</v>
      </c>
      <c r="AV421" s="14"/>
      <c r="AW421" s="15"/>
      <c r="AX421" s="15"/>
    </row>
    <row r="422" ht="15.75" customHeight="1">
      <c r="A422" s="7">
        <v>231110.0</v>
      </c>
      <c r="B422" s="7">
        <v>67.0</v>
      </c>
      <c r="C422" s="7">
        <v>1.0</v>
      </c>
      <c r="D422" s="8" t="s">
        <v>243</v>
      </c>
      <c r="E422" s="7">
        <v>11.0</v>
      </c>
      <c r="F422" s="8" t="s">
        <v>48</v>
      </c>
      <c r="G422" s="8" t="s">
        <v>85</v>
      </c>
      <c r="H422" s="8" t="s">
        <v>65</v>
      </c>
      <c r="I422" s="22" t="s">
        <v>185</v>
      </c>
      <c r="J422" s="22" t="s">
        <v>52</v>
      </c>
      <c r="K422" s="11" t="s">
        <v>53</v>
      </c>
      <c r="L422" s="12">
        <v>0.0111591</v>
      </c>
      <c r="M422" s="12">
        <v>0.0097679</v>
      </c>
      <c r="N422" s="12">
        <v>0.0104386</v>
      </c>
      <c r="O422" s="12">
        <v>0.011007</v>
      </c>
      <c r="P422" s="12">
        <v>0.0107533</v>
      </c>
      <c r="Q422" s="12">
        <v>0.01019</v>
      </c>
      <c r="R422" s="12">
        <v>0.0093546</v>
      </c>
      <c r="S422" s="12">
        <v>0.009373</v>
      </c>
      <c r="T422" s="12">
        <v>0.0089575</v>
      </c>
      <c r="U422" s="12">
        <v>0.0083771</v>
      </c>
      <c r="V422" s="12">
        <v>0.0088312</v>
      </c>
      <c r="W422" s="12">
        <v>0.0082773</v>
      </c>
      <c r="X422" s="12">
        <v>0.0073189</v>
      </c>
      <c r="Y422" s="12">
        <v>0.007293</v>
      </c>
      <c r="Z422" s="12">
        <v>0.0073122</v>
      </c>
      <c r="AA422" s="12">
        <v>0.0074022</v>
      </c>
      <c r="AB422" s="12">
        <v>0.0069521</v>
      </c>
      <c r="AC422" s="12">
        <v>0.0064163</v>
      </c>
      <c r="AD422" s="12">
        <v>0.0059633</v>
      </c>
      <c r="AE422" s="12">
        <v>0.0054384</v>
      </c>
      <c r="AF422" s="12">
        <v>0.0050561</v>
      </c>
      <c r="AG422" s="12">
        <v>0.0042092</v>
      </c>
      <c r="AH422" s="12">
        <v>0.0028227</v>
      </c>
      <c r="AI422" s="12">
        <v>0.0024469</v>
      </c>
      <c r="AJ422" s="12">
        <v>0.0033804</v>
      </c>
      <c r="AK422" s="12">
        <v>0.0050252</v>
      </c>
      <c r="AL422" s="12">
        <v>0.0038837</v>
      </c>
      <c r="AM422" s="12">
        <v>0.0022877</v>
      </c>
      <c r="AN422" s="12">
        <v>0.0038498</v>
      </c>
      <c r="AO422" s="12">
        <v>0.0042391</v>
      </c>
      <c r="AP422" s="13">
        <v>0.0</v>
      </c>
      <c r="AQ422" s="13">
        <v>0.0</v>
      </c>
      <c r="AR422" s="13">
        <v>0.0</v>
      </c>
      <c r="AS422" s="13">
        <v>0.0</v>
      </c>
      <c r="AT422" s="2">
        <f>AVERAGE(L422:AO422)</f>
        <v>0.006926126667</v>
      </c>
      <c r="AU422" s="12">
        <f t="shared" si="43"/>
        <v>0.006926126667</v>
      </c>
      <c r="AV422" s="14"/>
      <c r="AW422" s="15"/>
      <c r="AX422" s="15"/>
    </row>
    <row r="423" ht="15.75" customHeight="1">
      <c r="A423" s="7">
        <v>231110.0</v>
      </c>
      <c r="B423" s="7">
        <v>67.0</v>
      </c>
      <c r="C423" s="7">
        <v>1.0</v>
      </c>
      <c r="D423" s="8" t="s">
        <v>244</v>
      </c>
      <c r="E423" s="7">
        <v>11.0</v>
      </c>
      <c r="F423" s="8" t="s">
        <v>48</v>
      </c>
      <c r="G423" s="8" t="s">
        <v>85</v>
      </c>
      <c r="H423" s="8" t="s">
        <v>63</v>
      </c>
      <c r="I423" s="22" t="s">
        <v>185</v>
      </c>
      <c r="J423" s="22" t="s">
        <v>52</v>
      </c>
      <c r="K423" s="11" t="s">
        <v>53</v>
      </c>
      <c r="L423" s="12">
        <v>0.0100651</v>
      </c>
      <c r="M423" s="12">
        <v>0.0128072</v>
      </c>
      <c r="N423" s="12">
        <v>0.0118416</v>
      </c>
      <c r="O423" s="12">
        <v>0.0089634</v>
      </c>
      <c r="P423" s="12">
        <v>0.0091701</v>
      </c>
      <c r="Q423" s="12">
        <v>0.009691</v>
      </c>
      <c r="R423" s="12">
        <v>0.0100981</v>
      </c>
      <c r="S423" s="12">
        <v>0.0109987</v>
      </c>
      <c r="T423" s="12">
        <v>0.0122439</v>
      </c>
      <c r="U423" s="12">
        <v>0.0122802</v>
      </c>
      <c r="V423" s="12">
        <v>0.0107482</v>
      </c>
      <c r="W423" s="12">
        <v>0.0096416</v>
      </c>
      <c r="X423" s="12">
        <v>0.0099877</v>
      </c>
      <c r="Y423" s="12">
        <v>0.0094917</v>
      </c>
      <c r="Z423" s="12">
        <v>0.009038</v>
      </c>
      <c r="AA423" s="12">
        <v>0.008571</v>
      </c>
      <c r="AB423" s="12">
        <v>0.008033</v>
      </c>
      <c r="AC423" s="12">
        <v>0.0075522</v>
      </c>
      <c r="AD423" s="12">
        <v>0.0064409</v>
      </c>
      <c r="AE423" s="12">
        <v>0.007134</v>
      </c>
      <c r="AF423" s="12">
        <v>0.0069383</v>
      </c>
      <c r="AG423" s="12">
        <v>0.0064065</v>
      </c>
      <c r="AH423" s="12">
        <v>0.0093397</v>
      </c>
      <c r="AI423" s="12">
        <v>0.0112048</v>
      </c>
      <c r="AJ423" s="12">
        <v>0.0097845</v>
      </c>
      <c r="AK423" s="12">
        <v>0.0049343</v>
      </c>
      <c r="AL423" s="12">
        <v>4.113E-4</v>
      </c>
      <c r="AM423" s="12">
        <v>0.0</v>
      </c>
      <c r="AN423" s="12">
        <v>0.0</v>
      </c>
      <c r="AO423" s="12">
        <v>0.0</v>
      </c>
      <c r="AP423" s="13">
        <v>0.0</v>
      </c>
      <c r="AQ423" s="13">
        <v>0.0</v>
      </c>
      <c r="AR423" s="13">
        <v>0.0</v>
      </c>
      <c r="AS423" s="13">
        <v>0.0</v>
      </c>
      <c r="AT423" s="2">
        <f>AVERAGE(L423:AL423)</f>
        <v>0.009030259259</v>
      </c>
      <c r="AU423" s="12">
        <f t="shared" si="43"/>
        <v>0.009030259259</v>
      </c>
      <c r="AV423" s="14"/>
      <c r="AW423" s="15"/>
      <c r="AX423" s="15"/>
    </row>
    <row r="424" ht="15.75" customHeight="1">
      <c r="A424" s="7">
        <v>231115.0</v>
      </c>
      <c r="B424" s="7">
        <v>68.0</v>
      </c>
      <c r="C424" s="7">
        <v>2.0</v>
      </c>
      <c r="D424" s="8" t="s">
        <v>245</v>
      </c>
      <c r="E424" s="7">
        <v>11.0</v>
      </c>
      <c r="F424" s="8" t="s">
        <v>56</v>
      </c>
      <c r="G424" s="8" t="s">
        <v>85</v>
      </c>
      <c r="H424" s="8" t="s">
        <v>65</v>
      </c>
      <c r="I424" s="22" t="s">
        <v>185</v>
      </c>
      <c r="J424" s="22" t="s">
        <v>52</v>
      </c>
      <c r="K424" s="11" t="s">
        <v>57</v>
      </c>
      <c r="L424" s="12">
        <v>0.008056</v>
      </c>
      <c r="M424" s="12">
        <v>0.0097897</v>
      </c>
      <c r="N424" s="12">
        <v>0.0092636</v>
      </c>
      <c r="O424" s="12">
        <v>0.008351</v>
      </c>
      <c r="P424" s="12">
        <v>0.0089727</v>
      </c>
      <c r="Q424" s="12">
        <v>0.010177</v>
      </c>
      <c r="R424" s="12">
        <v>0.0094356</v>
      </c>
      <c r="S424" s="12">
        <v>0.0086389</v>
      </c>
      <c r="T424" s="12">
        <v>0.0080587</v>
      </c>
      <c r="U424" s="12">
        <v>0.0061167</v>
      </c>
      <c r="V424" s="12">
        <v>0.0061368</v>
      </c>
      <c r="W424" s="12">
        <v>0.0065797</v>
      </c>
      <c r="X424" s="12">
        <v>0.0062764</v>
      </c>
      <c r="Y424" s="12">
        <v>0.0076736</v>
      </c>
      <c r="Z424" s="12">
        <v>0.0095447</v>
      </c>
      <c r="AA424" s="12">
        <v>0.0093896</v>
      </c>
      <c r="AB424" s="12">
        <v>0.0073925</v>
      </c>
      <c r="AC424" s="12">
        <v>0.0054249</v>
      </c>
      <c r="AD424" s="12">
        <v>0.0052329</v>
      </c>
      <c r="AE424" s="12">
        <v>0.0053811</v>
      </c>
      <c r="AF424" s="12">
        <v>0.0047386</v>
      </c>
      <c r="AG424" s="12">
        <v>0.0042506</v>
      </c>
      <c r="AH424" s="12">
        <v>0.0036413</v>
      </c>
      <c r="AI424" s="12">
        <v>0.0018191</v>
      </c>
      <c r="AJ424" s="12">
        <v>2.025E-4</v>
      </c>
      <c r="AK424" s="12">
        <v>2.512E-4</v>
      </c>
      <c r="AL424" s="12">
        <v>0.0020354</v>
      </c>
      <c r="AM424" s="12">
        <v>0.0060562</v>
      </c>
      <c r="AN424" s="12">
        <v>0.01157</v>
      </c>
      <c r="AO424" s="12">
        <v>0.0</v>
      </c>
      <c r="AP424" s="13">
        <v>0.0</v>
      </c>
      <c r="AQ424" s="13">
        <v>0.0</v>
      </c>
      <c r="AR424" s="13">
        <v>0.0</v>
      </c>
      <c r="AS424" s="13">
        <v>0.0</v>
      </c>
      <c r="AT424" s="2">
        <f t="shared" ref="AT424:AT425" si="48">AVERAGE(L424:AN424)</f>
        <v>0.006567482759</v>
      </c>
      <c r="AU424" s="12">
        <f t="shared" si="43"/>
        <v>0.006567482759</v>
      </c>
      <c r="AV424" s="14"/>
      <c r="AW424" s="15"/>
      <c r="AX424" s="15"/>
    </row>
    <row r="425" ht="15.75" customHeight="1">
      <c r="A425" s="7">
        <v>231115.0</v>
      </c>
      <c r="B425" s="7">
        <v>68.0</v>
      </c>
      <c r="C425" s="7">
        <v>2.0</v>
      </c>
      <c r="D425" s="8" t="s">
        <v>246</v>
      </c>
      <c r="E425" s="7">
        <v>11.0</v>
      </c>
      <c r="F425" s="8" t="s">
        <v>56</v>
      </c>
      <c r="G425" s="8" t="s">
        <v>85</v>
      </c>
      <c r="H425" s="8" t="s">
        <v>63</v>
      </c>
      <c r="I425" s="22" t="s">
        <v>185</v>
      </c>
      <c r="J425" s="22" t="s">
        <v>52</v>
      </c>
      <c r="K425" s="11" t="s">
        <v>57</v>
      </c>
      <c r="L425" s="12">
        <v>0.013769</v>
      </c>
      <c r="M425" s="12">
        <v>0.0142467</v>
      </c>
      <c r="N425" s="12">
        <v>0.0135104</v>
      </c>
      <c r="O425" s="12">
        <v>0.0109351</v>
      </c>
      <c r="P425" s="12">
        <v>0.0101025</v>
      </c>
      <c r="Q425" s="12">
        <v>0.0110363</v>
      </c>
      <c r="R425" s="12">
        <v>0.0111982</v>
      </c>
      <c r="S425" s="12">
        <v>0.0109695</v>
      </c>
      <c r="T425" s="12">
        <v>0.0115547</v>
      </c>
      <c r="U425" s="12">
        <v>0.0117032</v>
      </c>
      <c r="V425" s="12">
        <v>0.0108554</v>
      </c>
      <c r="W425" s="12">
        <v>0.0118134</v>
      </c>
      <c r="X425" s="12">
        <v>0.0124206</v>
      </c>
      <c r="Y425" s="12">
        <v>0.0099904</v>
      </c>
      <c r="Z425" s="12">
        <v>0.0085708</v>
      </c>
      <c r="AA425" s="12">
        <v>0.0088716</v>
      </c>
      <c r="AB425" s="12">
        <v>0.0089474</v>
      </c>
      <c r="AC425" s="12">
        <v>0.007349</v>
      </c>
      <c r="AD425" s="12">
        <v>0.0054605</v>
      </c>
      <c r="AE425" s="12">
        <v>0.005069</v>
      </c>
      <c r="AF425" s="12">
        <v>0.0048915</v>
      </c>
      <c r="AG425" s="12">
        <v>0.0057257</v>
      </c>
      <c r="AH425" s="12">
        <v>0.0059992</v>
      </c>
      <c r="AI425" s="12">
        <v>0.006269</v>
      </c>
      <c r="AJ425" s="12">
        <v>0.0062738</v>
      </c>
      <c r="AK425" s="12">
        <v>0.004598</v>
      </c>
      <c r="AL425" s="12">
        <v>0.0031714</v>
      </c>
      <c r="AM425" s="12">
        <v>0.0025622</v>
      </c>
      <c r="AN425" s="12">
        <v>0.0017808</v>
      </c>
      <c r="AO425" s="12">
        <v>0.0</v>
      </c>
      <c r="AP425" s="13">
        <v>0.0</v>
      </c>
      <c r="AQ425" s="13">
        <v>0.0</v>
      </c>
      <c r="AR425" s="13">
        <v>0.0</v>
      </c>
      <c r="AS425" s="13">
        <v>0.0</v>
      </c>
      <c r="AT425" s="2">
        <f t="shared" si="48"/>
        <v>0.008608458621</v>
      </c>
      <c r="AU425" s="12">
        <f t="shared" si="43"/>
        <v>0.008608458621</v>
      </c>
      <c r="AV425" s="14"/>
      <c r="AW425" s="15"/>
      <c r="AX425" s="15"/>
    </row>
    <row r="426" ht="15.75" customHeight="1">
      <c r="A426" s="7">
        <v>231115.0</v>
      </c>
      <c r="B426" s="7">
        <v>68.0</v>
      </c>
      <c r="C426" s="7">
        <v>2.0</v>
      </c>
      <c r="D426" s="8" t="s">
        <v>247</v>
      </c>
      <c r="E426" s="7">
        <v>11.0</v>
      </c>
      <c r="F426" s="8" t="s">
        <v>56</v>
      </c>
      <c r="G426" s="8" t="s">
        <v>85</v>
      </c>
      <c r="H426" s="8" t="s">
        <v>50</v>
      </c>
      <c r="I426" s="22" t="s">
        <v>185</v>
      </c>
      <c r="J426" s="22" t="s">
        <v>52</v>
      </c>
      <c r="K426" s="11" t="s">
        <v>57</v>
      </c>
      <c r="L426" s="12">
        <v>0.0134445</v>
      </c>
      <c r="M426" s="12">
        <v>0.0134755</v>
      </c>
      <c r="N426" s="12">
        <v>0.0124411</v>
      </c>
      <c r="O426" s="12">
        <v>0.012217</v>
      </c>
      <c r="P426" s="12">
        <v>0.0135206</v>
      </c>
      <c r="Q426" s="12">
        <v>0.0146652</v>
      </c>
      <c r="R426" s="12">
        <v>0.0148277</v>
      </c>
      <c r="S426" s="12">
        <v>0.0139766</v>
      </c>
      <c r="T426" s="12">
        <v>0.0141136</v>
      </c>
      <c r="U426" s="12">
        <v>0.0130922</v>
      </c>
      <c r="V426" s="12">
        <v>0.0129338</v>
      </c>
      <c r="W426" s="12">
        <v>0.0130939</v>
      </c>
      <c r="X426" s="12">
        <v>0.01267</v>
      </c>
      <c r="Y426" s="12">
        <v>0.0119339</v>
      </c>
      <c r="Z426" s="12">
        <v>0.0112155</v>
      </c>
      <c r="AA426" s="12">
        <v>0.0107866</v>
      </c>
      <c r="AB426" s="12">
        <v>0.0104927</v>
      </c>
      <c r="AC426" s="12">
        <v>0.0106179</v>
      </c>
      <c r="AD426" s="12">
        <v>0.0097713</v>
      </c>
      <c r="AE426" s="12">
        <v>0.0093775</v>
      </c>
      <c r="AF426" s="12">
        <v>0.0076798</v>
      </c>
      <c r="AG426" s="12">
        <v>0.0067814</v>
      </c>
      <c r="AH426" s="12">
        <v>0.007587</v>
      </c>
      <c r="AI426" s="12">
        <v>0.008356</v>
      </c>
      <c r="AJ426" s="12">
        <v>0.0093266</v>
      </c>
      <c r="AK426" s="12">
        <v>0.0103485</v>
      </c>
      <c r="AL426" s="12">
        <v>0.0100445</v>
      </c>
      <c r="AM426" s="12">
        <v>0.007103</v>
      </c>
      <c r="AN426" s="12">
        <v>0.0041687</v>
      </c>
      <c r="AO426" s="12">
        <v>0.002464</v>
      </c>
      <c r="AP426" s="13">
        <v>0.0</v>
      </c>
      <c r="AQ426" s="13">
        <v>0.0</v>
      </c>
      <c r="AR426" s="13">
        <v>0.0</v>
      </c>
      <c r="AS426" s="13">
        <v>0.0</v>
      </c>
      <c r="AT426" s="2">
        <f>AVERAGE(L426:AO426)</f>
        <v>0.01075088667</v>
      </c>
      <c r="AU426" s="12">
        <f t="shared" si="43"/>
        <v>0.01075088667</v>
      </c>
      <c r="AV426" s="14"/>
      <c r="AW426" s="15"/>
      <c r="AX426" s="15"/>
    </row>
    <row r="427" ht="15.75" customHeight="1">
      <c r="A427" s="7">
        <v>231115.0</v>
      </c>
      <c r="B427" s="7">
        <v>68.0</v>
      </c>
      <c r="C427" s="7">
        <v>2.0</v>
      </c>
      <c r="D427" s="8" t="s">
        <v>248</v>
      </c>
      <c r="E427" s="7">
        <v>11.0</v>
      </c>
      <c r="F427" s="8" t="s">
        <v>56</v>
      </c>
      <c r="G427" s="8" t="s">
        <v>85</v>
      </c>
      <c r="H427" s="8" t="s">
        <v>61</v>
      </c>
      <c r="I427" s="22" t="s">
        <v>185</v>
      </c>
      <c r="J427" s="22" t="s">
        <v>52</v>
      </c>
      <c r="K427" s="11" t="s">
        <v>57</v>
      </c>
      <c r="L427" s="12">
        <v>0.0126366</v>
      </c>
      <c r="M427" s="12">
        <v>0.0106209</v>
      </c>
      <c r="N427" s="12">
        <v>0.0096292</v>
      </c>
      <c r="O427" s="12">
        <v>0.0090401</v>
      </c>
      <c r="P427" s="12">
        <v>0.0087651</v>
      </c>
      <c r="Q427" s="12">
        <v>0.0087321</v>
      </c>
      <c r="R427" s="12">
        <v>0.0086578</v>
      </c>
      <c r="S427" s="12">
        <v>0.0092476</v>
      </c>
      <c r="T427" s="12">
        <v>0.009898</v>
      </c>
      <c r="U427" s="12">
        <v>0.0089916</v>
      </c>
      <c r="V427" s="12">
        <v>0.0078309</v>
      </c>
      <c r="W427" s="12">
        <v>0.008348</v>
      </c>
      <c r="X427" s="12">
        <v>0.0090416</v>
      </c>
      <c r="Y427" s="12">
        <v>0.0092789</v>
      </c>
      <c r="Z427" s="12">
        <v>0.0084451</v>
      </c>
      <c r="AA427" s="12">
        <v>0.00675</v>
      </c>
      <c r="AB427" s="12">
        <v>0.0055878</v>
      </c>
      <c r="AC427" s="12">
        <v>0.0056691</v>
      </c>
      <c r="AD427" s="12">
        <v>0.0064176</v>
      </c>
      <c r="AE427" s="12">
        <v>0.0067489</v>
      </c>
      <c r="AF427" s="12">
        <v>0.0071101</v>
      </c>
      <c r="AG427" s="12">
        <v>0.006008</v>
      </c>
      <c r="AH427" s="12">
        <v>0.0044926</v>
      </c>
      <c r="AI427" s="12">
        <v>0.004628</v>
      </c>
      <c r="AJ427" s="12">
        <v>0.0033074</v>
      </c>
      <c r="AK427" s="12">
        <v>0.0011752</v>
      </c>
      <c r="AL427" s="12">
        <v>3.247E-4</v>
      </c>
      <c r="AM427" s="12">
        <v>0.0</v>
      </c>
      <c r="AN427" s="12">
        <v>0.0</v>
      </c>
      <c r="AO427" s="12">
        <v>0.0</v>
      </c>
      <c r="AP427" s="13">
        <v>0.0</v>
      </c>
      <c r="AQ427" s="13">
        <v>0.0</v>
      </c>
      <c r="AR427" s="13">
        <v>0.0</v>
      </c>
      <c r="AS427" s="13">
        <v>0.0</v>
      </c>
      <c r="AT427" s="2">
        <f>AVERAGE(L427:AL427)</f>
        <v>0.007310477778</v>
      </c>
      <c r="AU427" s="12">
        <f t="shared" si="43"/>
        <v>0.007310477778</v>
      </c>
      <c r="AV427" s="14"/>
      <c r="AW427" s="15"/>
      <c r="AX427" s="15"/>
    </row>
    <row r="428" ht="15.75" customHeight="1">
      <c r="A428" s="7">
        <v>231115.0</v>
      </c>
      <c r="B428" s="7">
        <v>68.0</v>
      </c>
      <c r="C428" s="7">
        <v>2.0</v>
      </c>
      <c r="D428" s="8" t="s">
        <v>249</v>
      </c>
      <c r="E428" s="7">
        <v>11.0</v>
      </c>
      <c r="F428" s="8" t="s">
        <v>56</v>
      </c>
      <c r="G428" s="8" t="s">
        <v>89</v>
      </c>
      <c r="H428" s="8" t="s">
        <v>50</v>
      </c>
      <c r="I428" s="22" t="s">
        <v>185</v>
      </c>
      <c r="J428" s="22" t="s">
        <v>52</v>
      </c>
      <c r="K428" s="11" t="s">
        <v>57</v>
      </c>
      <c r="L428" s="12">
        <v>0.0133703</v>
      </c>
      <c r="M428" s="12">
        <v>0.0121578</v>
      </c>
      <c r="N428" s="12">
        <v>0.0115655</v>
      </c>
      <c r="O428" s="12">
        <v>0.0113051</v>
      </c>
      <c r="P428" s="12">
        <v>0.011956</v>
      </c>
      <c r="Q428" s="12">
        <v>0.0118422</v>
      </c>
      <c r="R428" s="12">
        <v>0.011168</v>
      </c>
      <c r="S428" s="12">
        <v>0.0113395</v>
      </c>
      <c r="T428" s="12">
        <v>0.0113638</v>
      </c>
      <c r="U428" s="12">
        <v>0.0128077</v>
      </c>
      <c r="V428" s="12">
        <v>0.0127945</v>
      </c>
      <c r="W428" s="12">
        <v>0.0120179</v>
      </c>
      <c r="X428" s="12">
        <v>0.0121639</v>
      </c>
      <c r="Y428" s="12">
        <v>0.0116434</v>
      </c>
      <c r="Z428" s="12">
        <v>0.0119182</v>
      </c>
      <c r="AA428" s="12">
        <v>0.0110882</v>
      </c>
      <c r="AB428" s="12">
        <v>0.0094086</v>
      </c>
      <c r="AC428" s="12">
        <v>0.0083073</v>
      </c>
      <c r="AD428" s="12">
        <v>0.0066659</v>
      </c>
      <c r="AE428" s="12">
        <v>0.0062606</v>
      </c>
      <c r="AF428" s="12">
        <v>0.0067477</v>
      </c>
      <c r="AG428" s="12">
        <v>0.006832</v>
      </c>
      <c r="AH428" s="12">
        <v>0.006197</v>
      </c>
      <c r="AI428" s="12">
        <v>0.0048169</v>
      </c>
      <c r="AJ428" s="12">
        <v>0.0022767</v>
      </c>
      <c r="AK428" s="12">
        <v>7.62E-5</v>
      </c>
      <c r="AL428" s="12">
        <v>0.0</v>
      </c>
      <c r="AM428" s="12">
        <v>4.103E-4</v>
      </c>
      <c r="AN428" s="12">
        <v>0.0078829</v>
      </c>
      <c r="AO428" s="12">
        <v>0.0</v>
      </c>
      <c r="AP428" s="13">
        <v>0.0</v>
      </c>
      <c r="AQ428" s="13">
        <v>0.0</v>
      </c>
      <c r="AR428" s="13">
        <v>0.0</v>
      </c>
      <c r="AS428" s="13">
        <v>0.0</v>
      </c>
      <c r="AT428" s="2">
        <f>AVERAGE(L428:AN428)</f>
        <v>0.008840831034</v>
      </c>
      <c r="AU428" s="12">
        <f t="shared" si="43"/>
        <v>0.009156575</v>
      </c>
      <c r="AV428" s="14"/>
      <c r="AW428" s="15"/>
      <c r="AX428" s="15"/>
    </row>
    <row r="429" ht="15.75" customHeight="1">
      <c r="A429" s="7">
        <v>231115.0</v>
      </c>
      <c r="B429" s="7">
        <v>68.0</v>
      </c>
      <c r="C429" s="7">
        <v>2.0</v>
      </c>
      <c r="D429" s="8" t="s">
        <v>250</v>
      </c>
      <c r="E429" s="7">
        <v>11.0</v>
      </c>
      <c r="F429" s="8" t="s">
        <v>56</v>
      </c>
      <c r="G429" s="8" t="s">
        <v>89</v>
      </c>
      <c r="H429" s="8" t="s">
        <v>61</v>
      </c>
      <c r="I429" s="22" t="s">
        <v>185</v>
      </c>
      <c r="J429" s="22" t="s">
        <v>52</v>
      </c>
      <c r="K429" s="11" t="s">
        <v>57</v>
      </c>
      <c r="L429" s="12">
        <v>0.0137959</v>
      </c>
      <c r="M429" s="12">
        <v>0.0118566</v>
      </c>
      <c r="N429" s="12">
        <v>0.0105766</v>
      </c>
      <c r="O429" s="12">
        <v>0.0100361</v>
      </c>
      <c r="P429" s="12">
        <v>0.0099865</v>
      </c>
      <c r="Q429" s="12">
        <v>0.010705</v>
      </c>
      <c r="R429" s="12">
        <v>0.0110927</v>
      </c>
      <c r="S429" s="12">
        <v>0.0114612</v>
      </c>
      <c r="T429" s="12">
        <v>0.012052</v>
      </c>
      <c r="U429" s="12">
        <v>0.0123694</v>
      </c>
      <c r="V429" s="12">
        <v>0.0101724</v>
      </c>
      <c r="W429" s="12">
        <v>0.0100231</v>
      </c>
      <c r="X429" s="12">
        <v>0.0102406</v>
      </c>
      <c r="Y429" s="12">
        <v>0.0085406</v>
      </c>
      <c r="Z429" s="12">
        <v>0.0082246</v>
      </c>
      <c r="AA429" s="12">
        <v>0.0067226</v>
      </c>
      <c r="AB429" s="12">
        <v>0.0064777</v>
      </c>
      <c r="AC429" s="12">
        <v>0.0071876</v>
      </c>
      <c r="AD429" s="12">
        <v>0.0061385</v>
      </c>
      <c r="AE429" s="12">
        <v>0.0055089</v>
      </c>
      <c r="AF429" s="12">
        <v>0.0059761</v>
      </c>
      <c r="AG429" s="12">
        <v>0.0041872</v>
      </c>
      <c r="AH429" s="12">
        <v>0.0014919</v>
      </c>
      <c r="AI429" s="12">
        <v>2.074E-4</v>
      </c>
      <c r="AJ429" s="12">
        <v>1.51E-4</v>
      </c>
      <c r="AK429" s="12">
        <v>6.358E-4</v>
      </c>
      <c r="AL429" s="12">
        <v>0.0</v>
      </c>
      <c r="AM429" s="12">
        <v>0.0</v>
      </c>
      <c r="AN429" s="12">
        <v>0.0</v>
      </c>
      <c r="AO429" s="12">
        <v>0.0</v>
      </c>
      <c r="AP429" s="13">
        <v>0.0</v>
      </c>
      <c r="AQ429" s="13">
        <v>0.0</v>
      </c>
      <c r="AR429" s="13">
        <v>0.0</v>
      </c>
      <c r="AS429" s="13">
        <v>0.0</v>
      </c>
      <c r="AT429" s="2">
        <f>AVERAGE(L429:AK429)</f>
        <v>0.007916076923</v>
      </c>
      <c r="AU429" s="12">
        <f t="shared" si="43"/>
        <v>0.007916076923</v>
      </c>
      <c r="AV429" s="14"/>
      <c r="AW429" s="15"/>
      <c r="AX429" s="15"/>
    </row>
    <row r="430" ht="15.75" customHeight="1">
      <c r="A430" s="7">
        <v>231115.0</v>
      </c>
      <c r="B430" s="7">
        <v>68.0</v>
      </c>
      <c r="C430" s="7">
        <v>2.0</v>
      </c>
      <c r="D430" s="8" t="s">
        <v>251</v>
      </c>
      <c r="E430" s="7">
        <v>11.0</v>
      </c>
      <c r="F430" s="8" t="s">
        <v>56</v>
      </c>
      <c r="G430" s="8" t="s">
        <v>89</v>
      </c>
      <c r="H430" s="8" t="s">
        <v>65</v>
      </c>
      <c r="I430" s="22" t="s">
        <v>185</v>
      </c>
      <c r="J430" s="22" t="s">
        <v>52</v>
      </c>
      <c r="K430" s="11" t="s">
        <v>57</v>
      </c>
      <c r="L430" s="12">
        <v>0.0131773</v>
      </c>
      <c r="M430" s="12">
        <v>0.0134353</v>
      </c>
      <c r="N430" s="12">
        <v>0.0129352</v>
      </c>
      <c r="O430" s="12">
        <v>0.0128135</v>
      </c>
      <c r="P430" s="12">
        <v>0.0129644</v>
      </c>
      <c r="Q430" s="12">
        <v>0.0112931</v>
      </c>
      <c r="R430" s="12">
        <v>0.0103333</v>
      </c>
      <c r="S430" s="12">
        <v>0.0105614</v>
      </c>
      <c r="T430" s="12">
        <v>0.0099181</v>
      </c>
      <c r="U430" s="12">
        <v>0.0090745</v>
      </c>
      <c r="V430" s="12">
        <v>0.008879</v>
      </c>
      <c r="W430" s="12">
        <v>0.0093423</v>
      </c>
      <c r="X430" s="12">
        <v>0.0091409</v>
      </c>
      <c r="Y430" s="12">
        <v>0.0101835</v>
      </c>
      <c r="Z430" s="12">
        <v>0.0128991</v>
      </c>
      <c r="AA430" s="12">
        <v>0.0156846</v>
      </c>
      <c r="AB430" s="12">
        <v>0.0143801</v>
      </c>
      <c r="AC430" s="12">
        <v>0.0090086</v>
      </c>
      <c r="AD430" s="12">
        <v>0.0079407</v>
      </c>
      <c r="AE430" s="12">
        <v>0.0089324</v>
      </c>
      <c r="AF430" s="12">
        <v>0.0097878</v>
      </c>
      <c r="AG430" s="12">
        <v>0.010026</v>
      </c>
      <c r="AH430" s="12">
        <v>0.0079936</v>
      </c>
      <c r="AI430" s="12">
        <v>0.005369</v>
      </c>
      <c r="AJ430" s="12">
        <v>0.0029471</v>
      </c>
      <c r="AK430" s="12">
        <v>0.0011391</v>
      </c>
      <c r="AL430" s="12">
        <v>5.342E-4</v>
      </c>
      <c r="AM430" s="12">
        <v>2.727E-4</v>
      </c>
      <c r="AN430" s="12">
        <v>1.752E-4</v>
      </c>
      <c r="AO430" s="12">
        <v>0.0</v>
      </c>
      <c r="AP430" s="13">
        <v>0.0</v>
      </c>
      <c r="AQ430" s="13">
        <v>0.0</v>
      </c>
      <c r="AR430" s="13">
        <v>0.0</v>
      </c>
      <c r="AS430" s="13">
        <v>0.0</v>
      </c>
      <c r="AT430" s="2">
        <f>AVERAGE(L430:AN430)</f>
        <v>0.009004896552</v>
      </c>
      <c r="AU430" s="12">
        <f t="shared" si="43"/>
        <v>0.009004896552</v>
      </c>
      <c r="AV430" s="14"/>
      <c r="AW430" s="15"/>
      <c r="AX430" s="15"/>
    </row>
    <row r="431" ht="15.75" customHeight="1">
      <c r="A431" s="7">
        <v>231124.0</v>
      </c>
      <c r="B431" s="7">
        <v>68.0</v>
      </c>
      <c r="C431" s="7">
        <v>2.0</v>
      </c>
      <c r="D431" s="8" t="s">
        <v>252</v>
      </c>
      <c r="E431" s="7">
        <v>11.0</v>
      </c>
      <c r="F431" s="8" t="s">
        <v>48</v>
      </c>
      <c r="G431" s="8" t="s">
        <v>49</v>
      </c>
      <c r="H431" s="8" t="s">
        <v>65</v>
      </c>
      <c r="I431" s="22" t="s">
        <v>185</v>
      </c>
      <c r="J431" s="22" t="s">
        <v>52</v>
      </c>
      <c r="K431" s="11" t="s">
        <v>59</v>
      </c>
      <c r="L431" s="12">
        <v>0.011335</v>
      </c>
      <c r="M431" s="12">
        <v>0.0123804</v>
      </c>
      <c r="N431" s="12">
        <v>0.0115385</v>
      </c>
      <c r="O431" s="12">
        <v>0.0082222</v>
      </c>
      <c r="P431" s="12">
        <v>0.0059979</v>
      </c>
      <c r="Q431" s="12">
        <v>0.005622</v>
      </c>
      <c r="R431" s="12">
        <v>0.0059112</v>
      </c>
      <c r="S431" s="12">
        <v>0.0063343</v>
      </c>
      <c r="T431" s="12">
        <v>0.0072882</v>
      </c>
      <c r="U431" s="12">
        <v>0.0080407</v>
      </c>
      <c r="V431" s="12">
        <v>0.0061916</v>
      </c>
      <c r="W431" s="12">
        <v>0.0042421</v>
      </c>
      <c r="X431" s="12">
        <v>0.0040001</v>
      </c>
      <c r="Y431" s="12">
        <v>0.0031486</v>
      </c>
      <c r="Z431" s="12">
        <v>0.002203</v>
      </c>
      <c r="AA431" s="12">
        <v>0.0018166</v>
      </c>
      <c r="AB431" s="12">
        <v>0.0021613</v>
      </c>
      <c r="AC431" s="12">
        <v>0.0017041</v>
      </c>
      <c r="AD431" s="12">
        <v>6.624E-4</v>
      </c>
      <c r="AE431" s="12">
        <v>6.436E-4</v>
      </c>
      <c r="AF431" s="12">
        <v>5.686E-4</v>
      </c>
      <c r="AG431" s="12">
        <v>4.173E-4</v>
      </c>
      <c r="AH431" s="12">
        <v>3.964E-4</v>
      </c>
      <c r="AI431" s="12">
        <v>3.644E-4</v>
      </c>
      <c r="AJ431" s="12">
        <v>2.333E-4</v>
      </c>
      <c r="AK431" s="12">
        <v>1.768E-4</v>
      </c>
      <c r="AL431" s="12">
        <v>2.43E-5</v>
      </c>
      <c r="AM431" s="12">
        <v>0.0</v>
      </c>
      <c r="AN431" s="12">
        <v>0.0</v>
      </c>
      <c r="AO431" s="12">
        <v>0.0</v>
      </c>
      <c r="AP431" s="13">
        <v>0.0</v>
      </c>
      <c r="AQ431" s="13">
        <v>0.0</v>
      </c>
      <c r="AR431" s="13">
        <v>0.0</v>
      </c>
      <c r="AS431" s="13">
        <v>0.0</v>
      </c>
      <c r="AT431" s="2">
        <f>AVERAGE(L431:AL431)</f>
        <v>0.004134255556</v>
      </c>
      <c r="AU431" s="12">
        <f t="shared" si="43"/>
        <v>0.004134255556</v>
      </c>
      <c r="AV431" s="14"/>
      <c r="AW431" s="15"/>
      <c r="AX431" s="15"/>
    </row>
    <row r="432" ht="15.75" customHeight="1">
      <c r="A432" s="7">
        <v>231124.0</v>
      </c>
      <c r="B432" s="7">
        <v>68.0</v>
      </c>
      <c r="C432" s="7">
        <v>2.0</v>
      </c>
      <c r="D432" s="8" t="s">
        <v>253</v>
      </c>
      <c r="E432" s="7">
        <v>11.0</v>
      </c>
      <c r="F432" s="8" t="s">
        <v>48</v>
      </c>
      <c r="G432" s="8" t="s">
        <v>49</v>
      </c>
      <c r="H432" s="8" t="s">
        <v>63</v>
      </c>
      <c r="I432" s="22" t="s">
        <v>185</v>
      </c>
      <c r="J432" s="22" t="s">
        <v>52</v>
      </c>
      <c r="K432" s="11" t="s">
        <v>59</v>
      </c>
      <c r="L432" s="12">
        <v>0.008206</v>
      </c>
      <c r="M432" s="12">
        <v>0.0060464</v>
      </c>
      <c r="N432" s="12">
        <v>0.0057133</v>
      </c>
      <c r="O432" s="12">
        <v>0.0059242</v>
      </c>
      <c r="P432" s="12">
        <v>0.005984</v>
      </c>
      <c r="Q432" s="12">
        <v>0.0059403</v>
      </c>
      <c r="R432" s="12">
        <v>0.0066059</v>
      </c>
      <c r="S432" s="12">
        <v>0.0072151</v>
      </c>
      <c r="T432" s="12">
        <v>0.0063099</v>
      </c>
      <c r="U432" s="12">
        <v>0.0055794</v>
      </c>
      <c r="V432" s="12">
        <v>0.0053133</v>
      </c>
      <c r="W432" s="12">
        <v>0.0053899</v>
      </c>
      <c r="X432" s="12">
        <v>0.005425</v>
      </c>
      <c r="Y432" s="12">
        <v>0.0049716</v>
      </c>
      <c r="Z432" s="12">
        <v>0.0038299</v>
      </c>
      <c r="AA432" s="12">
        <v>0.0030829</v>
      </c>
      <c r="AB432" s="12">
        <v>0.0027803</v>
      </c>
      <c r="AC432" s="12">
        <v>0.0025221</v>
      </c>
      <c r="AD432" s="12">
        <v>0.0019495</v>
      </c>
      <c r="AE432" s="12">
        <v>0.001637</v>
      </c>
      <c r="AF432" s="12">
        <v>0.0011824</v>
      </c>
      <c r="AG432" s="12">
        <v>0.0010216</v>
      </c>
      <c r="AH432" s="12">
        <v>0.002417</v>
      </c>
      <c r="AI432" s="12">
        <v>0.0051691</v>
      </c>
      <c r="AJ432" s="12">
        <v>0.0125449</v>
      </c>
      <c r="AK432" s="12">
        <v>0.0212743</v>
      </c>
      <c r="AL432" s="12">
        <v>0.0218915</v>
      </c>
      <c r="AM432" s="12">
        <v>0.0067028</v>
      </c>
      <c r="AN432" s="12">
        <v>0.0045441</v>
      </c>
      <c r="AO432" s="12">
        <v>0.0</v>
      </c>
      <c r="AP432" s="13">
        <v>0.0</v>
      </c>
      <c r="AQ432" s="13">
        <v>0.0</v>
      </c>
      <c r="AR432" s="13">
        <v>0.0</v>
      </c>
      <c r="AS432" s="13">
        <v>0.0</v>
      </c>
      <c r="AT432" s="2">
        <f t="shared" ref="AT432:AT436" si="49">AVERAGE(L432:AN432)</f>
        <v>0.006109437931</v>
      </c>
      <c r="AU432" s="12">
        <f t="shared" si="43"/>
        <v>0.006109437931</v>
      </c>
      <c r="AV432" s="14"/>
      <c r="AW432" s="15"/>
      <c r="AX432" s="15"/>
    </row>
    <row r="433" ht="15.75" customHeight="1">
      <c r="A433" s="7">
        <v>240301.0</v>
      </c>
      <c r="B433" s="7">
        <v>76.0</v>
      </c>
      <c r="C433" s="7">
        <v>3.0</v>
      </c>
      <c r="D433" s="8" t="s">
        <v>254</v>
      </c>
      <c r="E433" s="7">
        <v>11.0</v>
      </c>
      <c r="F433" s="8" t="s">
        <v>48</v>
      </c>
      <c r="G433" s="8" t="s">
        <v>67</v>
      </c>
      <c r="H433" s="8" t="s">
        <v>50</v>
      </c>
      <c r="I433" s="22" t="s">
        <v>185</v>
      </c>
      <c r="J433" s="22" t="s">
        <v>52</v>
      </c>
      <c r="K433" s="11" t="s">
        <v>70</v>
      </c>
      <c r="L433" s="12">
        <v>0.0105725</v>
      </c>
      <c r="M433" s="12">
        <v>0.009166</v>
      </c>
      <c r="N433" s="12">
        <v>0.0096746</v>
      </c>
      <c r="O433" s="12">
        <v>0.0093072</v>
      </c>
      <c r="P433" s="12">
        <v>0.0086554</v>
      </c>
      <c r="Q433" s="12">
        <v>0.0091995</v>
      </c>
      <c r="R433" s="12">
        <v>0.0083228</v>
      </c>
      <c r="S433" s="12">
        <v>0.0078512</v>
      </c>
      <c r="T433" s="12">
        <v>0.0087042</v>
      </c>
      <c r="U433" s="12">
        <v>0.0092181</v>
      </c>
      <c r="V433" s="12">
        <v>0.0096144</v>
      </c>
      <c r="W433" s="12">
        <v>0.0098323</v>
      </c>
      <c r="X433" s="12">
        <v>0.010307</v>
      </c>
      <c r="Y433" s="12">
        <v>0.0114608</v>
      </c>
      <c r="Z433" s="12">
        <v>0.010713</v>
      </c>
      <c r="AA433" s="12">
        <v>0.0088606</v>
      </c>
      <c r="AB433" s="12">
        <v>0.0097011</v>
      </c>
      <c r="AC433" s="12">
        <v>0.0110875</v>
      </c>
      <c r="AD433" s="12">
        <v>0.0100171</v>
      </c>
      <c r="AE433" s="12">
        <v>0.0080603</v>
      </c>
      <c r="AF433" s="12">
        <v>0.0078748</v>
      </c>
      <c r="AG433" s="12">
        <v>0.008347</v>
      </c>
      <c r="AH433" s="12">
        <v>0.0074113</v>
      </c>
      <c r="AI433" s="12">
        <v>0.0067584</v>
      </c>
      <c r="AJ433" s="12">
        <v>0.0075974</v>
      </c>
      <c r="AK433" s="12">
        <v>0.0065814</v>
      </c>
      <c r="AL433" s="12">
        <v>0.0029085</v>
      </c>
      <c r="AM433" s="12">
        <v>0.0010096</v>
      </c>
      <c r="AN433" s="12">
        <v>7.734E-4</v>
      </c>
      <c r="AO433" s="12">
        <v>0.0</v>
      </c>
      <c r="AP433" s="13">
        <v>0.0</v>
      </c>
      <c r="AQ433" s="13">
        <v>0.0</v>
      </c>
      <c r="AR433" s="13">
        <v>0.0</v>
      </c>
      <c r="AS433" s="13">
        <v>0.0</v>
      </c>
      <c r="AT433" s="2">
        <f t="shared" si="49"/>
        <v>0.008261634483</v>
      </c>
      <c r="AU433" s="12">
        <f t="shared" si="43"/>
        <v>0.008261634483</v>
      </c>
      <c r="AV433" s="14"/>
      <c r="AW433" s="15"/>
      <c r="AX433" s="15"/>
    </row>
    <row r="434" ht="15.75" customHeight="1">
      <c r="A434" s="7">
        <v>240301.0</v>
      </c>
      <c r="B434" s="7">
        <v>76.0</v>
      </c>
      <c r="C434" s="7">
        <v>3.0</v>
      </c>
      <c r="D434" s="8" t="s">
        <v>255</v>
      </c>
      <c r="E434" s="7">
        <v>11.0</v>
      </c>
      <c r="F434" s="8" t="s">
        <v>48</v>
      </c>
      <c r="G434" s="8" t="s">
        <v>67</v>
      </c>
      <c r="H434" s="8" t="s">
        <v>63</v>
      </c>
      <c r="I434" s="22" t="s">
        <v>185</v>
      </c>
      <c r="J434" s="22" t="s">
        <v>52</v>
      </c>
      <c r="K434" s="11" t="s">
        <v>70</v>
      </c>
      <c r="L434" s="12">
        <v>0.0087548</v>
      </c>
      <c r="M434" s="12">
        <v>0.0083352</v>
      </c>
      <c r="N434" s="12">
        <v>0.0102824</v>
      </c>
      <c r="O434" s="12">
        <v>0.011273</v>
      </c>
      <c r="P434" s="12">
        <v>0.0102403</v>
      </c>
      <c r="Q434" s="12">
        <v>0.0095376</v>
      </c>
      <c r="R434" s="12">
        <v>0.0085263</v>
      </c>
      <c r="S434" s="12">
        <v>0.0079128</v>
      </c>
      <c r="T434" s="12">
        <v>0.0077703</v>
      </c>
      <c r="U434" s="12">
        <v>0.007257</v>
      </c>
      <c r="V434" s="12">
        <v>0.0078615</v>
      </c>
      <c r="W434" s="12">
        <v>0.0078672</v>
      </c>
      <c r="X434" s="12">
        <v>0.0072899</v>
      </c>
      <c r="Y434" s="12">
        <v>0.0074197</v>
      </c>
      <c r="Z434" s="12">
        <v>0.0075016</v>
      </c>
      <c r="AA434" s="12">
        <v>0.0070444</v>
      </c>
      <c r="AB434" s="12">
        <v>0.0062034</v>
      </c>
      <c r="AC434" s="12">
        <v>0.0071824</v>
      </c>
      <c r="AD434" s="12">
        <v>0.0070542</v>
      </c>
      <c r="AE434" s="12">
        <v>0.0064231</v>
      </c>
      <c r="AF434" s="12">
        <v>0.0065007</v>
      </c>
      <c r="AG434" s="12">
        <v>0.0060976</v>
      </c>
      <c r="AH434" s="12">
        <v>0.0051393</v>
      </c>
      <c r="AI434" s="12">
        <v>0.0036462</v>
      </c>
      <c r="AJ434" s="12">
        <v>0.002483</v>
      </c>
      <c r="AK434" s="12">
        <v>0.0011131</v>
      </c>
      <c r="AL434" s="12">
        <v>0.0012556</v>
      </c>
      <c r="AM434" s="12">
        <v>0.0045376</v>
      </c>
      <c r="AN434" s="12">
        <v>0.012728</v>
      </c>
      <c r="AO434" s="12">
        <v>0.0</v>
      </c>
      <c r="AP434" s="13">
        <v>0.0</v>
      </c>
      <c r="AQ434" s="13">
        <v>0.0</v>
      </c>
      <c r="AR434" s="13">
        <v>0.0</v>
      </c>
      <c r="AS434" s="13">
        <v>0.0</v>
      </c>
      <c r="AT434" s="2">
        <f t="shared" si="49"/>
        <v>0.00707717931</v>
      </c>
      <c r="AU434" s="12">
        <f t="shared" si="43"/>
        <v>0.00707717931</v>
      </c>
      <c r="AV434" s="14"/>
      <c r="AW434" s="15"/>
      <c r="AX434" s="15"/>
    </row>
    <row r="435" ht="15.75" customHeight="1">
      <c r="A435" s="7">
        <v>240301.0</v>
      </c>
      <c r="B435" s="7">
        <v>76.0</v>
      </c>
      <c r="C435" s="7">
        <v>3.0</v>
      </c>
      <c r="D435" s="8" t="s">
        <v>256</v>
      </c>
      <c r="E435" s="7">
        <v>11.0</v>
      </c>
      <c r="F435" s="8" t="s">
        <v>48</v>
      </c>
      <c r="G435" s="8" t="s">
        <v>67</v>
      </c>
      <c r="H435" s="8" t="s">
        <v>61</v>
      </c>
      <c r="I435" s="22" t="s">
        <v>185</v>
      </c>
      <c r="J435" s="22" t="s">
        <v>52</v>
      </c>
      <c r="K435" s="11" t="s">
        <v>70</v>
      </c>
      <c r="L435" s="12">
        <v>0.0140957</v>
      </c>
      <c r="M435" s="12">
        <v>0.0123731</v>
      </c>
      <c r="N435" s="12">
        <v>0.011323</v>
      </c>
      <c r="O435" s="12">
        <v>0.0115431</v>
      </c>
      <c r="P435" s="12">
        <v>0.0118925</v>
      </c>
      <c r="Q435" s="12">
        <v>0.0114251</v>
      </c>
      <c r="R435" s="12">
        <v>0.0111923</v>
      </c>
      <c r="S435" s="12">
        <v>0.0106674</v>
      </c>
      <c r="T435" s="12">
        <v>0.0098588</v>
      </c>
      <c r="U435" s="12">
        <v>0.0111816</v>
      </c>
      <c r="V435" s="12">
        <v>0.0125947</v>
      </c>
      <c r="W435" s="12">
        <v>0.0112015</v>
      </c>
      <c r="X435" s="12">
        <v>0.0085605</v>
      </c>
      <c r="Y435" s="12">
        <v>0.008582</v>
      </c>
      <c r="Z435" s="12">
        <v>0.0098869</v>
      </c>
      <c r="AA435" s="12">
        <v>0.0093657</v>
      </c>
      <c r="AB435" s="12">
        <v>0.0078724</v>
      </c>
      <c r="AC435" s="12">
        <v>0.0079299</v>
      </c>
      <c r="AD435" s="12">
        <v>0.0099052</v>
      </c>
      <c r="AE435" s="12">
        <v>0.0112392</v>
      </c>
      <c r="AF435" s="12">
        <v>0.0112721</v>
      </c>
      <c r="AG435" s="12">
        <v>0.0098583</v>
      </c>
      <c r="AH435" s="12">
        <v>0.0091775</v>
      </c>
      <c r="AI435" s="12">
        <v>0.0080081</v>
      </c>
      <c r="AJ435" s="12">
        <v>0.0045195</v>
      </c>
      <c r="AK435" s="12">
        <v>0.0019218</v>
      </c>
      <c r="AL435" s="12">
        <v>8.088E-4</v>
      </c>
      <c r="AM435" s="12">
        <v>0.001424</v>
      </c>
      <c r="AN435" s="12">
        <v>0.004589</v>
      </c>
      <c r="AO435" s="12">
        <v>0.0</v>
      </c>
      <c r="AP435" s="13">
        <v>0.0</v>
      </c>
      <c r="AQ435" s="13">
        <v>0.0</v>
      </c>
      <c r="AR435" s="13">
        <v>0.0</v>
      </c>
      <c r="AS435" s="13">
        <v>0.0</v>
      </c>
      <c r="AT435" s="2">
        <f t="shared" si="49"/>
        <v>0.009112748276</v>
      </c>
      <c r="AU435" s="12">
        <f t="shared" si="43"/>
        <v>0.009112748276</v>
      </c>
      <c r="AV435" s="14"/>
      <c r="AW435" s="15"/>
      <c r="AX435" s="15"/>
    </row>
    <row r="436" ht="15.75" customHeight="1">
      <c r="A436" s="7">
        <v>240313.0</v>
      </c>
      <c r="B436" s="7">
        <v>76.0</v>
      </c>
      <c r="C436" s="7">
        <v>3.0</v>
      </c>
      <c r="D436" s="8" t="s">
        <v>257</v>
      </c>
      <c r="E436" s="7">
        <v>11.0</v>
      </c>
      <c r="F436" s="8" t="s">
        <v>48</v>
      </c>
      <c r="G436" s="8" t="s">
        <v>49</v>
      </c>
      <c r="H436" s="8" t="s">
        <v>50</v>
      </c>
      <c r="I436" s="22" t="s">
        <v>185</v>
      </c>
      <c r="J436" s="22" t="s">
        <v>52</v>
      </c>
      <c r="K436" s="11" t="s">
        <v>70</v>
      </c>
      <c r="L436" s="12">
        <v>0.0135826</v>
      </c>
      <c r="M436" s="12">
        <v>0.0105883</v>
      </c>
      <c r="N436" s="12">
        <v>0.0108167</v>
      </c>
      <c r="O436" s="12">
        <v>0.0113196</v>
      </c>
      <c r="P436" s="12">
        <v>0.0115355</v>
      </c>
      <c r="Q436" s="12">
        <v>0.0117724</v>
      </c>
      <c r="R436" s="12">
        <v>0.0114388</v>
      </c>
      <c r="S436" s="12">
        <v>0.0124019</v>
      </c>
      <c r="T436" s="12">
        <v>0.0120042</v>
      </c>
      <c r="U436" s="12">
        <v>0.0119329</v>
      </c>
      <c r="V436" s="12">
        <v>0.0138896</v>
      </c>
      <c r="W436" s="12">
        <v>0.0136636</v>
      </c>
      <c r="X436" s="12">
        <v>0.0127406</v>
      </c>
      <c r="Y436" s="12">
        <v>0.0122631</v>
      </c>
      <c r="Z436" s="12">
        <v>0.0122284</v>
      </c>
      <c r="AA436" s="12">
        <v>0.0103443</v>
      </c>
      <c r="AB436" s="12">
        <v>0.0090087</v>
      </c>
      <c r="AC436" s="12">
        <v>0.0096158</v>
      </c>
      <c r="AD436" s="12">
        <v>0.0091814</v>
      </c>
      <c r="AE436" s="12">
        <v>0.0071594</v>
      </c>
      <c r="AF436" s="12">
        <v>0.0061795</v>
      </c>
      <c r="AG436" s="12">
        <v>0.0076084</v>
      </c>
      <c r="AH436" s="12">
        <v>0.0106171</v>
      </c>
      <c r="AI436" s="12">
        <v>0.0142491</v>
      </c>
      <c r="AJ436" s="12">
        <v>0.0121674</v>
      </c>
      <c r="AK436" s="12">
        <v>0.0054064</v>
      </c>
      <c r="AL436" s="12">
        <v>0.004276</v>
      </c>
      <c r="AM436" s="12">
        <v>0.009016</v>
      </c>
      <c r="AN436" s="12">
        <v>0.0275735</v>
      </c>
      <c r="AO436" s="12">
        <v>0.0</v>
      </c>
      <c r="AP436" s="13">
        <v>0.0</v>
      </c>
      <c r="AQ436" s="13">
        <v>0.0</v>
      </c>
      <c r="AR436" s="13">
        <v>0.0</v>
      </c>
      <c r="AS436" s="13">
        <v>0.0</v>
      </c>
      <c r="AT436" s="2">
        <f t="shared" si="49"/>
        <v>0.01119245517</v>
      </c>
      <c r="AU436" s="12">
        <f t="shared" si="43"/>
        <v>0.01119245517</v>
      </c>
      <c r="AV436" s="14"/>
      <c r="AW436" s="15"/>
      <c r="AX436" s="15"/>
    </row>
    <row r="437" ht="15.75" customHeight="1">
      <c r="A437" s="7">
        <v>240313.0</v>
      </c>
      <c r="B437" s="7">
        <v>76.0</v>
      </c>
      <c r="C437" s="7">
        <v>3.0</v>
      </c>
      <c r="D437" s="8" t="s">
        <v>258</v>
      </c>
      <c r="E437" s="7">
        <v>11.0</v>
      </c>
      <c r="F437" s="8" t="s">
        <v>48</v>
      </c>
      <c r="G437" s="8" t="s">
        <v>49</v>
      </c>
      <c r="H437" s="8" t="s">
        <v>63</v>
      </c>
      <c r="I437" s="22" t="s">
        <v>185</v>
      </c>
      <c r="J437" s="22" t="s">
        <v>52</v>
      </c>
      <c r="K437" s="11" t="s">
        <v>70</v>
      </c>
      <c r="L437" s="12">
        <v>0.0122687</v>
      </c>
      <c r="M437" s="12">
        <v>0.01092</v>
      </c>
      <c r="N437" s="12">
        <v>0.0100643</v>
      </c>
      <c r="O437" s="12">
        <v>0.0094841</v>
      </c>
      <c r="P437" s="12">
        <v>0.0087426</v>
      </c>
      <c r="Q437" s="12">
        <v>0.0095131</v>
      </c>
      <c r="R437" s="12">
        <v>0.0120032</v>
      </c>
      <c r="S437" s="12">
        <v>0.0121872</v>
      </c>
      <c r="T437" s="12">
        <v>0.0104676</v>
      </c>
      <c r="U437" s="12">
        <v>0.010441</v>
      </c>
      <c r="V437" s="12">
        <v>0.0101867</v>
      </c>
      <c r="W437" s="12">
        <v>0.0081303</v>
      </c>
      <c r="X437" s="12">
        <v>0.0063828</v>
      </c>
      <c r="Y437" s="12">
        <v>0.0064484</v>
      </c>
      <c r="Z437" s="12">
        <v>0.0061035</v>
      </c>
      <c r="AA437" s="12">
        <v>0.0051519</v>
      </c>
      <c r="AB437" s="12">
        <v>0.0063208</v>
      </c>
      <c r="AC437" s="12">
        <v>0.0070617</v>
      </c>
      <c r="AD437" s="12">
        <v>0.0071142</v>
      </c>
      <c r="AE437" s="12">
        <v>0.0064846</v>
      </c>
      <c r="AF437" s="12">
        <v>0.0073407</v>
      </c>
      <c r="AG437" s="12">
        <v>0.0083465</v>
      </c>
      <c r="AH437" s="12">
        <v>0.0079411</v>
      </c>
      <c r="AI437" s="12">
        <v>0.0076183</v>
      </c>
      <c r="AJ437" s="12">
        <v>0.007052</v>
      </c>
      <c r="AK437" s="12">
        <v>0.0076288</v>
      </c>
      <c r="AL437" s="12">
        <v>0.0066196</v>
      </c>
      <c r="AM437" s="12">
        <v>0.0072242</v>
      </c>
      <c r="AN437" s="12">
        <v>0.0141534</v>
      </c>
      <c r="AO437" s="12">
        <v>0.0239095</v>
      </c>
      <c r="AP437" s="13">
        <v>0.0</v>
      </c>
      <c r="AQ437" s="13">
        <v>0.0</v>
      </c>
      <c r="AR437" s="13">
        <v>0.0</v>
      </c>
      <c r="AS437" s="13">
        <v>0.0</v>
      </c>
      <c r="AT437" s="2">
        <f>AVERAGE(L437:AO437)</f>
        <v>0.00911036</v>
      </c>
      <c r="AU437" s="12">
        <f t="shared" si="43"/>
        <v>0.00911036</v>
      </c>
      <c r="AV437" s="14"/>
      <c r="AW437" s="15"/>
      <c r="AX437" s="15"/>
    </row>
    <row r="438" ht="15.75" customHeight="1">
      <c r="A438" s="7">
        <v>240313.0</v>
      </c>
      <c r="B438" s="7">
        <v>76.0</v>
      </c>
      <c r="C438" s="7">
        <v>3.0</v>
      </c>
      <c r="D438" s="8" t="s">
        <v>259</v>
      </c>
      <c r="E438" s="7">
        <v>11.0</v>
      </c>
      <c r="F438" s="8" t="s">
        <v>48</v>
      </c>
      <c r="G438" s="8" t="s">
        <v>49</v>
      </c>
      <c r="H438" s="8" t="s">
        <v>65</v>
      </c>
      <c r="I438" s="22" t="s">
        <v>185</v>
      </c>
      <c r="J438" s="22" t="s">
        <v>52</v>
      </c>
      <c r="K438" s="11" t="s">
        <v>70</v>
      </c>
      <c r="L438" s="12">
        <v>0.0122977</v>
      </c>
      <c r="M438" s="12">
        <v>0.0103059</v>
      </c>
      <c r="N438" s="12">
        <v>0.0096976</v>
      </c>
      <c r="O438" s="12">
        <v>0.0096191</v>
      </c>
      <c r="P438" s="12">
        <v>0.0090129</v>
      </c>
      <c r="Q438" s="12">
        <v>0.0093159</v>
      </c>
      <c r="R438" s="12">
        <v>0.0104379</v>
      </c>
      <c r="S438" s="12">
        <v>0.0094889</v>
      </c>
      <c r="T438" s="12">
        <v>0.0074969</v>
      </c>
      <c r="U438" s="12">
        <v>0.0071331</v>
      </c>
      <c r="V438" s="12">
        <v>0.0064064</v>
      </c>
      <c r="W438" s="12">
        <v>0.0068016</v>
      </c>
      <c r="X438" s="12">
        <v>0.0067143</v>
      </c>
      <c r="Y438" s="12">
        <v>0.0057904</v>
      </c>
      <c r="Z438" s="12">
        <v>0.0055008</v>
      </c>
      <c r="AA438" s="12">
        <v>0.0055341</v>
      </c>
      <c r="AB438" s="12">
        <v>0.0063719</v>
      </c>
      <c r="AC438" s="12">
        <v>0.0068068</v>
      </c>
      <c r="AD438" s="12">
        <v>0.0072409</v>
      </c>
      <c r="AE438" s="12">
        <v>0.0084763</v>
      </c>
      <c r="AF438" s="12">
        <v>0.0129307</v>
      </c>
      <c r="AG438" s="12">
        <v>0.0131498</v>
      </c>
      <c r="AH438" s="12">
        <v>0.0095619</v>
      </c>
      <c r="AI438" s="12">
        <v>0.00888</v>
      </c>
      <c r="AJ438" s="12">
        <v>0.0086063</v>
      </c>
      <c r="AK438" s="12">
        <v>0.0066139</v>
      </c>
      <c r="AL438" s="12">
        <v>0.0</v>
      </c>
      <c r="AM438" s="12">
        <v>0.0</v>
      </c>
      <c r="AN438" s="12">
        <v>0.0</v>
      </c>
      <c r="AO438" s="12">
        <v>0.0</v>
      </c>
      <c r="AP438" s="13">
        <v>0.0</v>
      </c>
      <c r="AQ438" s="13">
        <v>0.0</v>
      </c>
      <c r="AR438" s="13">
        <v>0.0</v>
      </c>
      <c r="AS438" s="13">
        <v>0.0</v>
      </c>
      <c r="AT438" s="2">
        <f>AVERAGE(L438:AK438)</f>
        <v>0.008468923077</v>
      </c>
      <c r="AU438" s="12">
        <f t="shared" si="43"/>
        <v>0.008468923077</v>
      </c>
      <c r="AV438" s="14"/>
      <c r="AW438" s="15"/>
      <c r="AX438" s="15"/>
    </row>
    <row r="439" ht="15.75" customHeight="1">
      <c r="A439" s="7">
        <v>240313.0</v>
      </c>
      <c r="B439" s="7">
        <v>76.0</v>
      </c>
      <c r="C439" s="7">
        <v>3.0</v>
      </c>
      <c r="D439" s="8" t="s">
        <v>260</v>
      </c>
      <c r="E439" s="7">
        <v>11.0</v>
      </c>
      <c r="F439" s="8" t="s">
        <v>48</v>
      </c>
      <c r="G439" s="8" t="s">
        <v>49</v>
      </c>
      <c r="H439" s="8" t="s">
        <v>61</v>
      </c>
      <c r="I439" s="22" t="s">
        <v>185</v>
      </c>
      <c r="J439" s="22" t="s">
        <v>52</v>
      </c>
      <c r="K439" s="11" t="s">
        <v>70</v>
      </c>
      <c r="L439" s="12">
        <v>0.0131495</v>
      </c>
      <c r="M439" s="12">
        <v>0.011434</v>
      </c>
      <c r="N439" s="12">
        <v>0.0094907</v>
      </c>
      <c r="O439" s="12">
        <v>0.0084884</v>
      </c>
      <c r="P439" s="12">
        <v>0.0082723</v>
      </c>
      <c r="Q439" s="12">
        <v>0.0079128</v>
      </c>
      <c r="R439" s="12">
        <v>0.0079397</v>
      </c>
      <c r="S439" s="12">
        <v>0.0078022</v>
      </c>
      <c r="T439" s="12">
        <v>0.0084169</v>
      </c>
      <c r="U439" s="12">
        <v>0.0097946</v>
      </c>
      <c r="V439" s="12">
        <v>0.0092167</v>
      </c>
      <c r="W439" s="12">
        <v>0.0080351</v>
      </c>
      <c r="X439" s="12">
        <v>0.0082092</v>
      </c>
      <c r="Y439" s="12">
        <v>0.0090596</v>
      </c>
      <c r="Z439" s="12">
        <v>0.0093613</v>
      </c>
      <c r="AA439" s="12">
        <v>0.0090375</v>
      </c>
      <c r="AB439" s="12">
        <v>0.0083198</v>
      </c>
      <c r="AC439" s="12">
        <v>0.0082015</v>
      </c>
      <c r="AD439" s="12">
        <v>0.0080245</v>
      </c>
      <c r="AE439" s="12">
        <v>0.0076895</v>
      </c>
      <c r="AF439" s="12">
        <v>0.0086401</v>
      </c>
      <c r="AG439" s="12">
        <v>0.0100422</v>
      </c>
      <c r="AH439" s="12">
        <v>0.0111681</v>
      </c>
      <c r="AI439" s="12">
        <v>0.0103348</v>
      </c>
      <c r="AJ439" s="12">
        <v>0.0061172</v>
      </c>
      <c r="AK439" s="12">
        <v>0.0017121</v>
      </c>
      <c r="AL439" s="12">
        <v>2.28E-4</v>
      </c>
      <c r="AM439" s="12">
        <v>2.089E-4</v>
      </c>
      <c r="AN439" s="12">
        <v>0.0</v>
      </c>
      <c r="AO439" s="12">
        <v>0.0</v>
      </c>
      <c r="AP439" s="13">
        <v>0.0</v>
      </c>
      <c r="AQ439" s="13">
        <v>0.0</v>
      </c>
      <c r="AR439" s="13">
        <v>0.0</v>
      </c>
      <c r="AS439" s="13">
        <v>0.0</v>
      </c>
      <c r="AT439" s="2">
        <f>AVERAGE(L439:AM439)</f>
        <v>0.0080824</v>
      </c>
      <c r="AU439" s="12">
        <f t="shared" si="43"/>
        <v>0.0080824</v>
      </c>
      <c r="AV439" s="14"/>
      <c r="AW439" s="15"/>
      <c r="AX439" s="15"/>
    </row>
    <row r="440" ht="15.75" customHeight="1">
      <c r="A440" s="7">
        <v>240319.0</v>
      </c>
      <c r="B440" s="7">
        <v>76.0</v>
      </c>
      <c r="C440" s="7">
        <v>3.0</v>
      </c>
      <c r="D440" s="8" t="s">
        <v>261</v>
      </c>
      <c r="E440" s="7">
        <v>11.0</v>
      </c>
      <c r="F440" s="8" t="s">
        <v>56</v>
      </c>
      <c r="G440" s="8" t="s">
        <v>49</v>
      </c>
      <c r="H440" s="8" t="s">
        <v>61</v>
      </c>
      <c r="I440" s="22" t="s">
        <v>185</v>
      </c>
      <c r="J440" s="22" t="s">
        <v>52</v>
      </c>
      <c r="K440" s="11" t="s">
        <v>76</v>
      </c>
      <c r="L440" s="12">
        <v>0.0103525</v>
      </c>
      <c r="M440" s="12">
        <v>0.009471</v>
      </c>
      <c r="N440" s="12">
        <v>0.0093031</v>
      </c>
      <c r="O440" s="12">
        <v>0.0095057</v>
      </c>
      <c r="P440" s="12">
        <v>0.0105206</v>
      </c>
      <c r="Q440" s="12">
        <v>0.010791</v>
      </c>
      <c r="R440" s="12">
        <v>0.0101021</v>
      </c>
      <c r="S440" s="12">
        <v>0.0107312</v>
      </c>
      <c r="T440" s="12">
        <v>0.0108077</v>
      </c>
      <c r="U440" s="12">
        <v>0.0111179</v>
      </c>
      <c r="V440" s="12">
        <v>0.0104503</v>
      </c>
      <c r="W440" s="12">
        <v>0.0090861</v>
      </c>
      <c r="X440" s="12">
        <v>0.0085717</v>
      </c>
      <c r="Y440" s="12">
        <v>0.0064363</v>
      </c>
      <c r="Z440" s="12">
        <v>0.0053988</v>
      </c>
      <c r="AA440" s="12">
        <v>0.0058196</v>
      </c>
      <c r="AB440" s="12">
        <v>0.0051035</v>
      </c>
      <c r="AC440" s="12">
        <v>0.0052516</v>
      </c>
      <c r="AD440" s="12">
        <v>0.0062172</v>
      </c>
      <c r="AE440" s="12">
        <v>0.0064117</v>
      </c>
      <c r="AF440" s="12">
        <v>0.0068929</v>
      </c>
      <c r="AG440" s="12">
        <v>0.0080656</v>
      </c>
      <c r="AH440" s="12">
        <v>0.0073386</v>
      </c>
      <c r="AI440" s="12">
        <v>0.0044567</v>
      </c>
      <c r="AJ440" s="12">
        <v>0.0018785</v>
      </c>
      <c r="AK440" s="12">
        <v>5.392E-4</v>
      </c>
      <c r="AL440" s="12">
        <v>4.64E-5</v>
      </c>
      <c r="AM440" s="12">
        <v>0.0</v>
      </c>
      <c r="AN440" s="12">
        <v>0.0</v>
      </c>
      <c r="AO440" s="12">
        <v>0.0</v>
      </c>
      <c r="AP440" s="13">
        <v>0.0</v>
      </c>
      <c r="AQ440" s="13">
        <v>0.0</v>
      </c>
      <c r="AR440" s="13">
        <v>0.0</v>
      </c>
      <c r="AS440" s="13">
        <v>0.0</v>
      </c>
      <c r="AT440" s="2">
        <f>AVERAGE(L440:AL440)</f>
        <v>0.00743212963</v>
      </c>
      <c r="AU440" s="12">
        <f t="shared" si="43"/>
        <v>0.00743212963</v>
      </c>
      <c r="AV440" s="14"/>
      <c r="AW440" s="15"/>
      <c r="AX440" s="15"/>
    </row>
    <row r="441" ht="15.75" customHeight="1">
      <c r="A441" s="7">
        <v>240319.0</v>
      </c>
      <c r="B441" s="7">
        <v>76.0</v>
      </c>
      <c r="C441" s="7">
        <v>3.0</v>
      </c>
      <c r="D441" s="8" t="s">
        <v>262</v>
      </c>
      <c r="E441" s="7">
        <v>11.0</v>
      </c>
      <c r="F441" s="8" t="s">
        <v>56</v>
      </c>
      <c r="G441" s="8" t="s">
        <v>49</v>
      </c>
      <c r="H441" s="8" t="s">
        <v>50</v>
      </c>
      <c r="I441" s="22" t="s">
        <v>185</v>
      </c>
      <c r="J441" s="22" t="s">
        <v>52</v>
      </c>
      <c r="K441" s="11" t="s">
        <v>76</v>
      </c>
      <c r="L441" s="12">
        <v>0.0063951</v>
      </c>
      <c r="M441" s="12">
        <v>0.0076161</v>
      </c>
      <c r="N441" s="12">
        <v>0.0088097</v>
      </c>
      <c r="O441" s="12">
        <v>0.0094676</v>
      </c>
      <c r="P441" s="12">
        <v>0.0089938</v>
      </c>
      <c r="Q441" s="12">
        <v>0.0092717</v>
      </c>
      <c r="R441" s="12">
        <v>0.0095195</v>
      </c>
      <c r="S441" s="12">
        <v>0.0096888</v>
      </c>
      <c r="T441" s="12">
        <v>0.0101463</v>
      </c>
      <c r="U441" s="12">
        <v>0.00919</v>
      </c>
      <c r="V441" s="12">
        <v>0.0080172</v>
      </c>
      <c r="W441" s="12">
        <v>0.0078146</v>
      </c>
      <c r="X441" s="12">
        <v>0.0088789</v>
      </c>
      <c r="Y441" s="12">
        <v>0.0088326</v>
      </c>
      <c r="Z441" s="12">
        <v>0.0076184</v>
      </c>
      <c r="AA441" s="12">
        <v>0.0085616</v>
      </c>
      <c r="AB441" s="12">
        <v>0.009008</v>
      </c>
      <c r="AC441" s="12">
        <v>0.0079519</v>
      </c>
      <c r="AD441" s="12">
        <v>0.0069172</v>
      </c>
      <c r="AE441" s="12">
        <v>0.0067986</v>
      </c>
      <c r="AF441" s="12">
        <v>0.0084965</v>
      </c>
      <c r="AG441" s="12">
        <v>0.0107217</v>
      </c>
      <c r="AH441" s="12">
        <v>0.0113871</v>
      </c>
      <c r="AI441" s="12">
        <v>0.0105718</v>
      </c>
      <c r="AJ441" s="12">
        <v>0.011176</v>
      </c>
      <c r="AK441" s="12">
        <v>0.0103204</v>
      </c>
      <c r="AL441" s="12">
        <v>0.005984</v>
      </c>
      <c r="AM441" s="12">
        <v>0.0019002</v>
      </c>
      <c r="AN441" s="12">
        <v>2.252E-4</v>
      </c>
      <c r="AO441" s="12">
        <v>0.0</v>
      </c>
      <c r="AP441" s="13">
        <v>0.0</v>
      </c>
      <c r="AQ441" s="13">
        <v>0.0</v>
      </c>
      <c r="AR441" s="13">
        <v>0.0</v>
      </c>
      <c r="AS441" s="13">
        <v>0.0</v>
      </c>
      <c r="AT441" s="2">
        <f>AVERAGE(L441:AN441)</f>
        <v>0.008285534483</v>
      </c>
      <c r="AU441" s="12">
        <f t="shared" si="43"/>
        <v>0.008285534483</v>
      </c>
      <c r="AV441" s="14"/>
      <c r="AW441" s="15"/>
      <c r="AX441" s="15"/>
    </row>
    <row r="442" ht="15.75" customHeight="1">
      <c r="A442" s="7">
        <v>240319.0</v>
      </c>
      <c r="B442" s="7">
        <v>76.0</v>
      </c>
      <c r="C442" s="7">
        <v>3.0</v>
      </c>
      <c r="D442" s="8" t="s">
        <v>263</v>
      </c>
      <c r="E442" s="7">
        <v>11.0</v>
      </c>
      <c r="F442" s="8" t="s">
        <v>56</v>
      </c>
      <c r="G442" s="8" t="s">
        <v>49</v>
      </c>
      <c r="H442" s="8" t="s">
        <v>63</v>
      </c>
      <c r="I442" s="22" t="s">
        <v>185</v>
      </c>
      <c r="J442" s="22" t="s">
        <v>52</v>
      </c>
      <c r="K442" s="11" t="s">
        <v>76</v>
      </c>
      <c r="L442" s="12">
        <v>0.0084605</v>
      </c>
      <c r="M442" s="12">
        <v>0.0083317</v>
      </c>
      <c r="N442" s="12">
        <v>0.0083962</v>
      </c>
      <c r="O442" s="12">
        <v>0.0092136</v>
      </c>
      <c r="P442" s="12">
        <v>0.0087791</v>
      </c>
      <c r="Q442" s="12">
        <v>0.0075784</v>
      </c>
      <c r="R442" s="12">
        <v>0.0081866</v>
      </c>
      <c r="S442" s="12">
        <v>0.0080709</v>
      </c>
      <c r="T442" s="12">
        <v>0.0072691</v>
      </c>
      <c r="U442" s="12">
        <v>0.0073659</v>
      </c>
      <c r="V442" s="12">
        <v>0.0069976</v>
      </c>
      <c r="W442" s="12">
        <v>0.0059519</v>
      </c>
      <c r="X442" s="12">
        <v>0.0051844</v>
      </c>
      <c r="Y442" s="12">
        <v>0.0042555</v>
      </c>
      <c r="Z442" s="12">
        <v>0.0039506</v>
      </c>
      <c r="AA442" s="12">
        <v>0.0051991</v>
      </c>
      <c r="AB442" s="12">
        <v>0.0051214</v>
      </c>
      <c r="AC442" s="12">
        <v>0.0044811</v>
      </c>
      <c r="AD442" s="12">
        <v>0.004279</v>
      </c>
      <c r="AE442" s="12">
        <v>0.0041018</v>
      </c>
      <c r="AF442" s="12">
        <v>0.004227</v>
      </c>
      <c r="AG442" s="12">
        <v>0.0033394</v>
      </c>
      <c r="AH442" s="12">
        <v>0.0023175</v>
      </c>
      <c r="AI442" s="12">
        <v>0.0024333</v>
      </c>
      <c r="AJ442" s="12">
        <v>0.0017684</v>
      </c>
      <c r="AK442" s="12">
        <v>0.0014976</v>
      </c>
      <c r="AL442" s="12">
        <v>0.0050963</v>
      </c>
      <c r="AM442" s="12">
        <v>0.0</v>
      </c>
      <c r="AN442" s="12">
        <v>0.0</v>
      </c>
      <c r="AO442" s="12">
        <v>0.0</v>
      </c>
      <c r="AP442" s="13">
        <v>0.0</v>
      </c>
      <c r="AQ442" s="13">
        <v>0.0</v>
      </c>
      <c r="AR442" s="13">
        <v>0.0</v>
      </c>
      <c r="AS442" s="13">
        <v>0.0</v>
      </c>
      <c r="AT442" s="2">
        <f>AVERAGE(L442:AL442)</f>
        <v>0.005624218519</v>
      </c>
      <c r="AU442" s="12">
        <f t="shared" si="43"/>
        <v>0.005624218519</v>
      </c>
      <c r="AV442" s="14"/>
      <c r="AW442" s="15"/>
      <c r="AX442" s="15"/>
    </row>
    <row r="443" ht="15.75" customHeight="1">
      <c r="A443" s="7">
        <v>240319.0</v>
      </c>
      <c r="B443" s="7">
        <v>76.0</v>
      </c>
      <c r="C443" s="7">
        <v>3.0</v>
      </c>
      <c r="D443" s="8" t="s">
        <v>264</v>
      </c>
      <c r="E443" s="7">
        <v>11.0</v>
      </c>
      <c r="F443" s="8" t="s">
        <v>56</v>
      </c>
      <c r="G443" s="8" t="s">
        <v>49</v>
      </c>
      <c r="H443" s="8" t="s">
        <v>65</v>
      </c>
      <c r="I443" s="22" t="s">
        <v>185</v>
      </c>
      <c r="J443" s="22" t="s">
        <v>52</v>
      </c>
      <c r="K443" s="11" t="s">
        <v>76</v>
      </c>
      <c r="L443" s="12">
        <v>0.0092589</v>
      </c>
      <c r="M443" s="12">
        <v>0.0097361</v>
      </c>
      <c r="N443" s="12">
        <v>0.0090438</v>
      </c>
      <c r="O443" s="12">
        <v>0.0090237</v>
      </c>
      <c r="P443" s="12">
        <v>0.0088379</v>
      </c>
      <c r="Q443" s="12">
        <v>0.0088167</v>
      </c>
      <c r="R443" s="12">
        <v>0.0083778</v>
      </c>
      <c r="S443" s="12">
        <v>0.0069229</v>
      </c>
      <c r="T443" s="12">
        <v>0.0067277</v>
      </c>
      <c r="U443" s="12">
        <v>0.0073509</v>
      </c>
      <c r="V443" s="12">
        <v>0.0080037</v>
      </c>
      <c r="W443" s="12">
        <v>0.0069754</v>
      </c>
      <c r="X443" s="12">
        <v>0.0055583</v>
      </c>
      <c r="Y443" s="12">
        <v>0.0047234</v>
      </c>
      <c r="Z443" s="12">
        <v>0.0044547</v>
      </c>
      <c r="AA443" s="12">
        <v>0.00392</v>
      </c>
      <c r="AB443" s="12">
        <v>0.0041478</v>
      </c>
      <c r="AC443" s="12">
        <v>0.0045434</v>
      </c>
      <c r="AD443" s="12">
        <v>0.0045342</v>
      </c>
      <c r="AE443" s="12">
        <v>0.0049898</v>
      </c>
      <c r="AF443" s="12">
        <v>0.0056398</v>
      </c>
      <c r="AG443" s="12">
        <v>0.0059532</v>
      </c>
      <c r="AH443" s="12">
        <v>0.0059306</v>
      </c>
      <c r="AI443" s="12">
        <v>0.004184</v>
      </c>
      <c r="AJ443" s="12">
        <v>0.0011729</v>
      </c>
      <c r="AK443" s="12">
        <v>9.28E-5</v>
      </c>
      <c r="AL443" s="12">
        <v>4.754E-4</v>
      </c>
      <c r="AM443" s="12">
        <v>0.0023053</v>
      </c>
      <c r="AN443" s="12">
        <v>0.0054307</v>
      </c>
      <c r="AO443" s="12">
        <v>0.0195016</v>
      </c>
      <c r="AP443" s="13">
        <v>0.0</v>
      </c>
      <c r="AQ443" s="13">
        <v>0.0</v>
      </c>
      <c r="AR443" s="13">
        <v>0.0</v>
      </c>
      <c r="AS443" s="13">
        <v>0.0</v>
      </c>
      <c r="AT443" s="2">
        <f>AVERAGE(L443:AO443)</f>
        <v>0.006221113333</v>
      </c>
      <c r="AU443" s="12">
        <f t="shared" si="43"/>
        <v>0.006221113333</v>
      </c>
      <c r="AV443" s="14"/>
      <c r="AW443" s="15"/>
      <c r="AX443" s="15"/>
    </row>
    <row r="444" ht="15.75" customHeight="1">
      <c r="A444" s="7">
        <v>240320.0</v>
      </c>
      <c r="B444" s="7">
        <v>76.0</v>
      </c>
      <c r="C444" s="7">
        <v>3.0</v>
      </c>
      <c r="D444" s="8" t="s">
        <v>265</v>
      </c>
      <c r="E444" s="7">
        <v>11.0</v>
      </c>
      <c r="F444" s="8" t="s">
        <v>56</v>
      </c>
      <c r="G444" s="8" t="s">
        <v>67</v>
      </c>
      <c r="H444" s="8" t="s">
        <v>65</v>
      </c>
      <c r="I444" s="22" t="s">
        <v>185</v>
      </c>
      <c r="J444" s="22" t="s">
        <v>52</v>
      </c>
      <c r="K444" s="11" t="s">
        <v>76</v>
      </c>
      <c r="L444" s="12">
        <v>0.0037883</v>
      </c>
      <c r="M444" s="12">
        <v>0.0048798</v>
      </c>
      <c r="N444" s="12">
        <v>0.0059293</v>
      </c>
      <c r="O444" s="12">
        <v>0.0057451</v>
      </c>
      <c r="P444" s="12">
        <v>0.0051151</v>
      </c>
      <c r="Q444" s="12">
        <v>0.0053873</v>
      </c>
      <c r="R444" s="12">
        <v>0.0068709</v>
      </c>
      <c r="S444" s="12">
        <v>0.0074809</v>
      </c>
      <c r="T444" s="12">
        <v>0.0052072</v>
      </c>
      <c r="U444" s="12">
        <v>0.0050615</v>
      </c>
      <c r="V444" s="12">
        <v>0.0064515</v>
      </c>
      <c r="W444" s="12">
        <v>0.006206</v>
      </c>
      <c r="X444" s="12">
        <v>0.0054413</v>
      </c>
      <c r="Y444" s="12">
        <v>0.0049519</v>
      </c>
      <c r="Z444" s="12">
        <v>0.0043423</v>
      </c>
      <c r="AA444" s="12">
        <v>0.0034277</v>
      </c>
      <c r="AB444" s="12">
        <v>0.0032898</v>
      </c>
      <c r="AC444" s="12">
        <v>0.0033085</v>
      </c>
      <c r="AD444" s="12">
        <v>0.0022877</v>
      </c>
      <c r="AE444" s="12">
        <v>0.0014912</v>
      </c>
      <c r="AF444" s="12">
        <v>0.0013738</v>
      </c>
      <c r="AG444" s="12">
        <v>9.51E-4</v>
      </c>
      <c r="AH444" s="12">
        <v>0.0015819</v>
      </c>
      <c r="AI444" s="12">
        <v>0.0027507</v>
      </c>
      <c r="AJ444" s="12">
        <v>0.0031183</v>
      </c>
      <c r="AK444" s="12">
        <v>0.0024397</v>
      </c>
      <c r="AL444" s="12">
        <v>0.0</v>
      </c>
      <c r="AM444" s="12">
        <v>0.0</v>
      </c>
      <c r="AN444" s="12">
        <v>0.0</v>
      </c>
      <c r="AO444" s="12">
        <v>0.0</v>
      </c>
      <c r="AP444" s="13">
        <v>0.0</v>
      </c>
      <c r="AQ444" s="13">
        <v>0.0</v>
      </c>
      <c r="AR444" s="13">
        <v>0.0</v>
      </c>
      <c r="AS444" s="13">
        <v>0.0</v>
      </c>
      <c r="AT444" s="2">
        <f>AVERAGE(L444:AK444)</f>
        <v>0.004187642308</v>
      </c>
      <c r="AU444" s="12">
        <f t="shared" si="43"/>
        <v>0.004187642308</v>
      </c>
      <c r="AV444" s="14"/>
      <c r="AW444" s="15"/>
      <c r="AX444" s="15"/>
    </row>
    <row r="445" ht="15.75" customHeight="1">
      <c r="A445" s="7">
        <v>240320.0</v>
      </c>
      <c r="B445" s="7">
        <v>76.0</v>
      </c>
      <c r="C445" s="7">
        <v>3.0</v>
      </c>
      <c r="D445" s="8" t="s">
        <v>266</v>
      </c>
      <c r="E445" s="7">
        <v>11.0</v>
      </c>
      <c r="F445" s="8" t="s">
        <v>56</v>
      </c>
      <c r="G445" s="8" t="s">
        <v>67</v>
      </c>
      <c r="H445" s="8" t="s">
        <v>61</v>
      </c>
      <c r="I445" s="22" t="s">
        <v>185</v>
      </c>
      <c r="J445" s="22" t="s">
        <v>52</v>
      </c>
      <c r="K445" s="11" t="s">
        <v>76</v>
      </c>
      <c r="L445" s="12">
        <v>0.0052485</v>
      </c>
      <c r="M445" s="12">
        <v>0.0057961</v>
      </c>
      <c r="N445" s="12">
        <v>0.0058762</v>
      </c>
      <c r="O445" s="12">
        <v>0.0055153</v>
      </c>
      <c r="P445" s="12">
        <v>0.0046009</v>
      </c>
      <c r="Q445" s="12">
        <v>0.0039469</v>
      </c>
      <c r="R445" s="12">
        <v>0.0039156</v>
      </c>
      <c r="S445" s="12">
        <v>0.0044785</v>
      </c>
      <c r="T445" s="12">
        <v>0.0047705</v>
      </c>
      <c r="U445" s="12">
        <v>0.0038462</v>
      </c>
      <c r="V445" s="12">
        <v>0.0030776</v>
      </c>
      <c r="W445" s="12">
        <v>0.0040108</v>
      </c>
      <c r="X445" s="12">
        <v>0.0045963</v>
      </c>
      <c r="Y445" s="12">
        <v>0.0043066</v>
      </c>
      <c r="Z445" s="12">
        <v>0.0042632</v>
      </c>
      <c r="AA445" s="12">
        <v>0.0040305</v>
      </c>
      <c r="AB445" s="12">
        <v>0.0037939</v>
      </c>
      <c r="AC445" s="12">
        <v>0.0040446</v>
      </c>
      <c r="AD445" s="12">
        <v>0.0043617</v>
      </c>
      <c r="AE445" s="12">
        <v>0.0034113</v>
      </c>
      <c r="AF445" s="12">
        <v>0.0027107</v>
      </c>
      <c r="AG445" s="12">
        <v>0.0024694</v>
      </c>
      <c r="AH445" s="12">
        <v>0.0016252</v>
      </c>
      <c r="AI445" s="12">
        <v>7.975E-4</v>
      </c>
      <c r="AJ445" s="12">
        <v>5.133E-4</v>
      </c>
      <c r="AK445" s="12">
        <v>7.645E-4</v>
      </c>
      <c r="AL445" s="12">
        <v>5.797E-4</v>
      </c>
      <c r="AM445" s="12">
        <v>0.0</v>
      </c>
      <c r="AN445" s="12">
        <v>0.0</v>
      </c>
      <c r="AO445" s="12">
        <v>0.0</v>
      </c>
      <c r="AP445" s="13">
        <v>0.0</v>
      </c>
      <c r="AQ445" s="13">
        <v>0.0</v>
      </c>
      <c r="AR445" s="13">
        <v>0.0</v>
      </c>
      <c r="AS445" s="13">
        <v>0.0</v>
      </c>
      <c r="AT445" s="2">
        <f>AVERAGE(L445:AL445)</f>
        <v>0.003605611111</v>
      </c>
      <c r="AU445" s="12">
        <f t="shared" si="43"/>
        <v>0.003605611111</v>
      </c>
      <c r="AV445" s="14"/>
      <c r="AW445" s="15"/>
      <c r="AX445" s="15"/>
    </row>
    <row r="446" ht="15.75" customHeight="1">
      <c r="A446" s="7">
        <v>240320.0</v>
      </c>
      <c r="B446" s="7">
        <v>76.0</v>
      </c>
      <c r="C446" s="7">
        <v>3.0</v>
      </c>
      <c r="D446" s="8" t="s">
        <v>267</v>
      </c>
      <c r="E446" s="7">
        <v>11.0</v>
      </c>
      <c r="F446" s="8" t="s">
        <v>56</v>
      </c>
      <c r="G446" s="8" t="s">
        <v>67</v>
      </c>
      <c r="H446" s="8" t="s">
        <v>50</v>
      </c>
      <c r="I446" s="22" t="s">
        <v>185</v>
      </c>
      <c r="J446" s="22" t="s">
        <v>52</v>
      </c>
      <c r="K446" s="11" t="s">
        <v>76</v>
      </c>
      <c r="L446" s="12">
        <v>0.0027721</v>
      </c>
      <c r="M446" s="12">
        <v>0.0047208</v>
      </c>
      <c r="N446" s="12">
        <v>0.0041899</v>
      </c>
      <c r="O446" s="12">
        <v>0.0029849</v>
      </c>
      <c r="P446" s="12">
        <v>0.0032688</v>
      </c>
      <c r="Q446" s="12">
        <v>0.0033312</v>
      </c>
      <c r="R446" s="12">
        <v>0.0034446</v>
      </c>
      <c r="S446" s="12">
        <v>0.003204</v>
      </c>
      <c r="T446" s="12">
        <v>0.0025412</v>
      </c>
      <c r="U446" s="12">
        <v>0.0024642</v>
      </c>
      <c r="V446" s="12">
        <v>0.0032347</v>
      </c>
      <c r="W446" s="12">
        <v>0.0037806</v>
      </c>
      <c r="X446" s="12">
        <v>0.0029065</v>
      </c>
      <c r="Y446" s="12">
        <v>0.0027694</v>
      </c>
      <c r="Z446" s="12">
        <v>0.0028837</v>
      </c>
      <c r="AA446" s="12">
        <v>0.0027172</v>
      </c>
      <c r="AB446" s="12">
        <v>0.0028097</v>
      </c>
      <c r="AC446" s="12">
        <v>0.0024553</v>
      </c>
      <c r="AD446" s="12">
        <v>0.0024501</v>
      </c>
      <c r="AE446" s="12">
        <v>0.0029225</v>
      </c>
      <c r="AF446" s="12">
        <v>0.0033951</v>
      </c>
      <c r="AG446" s="12">
        <v>0.0034797</v>
      </c>
      <c r="AH446" s="12">
        <v>0.002802</v>
      </c>
      <c r="AI446" s="12">
        <v>0.0025868</v>
      </c>
      <c r="AJ446" s="12">
        <v>0.0028461</v>
      </c>
      <c r="AK446" s="12">
        <v>0.0017455</v>
      </c>
      <c r="AL446" s="12">
        <v>3.538E-4</v>
      </c>
      <c r="AM446" s="12">
        <v>1.81E-5</v>
      </c>
      <c r="AN446" s="12">
        <v>0.0</v>
      </c>
      <c r="AO446" s="12">
        <v>0.0</v>
      </c>
      <c r="AP446" s="13">
        <v>0.0</v>
      </c>
      <c r="AQ446" s="13">
        <v>0.0</v>
      </c>
      <c r="AR446" s="13">
        <v>0.0</v>
      </c>
      <c r="AS446" s="13">
        <v>0.0</v>
      </c>
      <c r="AT446" s="2">
        <f>AVERAGE(L446:AM446)</f>
        <v>0.002824232143</v>
      </c>
      <c r="AU446" s="12">
        <f t="shared" si="43"/>
        <v>0.002824232143</v>
      </c>
      <c r="AV446" s="14"/>
      <c r="AW446" s="15"/>
      <c r="AX446" s="15"/>
    </row>
    <row r="447" ht="15.75" customHeight="1">
      <c r="A447" s="7">
        <v>240320.0</v>
      </c>
      <c r="B447" s="7">
        <v>76.0</v>
      </c>
      <c r="C447" s="7">
        <v>3.0</v>
      </c>
      <c r="D447" s="8" t="s">
        <v>268</v>
      </c>
      <c r="E447" s="7">
        <v>11.0</v>
      </c>
      <c r="F447" s="8" t="s">
        <v>56</v>
      </c>
      <c r="G447" s="8" t="s">
        <v>67</v>
      </c>
      <c r="H447" s="8" t="s">
        <v>63</v>
      </c>
      <c r="I447" s="22" t="s">
        <v>185</v>
      </c>
      <c r="J447" s="22" t="s">
        <v>52</v>
      </c>
      <c r="K447" s="11" t="s">
        <v>76</v>
      </c>
      <c r="L447" s="12">
        <v>0.0062077</v>
      </c>
      <c r="M447" s="12">
        <v>0.0057813</v>
      </c>
      <c r="N447" s="12">
        <v>0.0060286</v>
      </c>
      <c r="O447" s="12">
        <v>0.0058695</v>
      </c>
      <c r="P447" s="12">
        <v>0.006047</v>
      </c>
      <c r="Q447" s="12">
        <v>0.0066574</v>
      </c>
      <c r="R447" s="12">
        <v>0.0066677</v>
      </c>
      <c r="S447" s="12">
        <v>0.0070076</v>
      </c>
      <c r="T447" s="12">
        <v>0.0073366</v>
      </c>
      <c r="U447" s="12">
        <v>0.0074982</v>
      </c>
      <c r="V447" s="12">
        <v>0.0074202</v>
      </c>
      <c r="W447" s="12">
        <v>0.0064025</v>
      </c>
      <c r="X447" s="12">
        <v>0.0056825</v>
      </c>
      <c r="Y447" s="12">
        <v>0.0057233</v>
      </c>
      <c r="Z447" s="12">
        <v>0.006378</v>
      </c>
      <c r="AA447" s="12">
        <v>0.0066282</v>
      </c>
      <c r="AB447" s="12">
        <v>0.0064269</v>
      </c>
      <c r="AC447" s="12">
        <v>0.0065277</v>
      </c>
      <c r="AD447" s="12">
        <v>0.0061651</v>
      </c>
      <c r="AE447" s="12">
        <v>0.0058009</v>
      </c>
      <c r="AF447" s="12">
        <v>0.0061138</v>
      </c>
      <c r="AG447" s="12">
        <v>0.0066185</v>
      </c>
      <c r="AH447" s="12">
        <v>0.0061817</v>
      </c>
      <c r="AI447" s="12">
        <v>0.004861</v>
      </c>
      <c r="AJ447" s="12">
        <v>0.0041141</v>
      </c>
      <c r="AK447" s="12">
        <v>0.0026401</v>
      </c>
      <c r="AL447" s="12">
        <v>0.0016246</v>
      </c>
      <c r="AM447" s="12">
        <v>0.0040968</v>
      </c>
      <c r="AN447" s="12">
        <v>0.0163519</v>
      </c>
      <c r="AO447" s="12">
        <v>0.0</v>
      </c>
      <c r="AP447" s="13">
        <v>0.0</v>
      </c>
      <c r="AQ447" s="13">
        <v>0.0</v>
      </c>
      <c r="AR447" s="13">
        <v>0.0</v>
      </c>
      <c r="AS447" s="13">
        <v>0.0</v>
      </c>
      <c r="AT447" s="2">
        <f>AVERAGE(L447:AN447)</f>
        <v>0.006236531034</v>
      </c>
      <c r="AU447" s="12">
        <f t="shared" si="43"/>
        <v>0.006236531034</v>
      </c>
      <c r="AV447" s="14"/>
      <c r="AW447" s="15"/>
      <c r="AX447" s="15"/>
    </row>
    <row r="448" ht="15.75" customHeight="1">
      <c r="A448" s="7">
        <v>231110.0</v>
      </c>
      <c r="B448" s="7">
        <v>67.0</v>
      </c>
      <c r="C448" s="7">
        <v>1.0</v>
      </c>
      <c r="D448" s="8" t="s">
        <v>239</v>
      </c>
      <c r="E448" s="7">
        <v>11.0</v>
      </c>
      <c r="F448" s="8" t="s">
        <v>48</v>
      </c>
      <c r="G448" s="8" t="s">
        <v>89</v>
      </c>
      <c r="H448" s="8" t="s">
        <v>61</v>
      </c>
      <c r="I448" s="22" t="s">
        <v>51</v>
      </c>
      <c r="J448" s="22" t="s">
        <v>52</v>
      </c>
      <c r="K448" s="11" t="s">
        <v>53</v>
      </c>
      <c r="L448" s="12">
        <v>0.0195239</v>
      </c>
      <c r="M448" s="12">
        <v>0.0191482</v>
      </c>
      <c r="N448" s="12">
        <v>0.0188927</v>
      </c>
      <c r="O448" s="12">
        <v>0.0194495</v>
      </c>
      <c r="P448" s="12">
        <v>0.0202829</v>
      </c>
      <c r="Q448" s="12">
        <v>0.0209381</v>
      </c>
      <c r="R448" s="12">
        <v>0.0222802</v>
      </c>
      <c r="S448" s="12">
        <v>0.0217839</v>
      </c>
      <c r="T448" s="12">
        <v>0.021308</v>
      </c>
      <c r="U448" s="12">
        <v>0.0221203</v>
      </c>
      <c r="V448" s="12">
        <v>0.0215185</v>
      </c>
      <c r="W448" s="12">
        <v>0.0204537</v>
      </c>
      <c r="X448" s="12">
        <v>0.0201958</v>
      </c>
      <c r="Y448" s="12">
        <v>0.020428</v>
      </c>
      <c r="Z448" s="12">
        <v>0.0204138</v>
      </c>
      <c r="AA448" s="12">
        <v>0.0222378</v>
      </c>
      <c r="AB448" s="12">
        <v>0.0234425</v>
      </c>
      <c r="AC448" s="12">
        <v>0.0225772</v>
      </c>
      <c r="AD448" s="12">
        <v>0.0234594</v>
      </c>
      <c r="AE448" s="12">
        <v>0.0246338</v>
      </c>
      <c r="AF448" s="12">
        <v>0.0262693</v>
      </c>
      <c r="AG448" s="12">
        <v>0.0279593</v>
      </c>
      <c r="AH448" s="12">
        <v>0.0281191</v>
      </c>
      <c r="AI448" s="12">
        <v>0.0288602</v>
      </c>
      <c r="AJ448" s="12">
        <v>0.0289787</v>
      </c>
      <c r="AK448" s="12">
        <v>0.0285931</v>
      </c>
      <c r="AL448" s="12">
        <v>0.0293829</v>
      </c>
      <c r="AM448" s="12">
        <v>0.0280545</v>
      </c>
      <c r="AN448" s="12">
        <v>0.0203845</v>
      </c>
      <c r="AO448" s="12">
        <v>0.0068835</v>
      </c>
      <c r="AP448" s="13">
        <v>0.0</v>
      </c>
      <c r="AQ448" s="13">
        <v>0.0</v>
      </c>
      <c r="AR448" s="13">
        <v>0.0</v>
      </c>
      <c r="AS448" s="13">
        <v>0.0</v>
      </c>
      <c r="AT448" s="2">
        <f>AVERAGE(L448:AO448)</f>
        <v>0.02261911</v>
      </c>
      <c r="AU448" s="12">
        <f t="shared" si="43"/>
        <v>0.02261911</v>
      </c>
      <c r="AV448" s="14"/>
      <c r="AW448" s="15"/>
      <c r="AX448" s="15"/>
    </row>
    <row r="449" ht="15.75" customHeight="1">
      <c r="A449" s="7">
        <v>231110.0</v>
      </c>
      <c r="B449" s="7">
        <v>67.0</v>
      </c>
      <c r="C449" s="7">
        <v>1.0</v>
      </c>
      <c r="D449" s="8" t="s">
        <v>240</v>
      </c>
      <c r="E449" s="7">
        <v>11.0</v>
      </c>
      <c r="F449" s="8" t="s">
        <v>48</v>
      </c>
      <c r="G449" s="8" t="s">
        <v>89</v>
      </c>
      <c r="H449" s="8" t="s">
        <v>50</v>
      </c>
      <c r="I449" s="22" t="s">
        <v>51</v>
      </c>
      <c r="J449" s="22" t="s">
        <v>52</v>
      </c>
      <c r="K449" s="11" t="s">
        <v>53</v>
      </c>
      <c r="L449" s="12">
        <v>0.0242786</v>
      </c>
      <c r="M449" s="12">
        <v>0.0233551</v>
      </c>
      <c r="N449" s="12">
        <v>0.0212261</v>
      </c>
      <c r="O449" s="12">
        <v>0.0199877</v>
      </c>
      <c r="P449" s="12">
        <v>0.0206607</v>
      </c>
      <c r="Q449" s="12">
        <v>0.0210994</v>
      </c>
      <c r="R449" s="12">
        <v>0.0210278</v>
      </c>
      <c r="S449" s="12">
        <v>0.0228009</v>
      </c>
      <c r="T449" s="12">
        <v>0.0231572</v>
      </c>
      <c r="U449" s="12">
        <v>0.0200158</v>
      </c>
      <c r="V449" s="12">
        <v>0.0199425</v>
      </c>
      <c r="W449" s="12">
        <v>0.0206238</v>
      </c>
      <c r="X449" s="12">
        <v>0.0191731</v>
      </c>
      <c r="Y449" s="12">
        <v>0.0192243</v>
      </c>
      <c r="Z449" s="12">
        <v>0.022289</v>
      </c>
      <c r="AA449" s="12">
        <v>0.0221106</v>
      </c>
      <c r="AB449" s="12">
        <v>0.0215895</v>
      </c>
      <c r="AC449" s="12">
        <v>0.0230552</v>
      </c>
      <c r="AD449" s="12">
        <v>0.0220579</v>
      </c>
      <c r="AE449" s="12">
        <v>0.0232222</v>
      </c>
      <c r="AF449" s="12">
        <v>0.0278313</v>
      </c>
      <c r="AG449" s="12">
        <v>0.0297413</v>
      </c>
      <c r="AH449" s="12">
        <v>0.0296012</v>
      </c>
      <c r="AI449" s="12">
        <v>0.0296814</v>
      </c>
      <c r="AJ449" s="12">
        <v>0.0312339</v>
      </c>
      <c r="AK449" s="12">
        <v>0.0330628</v>
      </c>
      <c r="AL449" s="12">
        <v>0.0273201</v>
      </c>
      <c r="AM449" s="12">
        <v>0.0212964</v>
      </c>
      <c r="AN449" s="12">
        <v>0.0279325</v>
      </c>
      <c r="AO449" s="12">
        <v>0.0</v>
      </c>
      <c r="AP449" s="13">
        <v>0.0</v>
      </c>
      <c r="AQ449" s="13">
        <v>0.0</v>
      </c>
      <c r="AR449" s="13">
        <v>0.0</v>
      </c>
      <c r="AS449" s="13">
        <v>0.0</v>
      </c>
      <c r="AT449" s="2">
        <f t="shared" ref="AT449:AT451" si="50">AVERAGE(L449:AN449)</f>
        <v>0.02374476897</v>
      </c>
      <c r="AU449" s="12">
        <f t="shared" si="43"/>
        <v>0.02374476897</v>
      </c>
      <c r="AV449" s="14"/>
      <c r="AW449" s="15"/>
      <c r="AX449" s="15"/>
    </row>
    <row r="450" ht="15.75" customHeight="1">
      <c r="A450" s="7">
        <v>231110.0</v>
      </c>
      <c r="B450" s="7">
        <v>67.0</v>
      </c>
      <c r="C450" s="7">
        <v>1.0</v>
      </c>
      <c r="D450" s="8" t="s">
        <v>241</v>
      </c>
      <c r="E450" s="7">
        <v>11.0</v>
      </c>
      <c r="F450" s="8" t="s">
        <v>48</v>
      </c>
      <c r="G450" s="8" t="s">
        <v>89</v>
      </c>
      <c r="H450" s="8" t="s">
        <v>63</v>
      </c>
      <c r="I450" s="22" t="s">
        <v>51</v>
      </c>
      <c r="J450" s="22" t="s">
        <v>52</v>
      </c>
      <c r="K450" s="11" t="s">
        <v>53</v>
      </c>
      <c r="L450" s="12">
        <v>0.0149286</v>
      </c>
      <c r="M450" s="12">
        <v>0.0184857</v>
      </c>
      <c r="N450" s="12">
        <v>0.018843</v>
      </c>
      <c r="O450" s="12">
        <v>0.0184567</v>
      </c>
      <c r="P450" s="12">
        <v>0.0191053</v>
      </c>
      <c r="Q450" s="12">
        <v>0.0209395</v>
      </c>
      <c r="R450" s="12">
        <v>0.0226758</v>
      </c>
      <c r="S450" s="12">
        <v>0.022467</v>
      </c>
      <c r="T450" s="12">
        <v>0.0208013</v>
      </c>
      <c r="U450" s="12">
        <v>0.0193265</v>
      </c>
      <c r="V450" s="12">
        <v>0.0202976</v>
      </c>
      <c r="W450" s="12">
        <v>0.0208767</v>
      </c>
      <c r="X450" s="12">
        <v>0.0204283</v>
      </c>
      <c r="Y450" s="12">
        <v>0.019811</v>
      </c>
      <c r="Z450" s="12">
        <v>0.0214518</v>
      </c>
      <c r="AA450" s="12">
        <v>0.0242039</v>
      </c>
      <c r="AB450" s="12">
        <v>0.0246254</v>
      </c>
      <c r="AC450" s="12">
        <v>0.0240233</v>
      </c>
      <c r="AD450" s="12">
        <v>0.0246885</v>
      </c>
      <c r="AE450" s="12">
        <v>0.0256342</v>
      </c>
      <c r="AF450" s="12">
        <v>0.0271919</v>
      </c>
      <c r="AG450" s="12">
        <v>0.0293883</v>
      </c>
      <c r="AH450" s="12">
        <v>0.0299408</v>
      </c>
      <c r="AI450" s="12">
        <v>0.0297536</v>
      </c>
      <c r="AJ450" s="12">
        <v>0.0303879</v>
      </c>
      <c r="AK450" s="12">
        <v>0.0291518</v>
      </c>
      <c r="AL450" s="12">
        <v>0.019189</v>
      </c>
      <c r="AM450" s="12">
        <v>0.00864</v>
      </c>
      <c r="AN450" s="12">
        <v>0.003304</v>
      </c>
      <c r="AO450" s="12">
        <v>0.0</v>
      </c>
      <c r="AP450" s="13">
        <v>0.0</v>
      </c>
      <c r="AQ450" s="13">
        <v>0.0</v>
      </c>
      <c r="AR450" s="13">
        <v>0.0</v>
      </c>
      <c r="AS450" s="13">
        <v>0.0</v>
      </c>
      <c r="AT450" s="2">
        <f t="shared" si="50"/>
        <v>0.02169025517</v>
      </c>
      <c r="AU450" s="12">
        <f t="shared" si="43"/>
        <v>0.02169025517</v>
      </c>
      <c r="AV450" s="14"/>
      <c r="AW450" s="15"/>
      <c r="AX450" s="15"/>
    </row>
    <row r="451" ht="15.75" customHeight="1">
      <c r="A451" s="7">
        <v>231110.0</v>
      </c>
      <c r="B451" s="7">
        <v>67.0</v>
      </c>
      <c r="C451" s="7">
        <v>1.0</v>
      </c>
      <c r="D451" s="8" t="s">
        <v>242</v>
      </c>
      <c r="E451" s="7">
        <v>11.0</v>
      </c>
      <c r="F451" s="8" t="s">
        <v>48</v>
      </c>
      <c r="G451" s="8" t="s">
        <v>85</v>
      </c>
      <c r="H451" s="8" t="s">
        <v>61</v>
      </c>
      <c r="I451" s="22" t="s">
        <v>51</v>
      </c>
      <c r="J451" s="22" t="s">
        <v>52</v>
      </c>
      <c r="K451" s="11" t="s">
        <v>53</v>
      </c>
      <c r="L451" s="12">
        <v>0.0067202</v>
      </c>
      <c r="M451" s="12">
        <v>0.0102539</v>
      </c>
      <c r="N451" s="12">
        <v>0.0148768</v>
      </c>
      <c r="O451" s="12">
        <v>0.0174125</v>
      </c>
      <c r="P451" s="12">
        <v>0.0199036</v>
      </c>
      <c r="Q451" s="12">
        <v>0.022149</v>
      </c>
      <c r="R451" s="12">
        <v>0.0199421</v>
      </c>
      <c r="S451" s="12">
        <v>0.0178123</v>
      </c>
      <c r="T451" s="12">
        <v>0.0175434</v>
      </c>
      <c r="U451" s="12">
        <v>0.0171776</v>
      </c>
      <c r="V451" s="12">
        <v>0.0173294</v>
      </c>
      <c r="W451" s="12">
        <v>0.0191298</v>
      </c>
      <c r="X451" s="12">
        <v>0.0201869</v>
      </c>
      <c r="Y451" s="12">
        <v>0.020822</v>
      </c>
      <c r="Z451" s="12">
        <v>0.0215874</v>
      </c>
      <c r="AA451" s="12">
        <v>0.0215595</v>
      </c>
      <c r="AB451" s="12">
        <v>0.0227504</v>
      </c>
      <c r="AC451" s="12">
        <v>0.0250965</v>
      </c>
      <c r="AD451" s="12">
        <v>0.0274265</v>
      </c>
      <c r="AE451" s="12">
        <v>0.0273316</v>
      </c>
      <c r="AF451" s="12">
        <v>0.0263086</v>
      </c>
      <c r="AG451" s="12">
        <v>0.0268458</v>
      </c>
      <c r="AH451" s="12">
        <v>0.0276927</v>
      </c>
      <c r="AI451" s="12">
        <v>0.0282212</v>
      </c>
      <c r="AJ451" s="12">
        <v>0.0286195</v>
      </c>
      <c r="AK451" s="12">
        <v>0.0290747</v>
      </c>
      <c r="AL451" s="12">
        <v>0.0278765</v>
      </c>
      <c r="AM451" s="12">
        <v>0.0245531</v>
      </c>
      <c r="AN451" s="12">
        <v>0.0200818</v>
      </c>
      <c r="AO451" s="12">
        <v>0.0</v>
      </c>
      <c r="AP451" s="13">
        <v>0.0</v>
      </c>
      <c r="AQ451" s="13">
        <v>0.0</v>
      </c>
      <c r="AR451" s="13">
        <v>0.0</v>
      </c>
      <c r="AS451" s="13">
        <v>0.0</v>
      </c>
      <c r="AT451" s="2">
        <f t="shared" si="50"/>
        <v>0.02159604483</v>
      </c>
      <c r="AU451" s="12">
        <f t="shared" si="43"/>
        <v>0.02159604483</v>
      </c>
      <c r="AV451" s="14"/>
      <c r="AW451" s="15"/>
      <c r="AX451" s="15"/>
    </row>
    <row r="452" ht="15.75" customHeight="1">
      <c r="A452" s="7">
        <v>231110.0</v>
      </c>
      <c r="B452" s="7">
        <v>67.0</v>
      </c>
      <c r="C452" s="7">
        <v>1.0</v>
      </c>
      <c r="D452" s="8" t="s">
        <v>243</v>
      </c>
      <c r="E452" s="7">
        <v>11.0</v>
      </c>
      <c r="F452" s="8" t="s">
        <v>48</v>
      </c>
      <c r="G452" s="8" t="s">
        <v>85</v>
      </c>
      <c r="H452" s="8" t="s">
        <v>65</v>
      </c>
      <c r="I452" s="22" t="s">
        <v>51</v>
      </c>
      <c r="J452" s="22" t="s">
        <v>52</v>
      </c>
      <c r="K452" s="11" t="s">
        <v>53</v>
      </c>
      <c r="L452" s="12">
        <v>0.0135273</v>
      </c>
      <c r="M452" s="12">
        <v>0.0136631</v>
      </c>
      <c r="N452" s="12">
        <v>0.0175088</v>
      </c>
      <c r="O452" s="12">
        <v>0.0199519</v>
      </c>
      <c r="P452" s="12">
        <v>0.0196892</v>
      </c>
      <c r="Q452" s="12">
        <v>0.0180674</v>
      </c>
      <c r="R452" s="12">
        <v>0.016569</v>
      </c>
      <c r="S452" s="12">
        <v>0.0194862</v>
      </c>
      <c r="T452" s="12">
        <v>0.0224786</v>
      </c>
      <c r="U452" s="12">
        <v>0.0245934</v>
      </c>
      <c r="V452" s="12">
        <v>0.0275379</v>
      </c>
      <c r="W452" s="12">
        <v>0.0288219</v>
      </c>
      <c r="X452" s="12">
        <v>0.0299149</v>
      </c>
      <c r="Y452" s="12">
        <v>0.0321685</v>
      </c>
      <c r="Z452" s="12">
        <v>0.0333023</v>
      </c>
      <c r="AA452" s="12">
        <v>0.0330119</v>
      </c>
      <c r="AB452" s="12">
        <v>0.0330557</v>
      </c>
      <c r="AC452" s="12">
        <v>0.03437</v>
      </c>
      <c r="AD452" s="12">
        <v>0.0356943</v>
      </c>
      <c r="AE452" s="12">
        <v>0.0361022</v>
      </c>
      <c r="AF452" s="12">
        <v>0.0373</v>
      </c>
      <c r="AG452" s="12">
        <v>0.038312</v>
      </c>
      <c r="AH452" s="12">
        <v>0.0381117</v>
      </c>
      <c r="AI452" s="12">
        <v>0.0372714</v>
      </c>
      <c r="AJ452" s="12">
        <v>0.035833</v>
      </c>
      <c r="AK452" s="12">
        <v>0.033758</v>
      </c>
      <c r="AL452" s="12">
        <v>0.0301357</v>
      </c>
      <c r="AM452" s="12">
        <v>0.0243451</v>
      </c>
      <c r="AN452" s="12">
        <v>0.0170266</v>
      </c>
      <c r="AO452" s="12">
        <v>0.0076256</v>
      </c>
      <c r="AP452" s="13">
        <v>0.0</v>
      </c>
      <c r="AQ452" s="13">
        <v>0.0</v>
      </c>
      <c r="AR452" s="13">
        <v>0.0</v>
      </c>
      <c r="AS452" s="13">
        <v>0.0</v>
      </c>
      <c r="AT452" s="2">
        <f>AVERAGE(L452:AO452)</f>
        <v>0.02697445333</v>
      </c>
      <c r="AU452" s="12">
        <f t="shared" si="43"/>
        <v>0.02697445333</v>
      </c>
      <c r="AV452" s="14"/>
      <c r="AW452" s="15"/>
      <c r="AX452" s="15"/>
    </row>
    <row r="453" ht="15.75" customHeight="1">
      <c r="A453" s="7">
        <v>231110.0</v>
      </c>
      <c r="B453" s="7">
        <v>67.0</v>
      </c>
      <c r="C453" s="7">
        <v>1.0</v>
      </c>
      <c r="D453" s="8" t="s">
        <v>244</v>
      </c>
      <c r="E453" s="7">
        <v>11.0</v>
      </c>
      <c r="F453" s="8" t="s">
        <v>48</v>
      </c>
      <c r="G453" s="8" t="s">
        <v>85</v>
      </c>
      <c r="H453" s="8" t="s">
        <v>63</v>
      </c>
      <c r="I453" s="22" t="s">
        <v>51</v>
      </c>
      <c r="J453" s="22" t="s">
        <v>52</v>
      </c>
      <c r="K453" s="11" t="s">
        <v>53</v>
      </c>
      <c r="L453" s="12">
        <v>0.0174367</v>
      </c>
      <c r="M453" s="12">
        <v>0.0166699</v>
      </c>
      <c r="N453" s="12">
        <v>0.0149869</v>
      </c>
      <c r="O453" s="12">
        <v>0.0141182</v>
      </c>
      <c r="P453" s="12">
        <v>0.015147</v>
      </c>
      <c r="Q453" s="12">
        <v>0.0150349</v>
      </c>
      <c r="R453" s="12">
        <v>0.0174012</v>
      </c>
      <c r="S453" s="12">
        <v>0.0222652</v>
      </c>
      <c r="T453" s="12">
        <v>0.0239736</v>
      </c>
      <c r="U453" s="12">
        <v>0.0235217</v>
      </c>
      <c r="V453" s="12">
        <v>0.0232546</v>
      </c>
      <c r="W453" s="12">
        <v>0.0247549</v>
      </c>
      <c r="X453" s="12">
        <v>0.027797</v>
      </c>
      <c r="Y453" s="12">
        <v>0.028737</v>
      </c>
      <c r="Z453" s="12">
        <v>0.0276432</v>
      </c>
      <c r="AA453" s="12">
        <v>0.0271225</v>
      </c>
      <c r="AB453" s="12">
        <v>0.0273745</v>
      </c>
      <c r="AC453" s="12">
        <v>0.0279474</v>
      </c>
      <c r="AD453" s="12">
        <v>0.0269087</v>
      </c>
      <c r="AE453" s="12">
        <v>0.0276394</v>
      </c>
      <c r="AF453" s="12">
        <v>0.030588</v>
      </c>
      <c r="AG453" s="12">
        <v>0.0316178</v>
      </c>
      <c r="AH453" s="12">
        <v>0.0293896</v>
      </c>
      <c r="AI453" s="12">
        <v>0.0252628</v>
      </c>
      <c r="AJ453" s="12">
        <v>0.0235499</v>
      </c>
      <c r="AK453" s="12">
        <v>0.0196202</v>
      </c>
      <c r="AL453" s="12">
        <v>0.0117619</v>
      </c>
      <c r="AM453" s="12">
        <v>0.0</v>
      </c>
      <c r="AN453" s="12">
        <v>0.0</v>
      </c>
      <c r="AO453" s="12">
        <v>0.0</v>
      </c>
      <c r="AP453" s="13">
        <v>0.0</v>
      </c>
      <c r="AQ453" s="13">
        <v>0.0</v>
      </c>
      <c r="AR453" s="13">
        <v>0.0</v>
      </c>
      <c r="AS453" s="13">
        <v>0.0</v>
      </c>
      <c r="AT453" s="2">
        <f>AVERAGE(L453:AL453)</f>
        <v>0.02301943333</v>
      </c>
      <c r="AU453" s="12">
        <f t="shared" si="43"/>
        <v>0.02301943333</v>
      </c>
      <c r="AV453" s="14"/>
      <c r="AW453" s="15"/>
      <c r="AX453" s="15"/>
    </row>
    <row r="454" ht="15.75" customHeight="1">
      <c r="A454" s="7">
        <v>231115.0</v>
      </c>
      <c r="B454" s="7">
        <v>68.0</v>
      </c>
      <c r="C454" s="7">
        <v>2.0</v>
      </c>
      <c r="D454" s="8" t="s">
        <v>245</v>
      </c>
      <c r="E454" s="7">
        <v>11.0</v>
      </c>
      <c r="F454" s="8" t="s">
        <v>56</v>
      </c>
      <c r="G454" s="8" t="s">
        <v>85</v>
      </c>
      <c r="H454" s="8" t="s">
        <v>65</v>
      </c>
      <c r="I454" s="22" t="s">
        <v>51</v>
      </c>
      <c r="J454" s="22" t="s">
        <v>52</v>
      </c>
      <c r="K454" s="11" t="s">
        <v>57</v>
      </c>
      <c r="L454" s="12">
        <v>0.0175378</v>
      </c>
      <c r="M454" s="12">
        <v>0.0177166</v>
      </c>
      <c r="N454" s="12">
        <v>0.0183983</v>
      </c>
      <c r="O454" s="12">
        <v>0.0197618</v>
      </c>
      <c r="P454" s="12">
        <v>0.0205786</v>
      </c>
      <c r="Q454" s="12">
        <v>0.0205757</v>
      </c>
      <c r="R454" s="12">
        <v>0.0215597</v>
      </c>
      <c r="S454" s="12">
        <v>0.0241792</v>
      </c>
      <c r="T454" s="12">
        <v>0.0263916</v>
      </c>
      <c r="U454" s="12">
        <v>0.0270606</v>
      </c>
      <c r="V454" s="12">
        <v>0.0282792</v>
      </c>
      <c r="W454" s="12">
        <v>0.0279946</v>
      </c>
      <c r="X454" s="12">
        <v>0.0260396</v>
      </c>
      <c r="Y454" s="12">
        <v>0.0273069</v>
      </c>
      <c r="Z454" s="12">
        <v>0.029456</v>
      </c>
      <c r="AA454" s="12">
        <v>0.0289453</v>
      </c>
      <c r="AB454" s="12">
        <v>0.0284465</v>
      </c>
      <c r="AC454" s="12">
        <v>0.0297249</v>
      </c>
      <c r="AD454" s="12">
        <v>0.0316222</v>
      </c>
      <c r="AE454" s="12">
        <v>0.033132</v>
      </c>
      <c r="AF454" s="12">
        <v>0.0338396</v>
      </c>
      <c r="AG454" s="12">
        <v>0.0346031</v>
      </c>
      <c r="AH454" s="12">
        <v>0.033081</v>
      </c>
      <c r="AI454" s="12">
        <v>0.0317827</v>
      </c>
      <c r="AJ454" s="12">
        <v>0.0302121</v>
      </c>
      <c r="AK454" s="12">
        <v>0.019997</v>
      </c>
      <c r="AL454" s="12">
        <v>0.00659</v>
      </c>
      <c r="AM454" s="12">
        <v>0.0020772</v>
      </c>
      <c r="AN454" s="12">
        <v>0.0072414</v>
      </c>
      <c r="AO454" s="12">
        <v>0.0</v>
      </c>
      <c r="AP454" s="13">
        <v>0.0</v>
      </c>
      <c r="AQ454" s="13">
        <v>0.0</v>
      </c>
      <c r="AR454" s="13">
        <v>0.0</v>
      </c>
      <c r="AS454" s="13">
        <v>0.0</v>
      </c>
      <c r="AT454" s="2">
        <f>AVERAGE(L454:AN454)</f>
        <v>0.02428038621</v>
      </c>
      <c r="AU454" s="12">
        <f t="shared" si="43"/>
        <v>0.02428038621</v>
      </c>
      <c r="AV454" s="14"/>
      <c r="AW454" s="15"/>
      <c r="AX454" s="15"/>
    </row>
    <row r="455" ht="15.75" customHeight="1">
      <c r="A455" s="7">
        <v>231115.0</v>
      </c>
      <c r="B455" s="7">
        <v>68.0</v>
      </c>
      <c r="C455" s="7">
        <v>2.0</v>
      </c>
      <c r="D455" s="8" t="s">
        <v>246</v>
      </c>
      <c r="E455" s="7">
        <v>11.0</v>
      </c>
      <c r="F455" s="8" t="s">
        <v>56</v>
      </c>
      <c r="G455" s="8" t="s">
        <v>85</v>
      </c>
      <c r="H455" s="8" t="s">
        <v>63</v>
      </c>
      <c r="I455" s="22" t="s">
        <v>51</v>
      </c>
      <c r="J455" s="22" t="s">
        <v>52</v>
      </c>
      <c r="K455" s="11" t="s">
        <v>57</v>
      </c>
      <c r="L455" s="12">
        <v>0.0232911</v>
      </c>
      <c r="M455" s="12">
        <v>0.0214191</v>
      </c>
      <c r="N455" s="12">
        <v>0.0194809</v>
      </c>
      <c r="O455" s="12">
        <v>0.0188917</v>
      </c>
      <c r="P455" s="12">
        <v>0.0200585</v>
      </c>
      <c r="Q455" s="12">
        <v>0.0204312</v>
      </c>
      <c r="R455" s="12">
        <v>0.0188622</v>
      </c>
      <c r="S455" s="12">
        <v>0.0182905</v>
      </c>
      <c r="T455" s="12">
        <v>0.0206312</v>
      </c>
      <c r="U455" s="12">
        <v>0.0231693</v>
      </c>
      <c r="V455" s="12">
        <v>0.0232801</v>
      </c>
      <c r="W455" s="12">
        <v>0.0237396</v>
      </c>
      <c r="X455" s="12">
        <v>0.0255474</v>
      </c>
      <c r="Y455" s="12">
        <v>0.0271832</v>
      </c>
      <c r="Z455" s="12">
        <v>0.0274317</v>
      </c>
      <c r="AA455" s="12">
        <v>0.0275705</v>
      </c>
      <c r="AB455" s="12">
        <v>0.0281898</v>
      </c>
      <c r="AC455" s="12">
        <v>0.0271038</v>
      </c>
      <c r="AD455" s="12">
        <v>0.0243857</v>
      </c>
      <c r="AE455" s="12">
        <v>0.0253482</v>
      </c>
      <c r="AF455" s="12">
        <v>0.0287773</v>
      </c>
      <c r="AG455" s="12">
        <v>0.0304129</v>
      </c>
      <c r="AH455" s="12">
        <v>0.0338252</v>
      </c>
      <c r="AI455" s="12">
        <v>0.037367</v>
      </c>
      <c r="AJ455" s="12">
        <v>0.0360715</v>
      </c>
      <c r="AK455" s="12">
        <v>0.0325749</v>
      </c>
      <c r="AL455" s="12">
        <v>0.0269661</v>
      </c>
      <c r="AM455" s="12">
        <v>0.0184865</v>
      </c>
      <c r="AN455" s="12">
        <v>0.0123053</v>
      </c>
      <c r="AO455" s="12">
        <v>0.0110611</v>
      </c>
      <c r="AP455" s="13">
        <v>0.0</v>
      </c>
      <c r="AQ455" s="13">
        <v>0.0</v>
      </c>
      <c r="AR455" s="13">
        <v>0.0</v>
      </c>
      <c r="AS455" s="13">
        <v>0.0</v>
      </c>
      <c r="AT455" s="2">
        <f t="shared" ref="AT455:AT456" si="51">AVERAGE(L455:AO455)</f>
        <v>0.02440511667</v>
      </c>
      <c r="AU455" s="12">
        <f t="shared" si="43"/>
        <v>0.02440511667</v>
      </c>
      <c r="AV455" s="14"/>
      <c r="AW455" s="15"/>
      <c r="AX455" s="15"/>
    </row>
    <row r="456" ht="15.75" customHeight="1">
      <c r="A456" s="7">
        <v>231115.0</v>
      </c>
      <c r="B456" s="7">
        <v>68.0</v>
      </c>
      <c r="C456" s="7">
        <v>2.0</v>
      </c>
      <c r="D456" s="8" t="s">
        <v>247</v>
      </c>
      <c r="E456" s="7">
        <v>11.0</v>
      </c>
      <c r="F456" s="8" t="s">
        <v>56</v>
      </c>
      <c r="G456" s="8" t="s">
        <v>85</v>
      </c>
      <c r="H456" s="8" t="s">
        <v>50</v>
      </c>
      <c r="I456" s="22" t="s">
        <v>51</v>
      </c>
      <c r="J456" s="22" t="s">
        <v>52</v>
      </c>
      <c r="K456" s="11" t="s">
        <v>57</v>
      </c>
      <c r="L456" s="12">
        <v>0.0198158</v>
      </c>
      <c r="M456" s="12">
        <v>0.0186076</v>
      </c>
      <c r="N456" s="12">
        <v>0.0185476</v>
      </c>
      <c r="O456" s="12">
        <v>0.0190272</v>
      </c>
      <c r="P456" s="12">
        <v>0.0186822</v>
      </c>
      <c r="Q456" s="12">
        <v>0.0192572</v>
      </c>
      <c r="R456" s="12">
        <v>0.0199563</v>
      </c>
      <c r="S456" s="12">
        <v>0.0197942</v>
      </c>
      <c r="T456" s="12">
        <v>0.0190074</v>
      </c>
      <c r="U456" s="12">
        <v>0.0185461</v>
      </c>
      <c r="V456" s="12">
        <v>0.0187504</v>
      </c>
      <c r="W456" s="12">
        <v>0.0188067</v>
      </c>
      <c r="X456" s="12">
        <v>0.0200611</v>
      </c>
      <c r="Y456" s="12">
        <v>0.0208245</v>
      </c>
      <c r="Z456" s="12">
        <v>0.0221874</v>
      </c>
      <c r="AA456" s="12">
        <v>0.0208802</v>
      </c>
      <c r="AB456" s="12">
        <v>0.0190698</v>
      </c>
      <c r="AC456" s="12">
        <v>0.0198917</v>
      </c>
      <c r="AD456" s="12">
        <v>0.0209124</v>
      </c>
      <c r="AE456" s="12">
        <v>0.0217283</v>
      </c>
      <c r="AF456" s="12">
        <v>0.0224149</v>
      </c>
      <c r="AG456" s="12">
        <v>0.0230978</v>
      </c>
      <c r="AH456" s="12">
        <v>0.0240953</v>
      </c>
      <c r="AI456" s="12">
        <v>0.0250764</v>
      </c>
      <c r="AJ456" s="12">
        <v>0.0257051</v>
      </c>
      <c r="AK456" s="12">
        <v>0.0271915</v>
      </c>
      <c r="AL456" s="12">
        <v>0.0264793</v>
      </c>
      <c r="AM456" s="12">
        <v>0.0205417</v>
      </c>
      <c r="AN456" s="12">
        <v>0.0130511</v>
      </c>
      <c r="AO456" s="12">
        <v>0.0054811</v>
      </c>
      <c r="AP456" s="13">
        <v>0.0</v>
      </c>
      <c r="AQ456" s="13">
        <v>0.0</v>
      </c>
      <c r="AR456" s="13">
        <v>0.0</v>
      </c>
      <c r="AS456" s="13">
        <v>0.0</v>
      </c>
      <c r="AT456" s="2">
        <f t="shared" si="51"/>
        <v>0.02024961</v>
      </c>
      <c r="AU456" s="12">
        <f t="shared" si="43"/>
        <v>0.02024961</v>
      </c>
      <c r="AV456" s="14"/>
      <c r="AW456" s="15"/>
      <c r="AX456" s="15"/>
    </row>
    <row r="457" ht="15.75" customHeight="1">
      <c r="A457" s="7">
        <v>231115.0</v>
      </c>
      <c r="B457" s="7">
        <v>68.0</v>
      </c>
      <c r="C457" s="7">
        <v>2.0</v>
      </c>
      <c r="D457" s="8" t="s">
        <v>248</v>
      </c>
      <c r="E457" s="7">
        <v>11.0</v>
      </c>
      <c r="F457" s="8" t="s">
        <v>56</v>
      </c>
      <c r="G457" s="8" t="s">
        <v>85</v>
      </c>
      <c r="H457" s="8" t="s">
        <v>61</v>
      </c>
      <c r="I457" s="22" t="s">
        <v>51</v>
      </c>
      <c r="J457" s="22" t="s">
        <v>52</v>
      </c>
      <c r="K457" s="11" t="s">
        <v>57</v>
      </c>
      <c r="L457" s="12">
        <v>0.0251494</v>
      </c>
      <c r="M457" s="12">
        <v>0.0222116</v>
      </c>
      <c r="N457" s="12">
        <v>0.0199758</v>
      </c>
      <c r="O457" s="12">
        <v>0.0184003</v>
      </c>
      <c r="P457" s="12">
        <v>0.0174028</v>
      </c>
      <c r="Q457" s="12">
        <v>0.0172826</v>
      </c>
      <c r="R457" s="12">
        <v>0.0159249</v>
      </c>
      <c r="S457" s="12">
        <v>0.0133671</v>
      </c>
      <c r="T457" s="12">
        <v>0.0145744</v>
      </c>
      <c r="U457" s="12">
        <v>0.0176302</v>
      </c>
      <c r="V457" s="12">
        <v>0.0190611</v>
      </c>
      <c r="W457" s="12">
        <v>0.0206579</v>
      </c>
      <c r="X457" s="12">
        <v>0.0206064</v>
      </c>
      <c r="Y457" s="12">
        <v>0.0214601</v>
      </c>
      <c r="Z457" s="12">
        <v>0.0220228</v>
      </c>
      <c r="AA457" s="12">
        <v>0.0217088</v>
      </c>
      <c r="AB457" s="12">
        <v>0.020631</v>
      </c>
      <c r="AC457" s="12">
        <v>0.021103</v>
      </c>
      <c r="AD457" s="12">
        <v>0.0243977</v>
      </c>
      <c r="AE457" s="12">
        <v>0.0260931</v>
      </c>
      <c r="AF457" s="12">
        <v>0.0252719</v>
      </c>
      <c r="AG457" s="12">
        <v>0.0249755</v>
      </c>
      <c r="AH457" s="12">
        <v>0.0262639</v>
      </c>
      <c r="AI457" s="12">
        <v>0.0271592</v>
      </c>
      <c r="AJ457" s="12">
        <v>0.0251511</v>
      </c>
      <c r="AK457" s="12">
        <v>0.0227631</v>
      </c>
      <c r="AL457" s="12">
        <v>0.0241189</v>
      </c>
      <c r="AM457" s="12">
        <v>0.0221705</v>
      </c>
      <c r="AN457" s="12">
        <v>0.0068567</v>
      </c>
      <c r="AO457" s="12">
        <v>0.0</v>
      </c>
      <c r="AP457" s="13">
        <v>0.0</v>
      </c>
      <c r="AQ457" s="13">
        <v>0.0</v>
      </c>
      <c r="AR457" s="13">
        <v>0.0</v>
      </c>
      <c r="AS457" s="13">
        <v>0.0</v>
      </c>
      <c r="AT457" s="2">
        <f t="shared" ref="AT457:AT458" si="52">AVERAGE(L457:AN457)</f>
        <v>0.02084109655</v>
      </c>
      <c r="AU457" s="12">
        <f t="shared" si="43"/>
        <v>0.02084109655</v>
      </c>
      <c r="AV457" s="14"/>
      <c r="AW457" s="15"/>
      <c r="AX457" s="15"/>
    </row>
    <row r="458" ht="15.75" customHeight="1">
      <c r="A458" s="7">
        <v>231115.0</v>
      </c>
      <c r="B458" s="7">
        <v>68.0</v>
      </c>
      <c r="C458" s="7">
        <v>2.0</v>
      </c>
      <c r="D458" s="8" t="s">
        <v>249</v>
      </c>
      <c r="E458" s="7">
        <v>11.0</v>
      </c>
      <c r="F458" s="8" t="s">
        <v>56</v>
      </c>
      <c r="G458" s="8" t="s">
        <v>89</v>
      </c>
      <c r="H458" s="8" t="s">
        <v>50</v>
      </c>
      <c r="I458" s="22" t="s">
        <v>51</v>
      </c>
      <c r="J458" s="22" t="s">
        <v>52</v>
      </c>
      <c r="K458" s="11" t="s">
        <v>57</v>
      </c>
      <c r="L458" s="12">
        <v>0.0173527</v>
      </c>
      <c r="M458" s="12">
        <v>0.0167889</v>
      </c>
      <c r="N458" s="12">
        <v>0.0180912</v>
      </c>
      <c r="O458" s="12">
        <v>0.0208383</v>
      </c>
      <c r="P458" s="12">
        <v>0.0208813</v>
      </c>
      <c r="Q458" s="12">
        <v>0.0204586</v>
      </c>
      <c r="R458" s="12">
        <v>0.0208625</v>
      </c>
      <c r="S458" s="12">
        <v>0.0193145</v>
      </c>
      <c r="T458" s="12">
        <v>0.0183804</v>
      </c>
      <c r="U458" s="12">
        <v>0.0214628</v>
      </c>
      <c r="V458" s="12">
        <v>0.0251406</v>
      </c>
      <c r="W458" s="12">
        <v>0.0241714</v>
      </c>
      <c r="X458" s="12">
        <v>0.0238442</v>
      </c>
      <c r="Y458" s="12">
        <v>0.0245295</v>
      </c>
      <c r="Z458" s="12">
        <v>0.0255984</v>
      </c>
      <c r="AA458" s="12">
        <v>0.0265367</v>
      </c>
      <c r="AB458" s="12">
        <v>0.0264447</v>
      </c>
      <c r="AC458" s="12">
        <v>0.0257641</v>
      </c>
      <c r="AD458" s="12">
        <v>0.0241056</v>
      </c>
      <c r="AE458" s="12">
        <v>0.0249865</v>
      </c>
      <c r="AF458" s="12">
        <v>0.0267813</v>
      </c>
      <c r="AG458" s="12">
        <v>0.0283967</v>
      </c>
      <c r="AH458" s="12">
        <v>0.0319028</v>
      </c>
      <c r="AI458" s="12">
        <v>0.0349776</v>
      </c>
      <c r="AJ458" s="12">
        <v>0.0343261</v>
      </c>
      <c r="AK458" s="12">
        <v>0.0284918</v>
      </c>
      <c r="AL458" s="12">
        <v>0.0219687</v>
      </c>
      <c r="AM458" s="12">
        <v>0.018963</v>
      </c>
      <c r="AN458" s="12">
        <v>0.0219595</v>
      </c>
      <c r="AO458" s="12">
        <v>0.0</v>
      </c>
      <c r="AP458" s="13">
        <v>0.0</v>
      </c>
      <c r="AQ458" s="13">
        <v>0.0</v>
      </c>
      <c r="AR458" s="13">
        <v>0.0</v>
      </c>
      <c r="AS458" s="13">
        <v>0.0</v>
      </c>
      <c r="AT458" s="2">
        <f t="shared" si="52"/>
        <v>0.0239076</v>
      </c>
      <c r="AU458" s="12">
        <f t="shared" si="43"/>
        <v>0.0239076</v>
      </c>
      <c r="AV458" s="14"/>
      <c r="AW458" s="15"/>
      <c r="AX458" s="15"/>
    </row>
    <row r="459" ht="15.75" customHeight="1">
      <c r="A459" s="7">
        <v>231115.0</v>
      </c>
      <c r="B459" s="7">
        <v>68.0</v>
      </c>
      <c r="C459" s="7">
        <v>2.0</v>
      </c>
      <c r="D459" s="8" t="s">
        <v>250</v>
      </c>
      <c r="E459" s="7">
        <v>11.0</v>
      </c>
      <c r="F459" s="8" t="s">
        <v>56</v>
      </c>
      <c r="G459" s="8" t="s">
        <v>89</v>
      </c>
      <c r="H459" s="8" t="s">
        <v>61</v>
      </c>
      <c r="I459" s="22" t="s">
        <v>51</v>
      </c>
      <c r="J459" s="22" t="s">
        <v>52</v>
      </c>
      <c r="K459" s="11" t="s">
        <v>57</v>
      </c>
      <c r="L459" s="12">
        <v>0.0190267</v>
      </c>
      <c r="M459" s="12">
        <v>0.0191098</v>
      </c>
      <c r="N459" s="12">
        <v>0.0204774</v>
      </c>
      <c r="O459" s="12">
        <v>0.020926</v>
      </c>
      <c r="P459" s="12">
        <v>0.0211673</v>
      </c>
      <c r="Q459" s="12">
        <v>0.0218795</v>
      </c>
      <c r="R459" s="12">
        <v>0.0212879</v>
      </c>
      <c r="S459" s="12">
        <v>0.0219522</v>
      </c>
      <c r="T459" s="12">
        <v>0.0230531</v>
      </c>
      <c r="U459" s="12">
        <v>0.0228342</v>
      </c>
      <c r="V459" s="12">
        <v>0.022619</v>
      </c>
      <c r="W459" s="12">
        <v>0.0247266</v>
      </c>
      <c r="X459" s="12">
        <v>0.0268142</v>
      </c>
      <c r="Y459" s="12">
        <v>0.0256614</v>
      </c>
      <c r="Z459" s="12">
        <v>0.0245701</v>
      </c>
      <c r="AA459" s="12">
        <v>0.0251646</v>
      </c>
      <c r="AB459" s="12">
        <v>0.0258115</v>
      </c>
      <c r="AC459" s="12">
        <v>0.0268258</v>
      </c>
      <c r="AD459" s="12">
        <v>0.0280854</v>
      </c>
      <c r="AE459" s="12">
        <v>0.0293091</v>
      </c>
      <c r="AF459" s="12">
        <v>0.0306428</v>
      </c>
      <c r="AG459" s="12">
        <v>0.0277315</v>
      </c>
      <c r="AH459" s="12">
        <v>0.0192237</v>
      </c>
      <c r="AI459" s="12">
        <v>0.011359</v>
      </c>
      <c r="AJ459" s="12">
        <v>0.007332</v>
      </c>
      <c r="AK459" s="12">
        <v>0.0030676</v>
      </c>
      <c r="AL459" s="12">
        <v>0.0</v>
      </c>
      <c r="AM459" s="12">
        <v>0.0</v>
      </c>
      <c r="AN459" s="12">
        <v>0.0</v>
      </c>
      <c r="AO459" s="12">
        <v>0.0</v>
      </c>
      <c r="AP459" s="13">
        <v>0.0</v>
      </c>
      <c r="AQ459" s="13">
        <v>0.0</v>
      </c>
      <c r="AR459" s="13">
        <v>0.0</v>
      </c>
      <c r="AS459" s="13">
        <v>0.0</v>
      </c>
      <c r="AT459" s="2">
        <f>AVERAGE(L459:AK459)</f>
        <v>0.0219484</v>
      </c>
      <c r="AU459" s="12">
        <f t="shared" si="43"/>
        <v>0.0219484</v>
      </c>
      <c r="AV459" s="14"/>
      <c r="AW459" s="15"/>
      <c r="AX459" s="15"/>
    </row>
    <row r="460" ht="15.75" customHeight="1">
      <c r="A460" s="7">
        <v>231115.0</v>
      </c>
      <c r="B460" s="7">
        <v>68.0</v>
      </c>
      <c r="C460" s="7">
        <v>2.0</v>
      </c>
      <c r="D460" s="8" t="s">
        <v>251</v>
      </c>
      <c r="E460" s="7">
        <v>11.0</v>
      </c>
      <c r="F460" s="8" t="s">
        <v>56</v>
      </c>
      <c r="G460" s="8" t="s">
        <v>89</v>
      </c>
      <c r="H460" s="8" t="s">
        <v>65</v>
      </c>
      <c r="I460" s="22" t="s">
        <v>51</v>
      </c>
      <c r="J460" s="22" t="s">
        <v>52</v>
      </c>
      <c r="K460" s="11" t="s">
        <v>57</v>
      </c>
      <c r="L460" s="12">
        <v>0.022573</v>
      </c>
      <c r="M460" s="12">
        <v>0.0234187</v>
      </c>
      <c r="N460" s="12">
        <v>0.0223937</v>
      </c>
      <c r="O460" s="12">
        <v>0.0204794</v>
      </c>
      <c r="P460" s="12">
        <v>0.0186555</v>
      </c>
      <c r="Q460" s="12">
        <v>0.0184305</v>
      </c>
      <c r="R460" s="12">
        <v>0.0189945</v>
      </c>
      <c r="S460" s="12">
        <v>0.0194246</v>
      </c>
      <c r="T460" s="12">
        <v>0.0218533</v>
      </c>
      <c r="U460" s="12">
        <v>0.022367</v>
      </c>
      <c r="V460" s="12">
        <v>0.0230963</v>
      </c>
      <c r="W460" s="12">
        <v>0.0244021</v>
      </c>
      <c r="X460" s="12">
        <v>0.0250032</v>
      </c>
      <c r="Y460" s="12">
        <v>0.0272295</v>
      </c>
      <c r="Z460" s="12">
        <v>0.0275056</v>
      </c>
      <c r="AA460" s="12">
        <v>0.0270093</v>
      </c>
      <c r="AB460" s="12">
        <v>0.0291547</v>
      </c>
      <c r="AC460" s="12">
        <v>0.0292288</v>
      </c>
      <c r="AD460" s="12">
        <v>0.0276658</v>
      </c>
      <c r="AE460" s="12">
        <v>0.0277786</v>
      </c>
      <c r="AF460" s="12">
        <v>0.028892</v>
      </c>
      <c r="AG460" s="12">
        <v>0.0295599</v>
      </c>
      <c r="AH460" s="12">
        <v>0.0272522</v>
      </c>
      <c r="AI460" s="12">
        <v>0.0266968</v>
      </c>
      <c r="AJ460" s="12">
        <v>0.0276551</v>
      </c>
      <c r="AK460" s="12">
        <v>0.0246964</v>
      </c>
      <c r="AL460" s="12">
        <v>0.0224088</v>
      </c>
      <c r="AM460" s="12">
        <v>0.0212267</v>
      </c>
      <c r="AN460" s="12">
        <v>0.0200349</v>
      </c>
      <c r="AO460" s="12">
        <v>0.0285137</v>
      </c>
      <c r="AP460" s="13">
        <v>0.0</v>
      </c>
      <c r="AQ460" s="13">
        <v>0.0</v>
      </c>
      <c r="AR460" s="13">
        <v>0.0</v>
      </c>
      <c r="AS460" s="13">
        <v>0.0</v>
      </c>
      <c r="AT460" s="2">
        <f t="shared" ref="AT460:AT461" si="53">AVERAGE(L460:AO460)</f>
        <v>0.02445335333</v>
      </c>
      <c r="AU460" s="12">
        <f t="shared" si="43"/>
        <v>0.02445335333</v>
      </c>
      <c r="AV460" s="14"/>
      <c r="AW460" s="15"/>
      <c r="AX460" s="15"/>
    </row>
    <row r="461" ht="15.75" customHeight="1">
      <c r="A461" s="7">
        <v>231124.0</v>
      </c>
      <c r="B461" s="7">
        <v>68.0</v>
      </c>
      <c r="C461" s="7">
        <v>2.0</v>
      </c>
      <c r="D461" s="8" t="s">
        <v>252</v>
      </c>
      <c r="E461" s="7">
        <v>11.0</v>
      </c>
      <c r="F461" s="8" t="s">
        <v>48</v>
      </c>
      <c r="G461" s="8" t="s">
        <v>49</v>
      </c>
      <c r="H461" s="8" t="s">
        <v>65</v>
      </c>
      <c r="I461" s="22" t="s">
        <v>51</v>
      </c>
      <c r="J461" s="22" t="s">
        <v>52</v>
      </c>
      <c r="K461" s="11" t="s">
        <v>59</v>
      </c>
      <c r="L461" s="12">
        <v>0.0195941</v>
      </c>
      <c r="M461" s="12">
        <v>0.0194983</v>
      </c>
      <c r="N461" s="12">
        <v>0.0188367</v>
      </c>
      <c r="O461" s="12">
        <v>0.0198175</v>
      </c>
      <c r="P461" s="12">
        <v>0.0209825</v>
      </c>
      <c r="Q461" s="12">
        <v>0.0219744</v>
      </c>
      <c r="R461" s="12">
        <v>0.023246</v>
      </c>
      <c r="S461" s="12">
        <v>0.0236781</v>
      </c>
      <c r="T461" s="12">
        <v>0.0242106</v>
      </c>
      <c r="U461" s="12">
        <v>0.02702</v>
      </c>
      <c r="V461" s="12">
        <v>0.0312799</v>
      </c>
      <c r="W461" s="12">
        <v>0.0323559</v>
      </c>
      <c r="X461" s="12">
        <v>0.0307216</v>
      </c>
      <c r="Y461" s="12">
        <v>0.0313979</v>
      </c>
      <c r="Z461" s="12">
        <v>0.0335582</v>
      </c>
      <c r="AA461" s="12">
        <v>0.0344753</v>
      </c>
      <c r="AB461" s="12">
        <v>0.0357339</v>
      </c>
      <c r="AC461" s="12">
        <v>0.0361244</v>
      </c>
      <c r="AD461" s="12">
        <v>0.0347613</v>
      </c>
      <c r="AE461" s="12">
        <v>0.0333844</v>
      </c>
      <c r="AF461" s="12">
        <v>0.0331293</v>
      </c>
      <c r="AG461" s="12">
        <v>0.0329845</v>
      </c>
      <c r="AH461" s="12">
        <v>0.034875</v>
      </c>
      <c r="AI461" s="12">
        <v>0.0361885</v>
      </c>
      <c r="AJ461" s="12">
        <v>0.035865</v>
      </c>
      <c r="AK461" s="12">
        <v>0.0346488</v>
      </c>
      <c r="AL461" s="12">
        <v>0.0282071</v>
      </c>
      <c r="AM461" s="12">
        <v>0.0206716</v>
      </c>
      <c r="AN461" s="12">
        <v>0.0160111</v>
      </c>
      <c r="AO461" s="12">
        <v>0.0102041</v>
      </c>
      <c r="AP461" s="13">
        <v>0.0</v>
      </c>
      <c r="AQ461" s="13">
        <v>0.0</v>
      </c>
      <c r="AR461" s="13">
        <v>0.0</v>
      </c>
      <c r="AS461" s="13">
        <v>0.0</v>
      </c>
      <c r="AT461" s="2">
        <f t="shared" si="53"/>
        <v>0.02784786667</v>
      </c>
      <c r="AU461" s="12">
        <f t="shared" si="43"/>
        <v>0.02784786667</v>
      </c>
      <c r="AV461" s="14"/>
      <c r="AW461" s="15"/>
      <c r="AX461" s="15"/>
    </row>
    <row r="462" ht="15.75" customHeight="1">
      <c r="A462" s="7">
        <v>231124.0</v>
      </c>
      <c r="B462" s="7">
        <v>68.0</v>
      </c>
      <c r="C462" s="7">
        <v>2.0</v>
      </c>
      <c r="D462" s="8" t="s">
        <v>253</v>
      </c>
      <c r="E462" s="7">
        <v>11.0</v>
      </c>
      <c r="F462" s="8" t="s">
        <v>48</v>
      </c>
      <c r="G462" s="8" t="s">
        <v>49</v>
      </c>
      <c r="H462" s="8" t="s">
        <v>63</v>
      </c>
      <c r="I462" s="22" t="s">
        <v>51</v>
      </c>
      <c r="J462" s="22" t="s">
        <v>52</v>
      </c>
      <c r="K462" s="11" t="s">
        <v>59</v>
      </c>
      <c r="L462" s="12">
        <v>0.0157373</v>
      </c>
      <c r="M462" s="12">
        <v>0.0175168</v>
      </c>
      <c r="N462" s="12">
        <v>0.0201628</v>
      </c>
      <c r="O462" s="12">
        <v>0.0216067</v>
      </c>
      <c r="P462" s="12">
        <v>0.0210813</v>
      </c>
      <c r="Q462" s="12">
        <v>0.0204168</v>
      </c>
      <c r="R462" s="12">
        <v>0.0186775</v>
      </c>
      <c r="S462" s="12">
        <v>0.0169194</v>
      </c>
      <c r="T462" s="12">
        <v>0.0187474</v>
      </c>
      <c r="U462" s="12">
        <v>0.0208034</v>
      </c>
      <c r="V462" s="12">
        <v>0.0214697</v>
      </c>
      <c r="W462" s="12">
        <v>0.0241594</v>
      </c>
      <c r="X462" s="12">
        <v>0.0261218</v>
      </c>
      <c r="Y462" s="12">
        <v>0.0259256</v>
      </c>
      <c r="Z462" s="12">
        <v>0.0254832</v>
      </c>
      <c r="AA462" s="12">
        <v>0.0263375</v>
      </c>
      <c r="AB462" s="12">
        <v>0.027332</v>
      </c>
      <c r="AC462" s="12">
        <v>0.0268155</v>
      </c>
      <c r="AD462" s="12">
        <v>0.0265279</v>
      </c>
      <c r="AE462" s="12">
        <v>0.0262801</v>
      </c>
      <c r="AF462" s="12">
        <v>0.0267189</v>
      </c>
      <c r="AG462" s="12">
        <v>0.0286991</v>
      </c>
      <c r="AH462" s="12">
        <v>0.0282623</v>
      </c>
      <c r="AI462" s="12">
        <v>0.0253226</v>
      </c>
      <c r="AJ462" s="12">
        <v>0.0224853</v>
      </c>
      <c r="AK462" s="12">
        <v>0.0158644</v>
      </c>
      <c r="AL462" s="12">
        <v>0.0086672</v>
      </c>
      <c r="AM462" s="12">
        <v>0.0164379</v>
      </c>
      <c r="AN462" s="12">
        <v>0.0230233</v>
      </c>
      <c r="AO462" s="12">
        <v>0.0</v>
      </c>
      <c r="AP462" s="13">
        <v>0.0</v>
      </c>
      <c r="AQ462" s="13">
        <v>0.0</v>
      </c>
      <c r="AR462" s="13">
        <v>0.0</v>
      </c>
      <c r="AS462" s="13">
        <v>0.0</v>
      </c>
      <c r="AT462" s="2">
        <f>AVERAGE(L462:AM462)</f>
        <v>0.02216356429</v>
      </c>
      <c r="AU462" s="12">
        <f t="shared" si="43"/>
        <v>0.02219321034</v>
      </c>
      <c r="AV462" s="14"/>
      <c r="AW462" s="15"/>
      <c r="AX462" s="15"/>
    </row>
    <row r="463" ht="15.75" customHeight="1">
      <c r="A463" s="7">
        <v>240301.0</v>
      </c>
      <c r="B463" s="7">
        <v>76.0</v>
      </c>
      <c r="C463" s="7">
        <v>3.0</v>
      </c>
      <c r="D463" s="8" t="s">
        <v>254</v>
      </c>
      <c r="E463" s="7">
        <v>11.0</v>
      </c>
      <c r="F463" s="8" t="s">
        <v>48</v>
      </c>
      <c r="G463" s="8" t="s">
        <v>67</v>
      </c>
      <c r="H463" s="8" t="s">
        <v>50</v>
      </c>
      <c r="I463" s="22" t="s">
        <v>51</v>
      </c>
      <c r="J463" s="22" t="s">
        <v>52</v>
      </c>
      <c r="K463" s="11" t="s">
        <v>70</v>
      </c>
      <c r="L463" s="12">
        <v>0.0165088</v>
      </c>
      <c r="M463" s="12">
        <v>0.0168729</v>
      </c>
      <c r="N463" s="12">
        <v>0.0180148</v>
      </c>
      <c r="O463" s="12">
        <v>0.0173764</v>
      </c>
      <c r="P463" s="12">
        <v>0.0176468</v>
      </c>
      <c r="Q463" s="12">
        <v>0.0193564</v>
      </c>
      <c r="R463" s="12">
        <v>0.0185085</v>
      </c>
      <c r="S463" s="12">
        <v>0.0187865</v>
      </c>
      <c r="T463" s="12">
        <v>0.0208253</v>
      </c>
      <c r="U463" s="12">
        <v>0.0222448</v>
      </c>
      <c r="V463" s="12">
        <v>0.0209304</v>
      </c>
      <c r="W463" s="12">
        <v>0.0195913</v>
      </c>
      <c r="X463" s="12">
        <v>0.0203346</v>
      </c>
      <c r="Y463" s="12">
        <v>0.0212431</v>
      </c>
      <c r="Z463" s="12">
        <v>0.020817</v>
      </c>
      <c r="AA463" s="12">
        <v>0.0191313</v>
      </c>
      <c r="AB463" s="12">
        <v>0.021089</v>
      </c>
      <c r="AC463" s="12">
        <v>0.0230408</v>
      </c>
      <c r="AD463" s="12">
        <v>0.0240013</v>
      </c>
      <c r="AE463" s="12">
        <v>0.024228</v>
      </c>
      <c r="AF463" s="12">
        <v>0.0253698</v>
      </c>
      <c r="AG463" s="12">
        <v>0.0280595</v>
      </c>
      <c r="AH463" s="12">
        <v>0.0306428</v>
      </c>
      <c r="AI463" s="12">
        <v>0.0329044</v>
      </c>
      <c r="AJ463" s="12">
        <v>0.0324487</v>
      </c>
      <c r="AK463" s="12">
        <v>0.029141</v>
      </c>
      <c r="AL463" s="12">
        <v>0.0233597</v>
      </c>
      <c r="AM463" s="12">
        <v>0.0177645</v>
      </c>
      <c r="AN463" s="12">
        <v>0.0109246</v>
      </c>
      <c r="AO463" s="12">
        <v>0.0</v>
      </c>
      <c r="AP463" s="13">
        <v>0.0</v>
      </c>
      <c r="AQ463" s="13">
        <v>0.0</v>
      </c>
      <c r="AR463" s="13">
        <v>0.0</v>
      </c>
      <c r="AS463" s="13">
        <v>0.0</v>
      </c>
      <c r="AT463" s="2">
        <f>AVERAGE(L463:AN463)</f>
        <v>0.02176424138</v>
      </c>
      <c r="AU463" s="12">
        <f t="shared" si="43"/>
        <v>0.02176424138</v>
      </c>
      <c r="AV463" s="14"/>
      <c r="AW463" s="15"/>
      <c r="AX463" s="15"/>
    </row>
    <row r="464" ht="15.75" customHeight="1">
      <c r="A464" s="7">
        <v>240301.0</v>
      </c>
      <c r="B464" s="7">
        <v>76.0</v>
      </c>
      <c r="C464" s="7">
        <v>3.0</v>
      </c>
      <c r="D464" s="8" t="s">
        <v>255</v>
      </c>
      <c r="E464" s="7">
        <v>11.0</v>
      </c>
      <c r="F464" s="8" t="s">
        <v>48</v>
      </c>
      <c r="G464" s="8" t="s">
        <v>67</v>
      </c>
      <c r="H464" s="8" t="s">
        <v>63</v>
      </c>
      <c r="I464" s="22" t="s">
        <v>51</v>
      </c>
      <c r="J464" s="22" t="s">
        <v>52</v>
      </c>
      <c r="K464" s="11" t="s">
        <v>70</v>
      </c>
      <c r="L464" s="12">
        <v>0.0182747</v>
      </c>
      <c r="M464" s="12">
        <v>0.0178224</v>
      </c>
      <c r="N464" s="12">
        <v>0.017636</v>
      </c>
      <c r="O464" s="12">
        <v>0.0189987</v>
      </c>
      <c r="P464" s="12">
        <v>0.0199009</v>
      </c>
      <c r="Q464" s="12">
        <v>0.0193139</v>
      </c>
      <c r="R464" s="12">
        <v>0.0193929</v>
      </c>
      <c r="S464" s="12">
        <v>0.0196925</v>
      </c>
      <c r="T464" s="12">
        <v>0.0213513</v>
      </c>
      <c r="U464" s="12">
        <v>0.0229005</v>
      </c>
      <c r="V464" s="12">
        <v>0.0232121</v>
      </c>
      <c r="W464" s="12">
        <v>0.0230377</v>
      </c>
      <c r="X464" s="12">
        <v>0.0218358</v>
      </c>
      <c r="Y464" s="12">
        <v>0.0216909</v>
      </c>
      <c r="Z464" s="12">
        <v>0.0226999</v>
      </c>
      <c r="AA464" s="12">
        <v>0.0240881</v>
      </c>
      <c r="AB464" s="12">
        <v>0.0242966</v>
      </c>
      <c r="AC464" s="12">
        <v>0.0245006</v>
      </c>
      <c r="AD464" s="12">
        <v>0.0263656</v>
      </c>
      <c r="AE464" s="12">
        <v>0.0282018</v>
      </c>
      <c r="AF464" s="12">
        <v>0.0295933</v>
      </c>
      <c r="AG464" s="12">
        <v>0.0301364</v>
      </c>
      <c r="AH464" s="12">
        <v>0.0310665</v>
      </c>
      <c r="AI464" s="12">
        <v>0.0328322</v>
      </c>
      <c r="AJ464" s="12">
        <v>0.0325715</v>
      </c>
      <c r="AK464" s="12">
        <v>0.0249176</v>
      </c>
      <c r="AL464" s="12">
        <v>0.0134358</v>
      </c>
      <c r="AM464" s="12">
        <v>0.0038562</v>
      </c>
      <c r="AN464" s="12">
        <v>0.0</v>
      </c>
      <c r="AO464" s="12">
        <v>0.0</v>
      </c>
      <c r="AP464" s="13">
        <v>0.0</v>
      </c>
      <c r="AQ464" s="13">
        <v>0.0</v>
      </c>
      <c r="AR464" s="13">
        <v>0.0</v>
      </c>
      <c r="AS464" s="13">
        <v>0.0</v>
      </c>
      <c r="AT464" s="2">
        <f>AVERAGE(L464:AM464)</f>
        <v>0.02262937143</v>
      </c>
      <c r="AU464" s="12">
        <f t="shared" si="43"/>
        <v>0.02262937143</v>
      </c>
      <c r="AV464" s="14"/>
      <c r="AW464" s="15"/>
      <c r="AX464" s="15"/>
    </row>
    <row r="465" ht="15.75" customHeight="1">
      <c r="A465" s="7">
        <v>240301.0</v>
      </c>
      <c r="B465" s="7">
        <v>76.0</v>
      </c>
      <c r="C465" s="7">
        <v>3.0</v>
      </c>
      <c r="D465" s="8" t="s">
        <v>256</v>
      </c>
      <c r="E465" s="7">
        <v>11.0</v>
      </c>
      <c r="F465" s="8" t="s">
        <v>48</v>
      </c>
      <c r="G465" s="8" t="s">
        <v>67</v>
      </c>
      <c r="H465" s="8" t="s">
        <v>61</v>
      </c>
      <c r="I465" s="22" t="s">
        <v>51</v>
      </c>
      <c r="J465" s="22" t="s">
        <v>52</v>
      </c>
      <c r="K465" s="11" t="s">
        <v>70</v>
      </c>
      <c r="L465" s="12">
        <v>0.015711</v>
      </c>
      <c r="M465" s="12">
        <v>0.0159824</v>
      </c>
      <c r="N465" s="12">
        <v>0.0174534</v>
      </c>
      <c r="O465" s="12">
        <v>0.0192555</v>
      </c>
      <c r="P465" s="12">
        <v>0.0191146</v>
      </c>
      <c r="Q465" s="12">
        <v>0.0188479</v>
      </c>
      <c r="R465" s="12">
        <v>0.0181604</v>
      </c>
      <c r="S465" s="12">
        <v>0.0178199</v>
      </c>
      <c r="T465" s="12">
        <v>0.0193869</v>
      </c>
      <c r="U465" s="12">
        <v>0.0223408</v>
      </c>
      <c r="V465" s="12">
        <v>0.0241638</v>
      </c>
      <c r="W465" s="12">
        <v>0.0234417</v>
      </c>
      <c r="X465" s="12">
        <v>0.0231957</v>
      </c>
      <c r="Y465" s="12">
        <v>0.0238167</v>
      </c>
      <c r="Z465" s="12">
        <v>0.0225579</v>
      </c>
      <c r="AA465" s="12">
        <v>0.0209204</v>
      </c>
      <c r="AB465" s="12">
        <v>0.0208546</v>
      </c>
      <c r="AC465" s="12">
        <v>0.0222558</v>
      </c>
      <c r="AD465" s="12">
        <v>0.0235518</v>
      </c>
      <c r="AE465" s="12">
        <v>0.0258378</v>
      </c>
      <c r="AF465" s="12">
        <v>0.0280595</v>
      </c>
      <c r="AG465" s="12">
        <v>0.0272267</v>
      </c>
      <c r="AH465" s="12">
        <v>0.0275712</v>
      </c>
      <c r="AI465" s="12">
        <v>0.0290913</v>
      </c>
      <c r="AJ465" s="12">
        <v>0.0296538</v>
      </c>
      <c r="AK465" s="12">
        <v>0.0296254</v>
      </c>
      <c r="AL465" s="12">
        <v>0.0199606</v>
      </c>
      <c r="AM465" s="12">
        <v>0.0031692</v>
      </c>
      <c r="AN465" s="12">
        <v>4.049E-4</v>
      </c>
      <c r="AO465" s="12">
        <v>0.0</v>
      </c>
      <c r="AP465" s="13">
        <v>0.0</v>
      </c>
      <c r="AQ465" s="13">
        <v>0.0</v>
      </c>
      <c r="AR465" s="13">
        <v>0.0</v>
      </c>
      <c r="AS465" s="13">
        <v>0.0</v>
      </c>
      <c r="AT465" s="2">
        <f t="shared" ref="AT465:AT466" si="54">AVERAGE(L465:AN465)</f>
        <v>0.02101488276</v>
      </c>
      <c r="AU465" s="12">
        <f t="shared" si="43"/>
        <v>0.02101488276</v>
      </c>
      <c r="AV465" s="14"/>
      <c r="AW465" s="15"/>
      <c r="AX465" s="15"/>
    </row>
    <row r="466" ht="15.75" customHeight="1">
      <c r="A466" s="7">
        <v>240313.0</v>
      </c>
      <c r="B466" s="7">
        <v>76.0</v>
      </c>
      <c r="C466" s="7">
        <v>3.0</v>
      </c>
      <c r="D466" s="8" t="s">
        <v>257</v>
      </c>
      <c r="E466" s="7">
        <v>11.0</v>
      </c>
      <c r="F466" s="8" t="s">
        <v>48</v>
      </c>
      <c r="G466" s="8" t="s">
        <v>49</v>
      </c>
      <c r="H466" s="8" t="s">
        <v>50</v>
      </c>
      <c r="I466" s="22" t="s">
        <v>51</v>
      </c>
      <c r="J466" s="22" t="s">
        <v>52</v>
      </c>
      <c r="K466" s="11" t="s">
        <v>70</v>
      </c>
      <c r="L466" s="12">
        <v>0.0203402</v>
      </c>
      <c r="M466" s="12">
        <v>0.0196602</v>
      </c>
      <c r="N466" s="12">
        <v>0.0201173</v>
      </c>
      <c r="O466" s="12">
        <v>0.0189626</v>
      </c>
      <c r="P466" s="12">
        <v>0.017362</v>
      </c>
      <c r="Q466" s="12">
        <v>0.0178245</v>
      </c>
      <c r="R466" s="12">
        <v>0.0177142</v>
      </c>
      <c r="S466" s="12">
        <v>0.0170286</v>
      </c>
      <c r="T466" s="12">
        <v>0.0159781</v>
      </c>
      <c r="U466" s="12">
        <v>0.0168083</v>
      </c>
      <c r="V466" s="12">
        <v>0.0204961</v>
      </c>
      <c r="W466" s="12">
        <v>0.0216793</v>
      </c>
      <c r="X466" s="12">
        <v>0.0214023</v>
      </c>
      <c r="Y466" s="12">
        <v>0.0205638</v>
      </c>
      <c r="Z466" s="12">
        <v>0.0196629</v>
      </c>
      <c r="AA466" s="12">
        <v>0.0188247</v>
      </c>
      <c r="AB466" s="12">
        <v>0.0197283</v>
      </c>
      <c r="AC466" s="12">
        <v>0.0217606</v>
      </c>
      <c r="AD466" s="12">
        <v>0.0225938</v>
      </c>
      <c r="AE466" s="12">
        <v>0.0228542</v>
      </c>
      <c r="AF466" s="12">
        <v>0.0239931</v>
      </c>
      <c r="AG466" s="12">
        <v>0.0271263</v>
      </c>
      <c r="AH466" s="12">
        <v>0.0313372</v>
      </c>
      <c r="AI466" s="12">
        <v>0.0332102</v>
      </c>
      <c r="AJ466" s="12">
        <v>0.0319302</v>
      </c>
      <c r="AK466" s="12">
        <v>0.0217344</v>
      </c>
      <c r="AL466" s="12">
        <v>0.0076365</v>
      </c>
      <c r="AM466" s="12">
        <v>0.001025</v>
      </c>
      <c r="AN466" s="12">
        <v>0.0011029</v>
      </c>
      <c r="AO466" s="12">
        <v>0.0</v>
      </c>
      <c r="AP466" s="13">
        <v>0.0</v>
      </c>
      <c r="AQ466" s="13">
        <v>0.0</v>
      </c>
      <c r="AR466" s="13">
        <v>0.0</v>
      </c>
      <c r="AS466" s="13">
        <v>0.0</v>
      </c>
      <c r="AT466" s="2">
        <f t="shared" si="54"/>
        <v>0.01967095862</v>
      </c>
      <c r="AU466" s="12">
        <f t="shared" si="43"/>
        <v>0.01967095862</v>
      </c>
      <c r="AV466" s="14"/>
      <c r="AW466" s="15"/>
      <c r="AX466" s="15"/>
    </row>
    <row r="467" ht="15.75" customHeight="1">
      <c r="A467" s="7">
        <v>240313.0</v>
      </c>
      <c r="B467" s="7">
        <v>76.0</v>
      </c>
      <c r="C467" s="7">
        <v>3.0</v>
      </c>
      <c r="D467" s="8" t="s">
        <v>258</v>
      </c>
      <c r="E467" s="7">
        <v>11.0</v>
      </c>
      <c r="F467" s="8" t="s">
        <v>48</v>
      </c>
      <c r="G467" s="8" t="s">
        <v>49</v>
      </c>
      <c r="H467" s="8" t="s">
        <v>63</v>
      </c>
      <c r="I467" s="22" t="s">
        <v>51</v>
      </c>
      <c r="J467" s="22" t="s">
        <v>52</v>
      </c>
      <c r="K467" s="11" t="s">
        <v>70</v>
      </c>
      <c r="L467" s="12">
        <v>0.0170529</v>
      </c>
      <c r="M467" s="12">
        <v>0.0184651</v>
      </c>
      <c r="N467" s="12">
        <v>0.019947</v>
      </c>
      <c r="O467" s="12">
        <v>0.0197775</v>
      </c>
      <c r="P467" s="12">
        <v>0.0195114</v>
      </c>
      <c r="Q467" s="12">
        <v>0.0197223</v>
      </c>
      <c r="R467" s="12">
        <v>0.0203297</v>
      </c>
      <c r="S467" s="12">
        <v>0.0203268</v>
      </c>
      <c r="T467" s="12">
        <v>0.0186122</v>
      </c>
      <c r="U467" s="12">
        <v>0.0179507</v>
      </c>
      <c r="V467" s="12">
        <v>0.0174024</v>
      </c>
      <c r="W467" s="12">
        <v>0.0174441</v>
      </c>
      <c r="X467" s="12">
        <v>0.0201823</v>
      </c>
      <c r="Y467" s="12">
        <v>0.0235295</v>
      </c>
      <c r="Z467" s="12">
        <v>0.0230097</v>
      </c>
      <c r="AA467" s="12">
        <v>0.0226447</v>
      </c>
      <c r="AB467" s="12">
        <v>0.023511</v>
      </c>
      <c r="AC467" s="12">
        <v>0.0235991</v>
      </c>
      <c r="AD467" s="12">
        <v>0.0238875</v>
      </c>
      <c r="AE467" s="12">
        <v>0.0246478</v>
      </c>
      <c r="AF467" s="12">
        <v>0.0248199</v>
      </c>
      <c r="AG467" s="12">
        <v>0.0243502</v>
      </c>
      <c r="AH467" s="12">
        <v>0.024916</v>
      </c>
      <c r="AI467" s="12">
        <v>0.0251967</v>
      </c>
      <c r="AJ467" s="12">
        <v>0.0250718</v>
      </c>
      <c r="AK467" s="12">
        <v>0.0248349</v>
      </c>
      <c r="AL467" s="12">
        <v>0.019798</v>
      </c>
      <c r="AM467" s="12">
        <v>0.0112525</v>
      </c>
      <c r="AN467" s="12">
        <v>0.0028236</v>
      </c>
      <c r="AO467" s="12">
        <v>0.0035334</v>
      </c>
      <c r="AP467" s="13">
        <v>0.0</v>
      </c>
      <c r="AQ467" s="13">
        <v>0.0</v>
      </c>
      <c r="AR467" s="13">
        <v>0.0</v>
      </c>
      <c r="AS467" s="13">
        <v>0.0</v>
      </c>
      <c r="AT467" s="2">
        <f>AVERAGE(L467:AO467)</f>
        <v>0.01993835667</v>
      </c>
      <c r="AU467" s="12">
        <f t="shared" si="43"/>
        <v>0.01993835667</v>
      </c>
      <c r="AV467" s="14"/>
      <c r="AW467" s="15"/>
      <c r="AX467" s="15"/>
    </row>
    <row r="468" ht="15.75" customHeight="1">
      <c r="A468" s="7">
        <v>240313.0</v>
      </c>
      <c r="B468" s="7">
        <v>76.0</v>
      </c>
      <c r="C468" s="7">
        <v>3.0</v>
      </c>
      <c r="D468" s="8" t="s">
        <v>259</v>
      </c>
      <c r="E468" s="7">
        <v>11.0</v>
      </c>
      <c r="F468" s="8" t="s">
        <v>48</v>
      </c>
      <c r="G468" s="8" t="s">
        <v>49</v>
      </c>
      <c r="H468" s="8" t="s">
        <v>65</v>
      </c>
      <c r="I468" s="22" t="s">
        <v>51</v>
      </c>
      <c r="J468" s="22" t="s">
        <v>52</v>
      </c>
      <c r="K468" s="11" t="s">
        <v>70</v>
      </c>
      <c r="L468" s="12">
        <v>0.0177859</v>
      </c>
      <c r="M468" s="12">
        <v>0.0179773</v>
      </c>
      <c r="N468" s="12">
        <v>0.0180688</v>
      </c>
      <c r="O468" s="12">
        <v>0.0190192</v>
      </c>
      <c r="P468" s="12">
        <v>0.0207132</v>
      </c>
      <c r="Q468" s="12">
        <v>0.0202981</v>
      </c>
      <c r="R468" s="12">
        <v>0.0195906</v>
      </c>
      <c r="S468" s="12">
        <v>0.0202155</v>
      </c>
      <c r="T468" s="12">
        <v>0.0209779</v>
      </c>
      <c r="U468" s="12">
        <v>0.0211319</v>
      </c>
      <c r="V468" s="12">
        <v>0.0223398</v>
      </c>
      <c r="W468" s="12">
        <v>0.0232789</v>
      </c>
      <c r="X468" s="12">
        <v>0.0229532</v>
      </c>
      <c r="Y468" s="12">
        <v>0.0240404</v>
      </c>
      <c r="Z468" s="12">
        <v>0.0260349</v>
      </c>
      <c r="AA468" s="12">
        <v>0.0291549</v>
      </c>
      <c r="AB468" s="12">
        <v>0.0307334</v>
      </c>
      <c r="AC468" s="12">
        <v>0.0322862</v>
      </c>
      <c r="AD468" s="12">
        <v>0.0335466</v>
      </c>
      <c r="AE468" s="12">
        <v>0.0343347</v>
      </c>
      <c r="AF468" s="12">
        <v>0.0328876</v>
      </c>
      <c r="AG468" s="12">
        <v>0.0288021</v>
      </c>
      <c r="AH468" s="12">
        <v>0.0280088</v>
      </c>
      <c r="AI468" s="12">
        <v>0.0303698</v>
      </c>
      <c r="AJ468" s="12">
        <v>0.0294033</v>
      </c>
      <c r="AK468" s="12">
        <v>0.0229177</v>
      </c>
      <c r="AL468" s="12">
        <v>0.0136032</v>
      </c>
      <c r="AM468" s="12">
        <v>0.0</v>
      </c>
      <c r="AN468" s="12">
        <v>0.0</v>
      </c>
      <c r="AO468" s="12">
        <v>0.0</v>
      </c>
      <c r="AP468" s="13">
        <v>0.0</v>
      </c>
      <c r="AQ468" s="13">
        <v>0.0</v>
      </c>
      <c r="AR468" s="13">
        <v>0.0</v>
      </c>
      <c r="AS468" s="13">
        <v>0.0</v>
      </c>
      <c r="AT468" s="2">
        <f>AVERAGE(L468:AL468)</f>
        <v>0.0244619963</v>
      </c>
      <c r="AU468" s="12">
        <f t="shared" si="43"/>
        <v>0.0244619963</v>
      </c>
      <c r="AV468" s="14"/>
      <c r="AW468" s="15"/>
      <c r="AX468" s="15"/>
    </row>
    <row r="469" ht="15.75" customHeight="1">
      <c r="A469" s="7">
        <v>240313.0</v>
      </c>
      <c r="B469" s="7">
        <v>76.0</v>
      </c>
      <c r="C469" s="7">
        <v>3.0</v>
      </c>
      <c r="D469" s="8" t="s">
        <v>260</v>
      </c>
      <c r="E469" s="7">
        <v>11.0</v>
      </c>
      <c r="F469" s="8" t="s">
        <v>48</v>
      </c>
      <c r="G469" s="8" t="s">
        <v>49</v>
      </c>
      <c r="H469" s="8" t="s">
        <v>61</v>
      </c>
      <c r="I469" s="22" t="s">
        <v>51</v>
      </c>
      <c r="J469" s="22" t="s">
        <v>52</v>
      </c>
      <c r="K469" s="11" t="s">
        <v>70</v>
      </c>
      <c r="L469" s="12">
        <v>0.0221048</v>
      </c>
      <c r="M469" s="12">
        <v>0.019801</v>
      </c>
      <c r="N469" s="12">
        <v>0.0182835</v>
      </c>
      <c r="O469" s="12">
        <v>0.0180273</v>
      </c>
      <c r="P469" s="12">
        <v>0.0197258</v>
      </c>
      <c r="Q469" s="12">
        <v>0.0203425</v>
      </c>
      <c r="R469" s="12">
        <v>0.0186195</v>
      </c>
      <c r="S469" s="12">
        <v>0.0181557</v>
      </c>
      <c r="T469" s="12">
        <v>0.0192082</v>
      </c>
      <c r="U469" s="12">
        <v>0.0199762</v>
      </c>
      <c r="V469" s="12">
        <v>0.0204801</v>
      </c>
      <c r="W469" s="12">
        <v>0.0208284</v>
      </c>
      <c r="X469" s="12">
        <v>0.0211952</v>
      </c>
      <c r="Y469" s="12">
        <v>0.0225635</v>
      </c>
      <c r="Z469" s="12">
        <v>0.0237013</v>
      </c>
      <c r="AA469" s="12">
        <v>0.0244264</v>
      </c>
      <c r="AB469" s="12">
        <v>0.0241441</v>
      </c>
      <c r="AC469" s="12">
        <v>0.0242603</v>
      </c>
      <c r="AD469" s="12">
        <v>0.0251653</v>
      </c>
      <c r="AE469" s="12">
        <v>0.0265617</v>
      </c>
      <c r="AF469" s="12">
        <v>0.0271281</v>
      </c>
      <c r="AG469" s="12">
        <v>0.026775</v>
      </c>
      <c r="AH469" s="12">
        <v>0.0277994</v>
      </c>
      <c r="AI469" s="12">
        <v>0.0302384</v>
      </c>
      <c r="AJ469" s="12">
        <v>0.0305417</v>
      </c>
      <c r="AK469" s="12">
        <v>0.0258616</v>
      </c>
      <c r="AL469" s="12">
        <v>0.0198795</v>
      </c>
      <c r="AM469" s="12">
        <v>0.0138537</v>
      </c>
      <c r="AN469" s="12">
        <v>0.0055347</v>
      </c>
      <c r="AO469" s="12">
        <v>0.0</v>
      </c>
      <c r="AP469" s="13">
        <v>0.0</v>
      </c>
      <c r="AQ469" s="13">
        <v>0.0</v>
      </c>
      <c r="AR469" s="13">
        <v>0.0</v>
      </c>
      <c r="AS469" s="13">
        <v>0.0</v>
      </c>
      <c r="AT469" s="2">
        <f>AVERAGE(L469:AN469)</f>
        <v>0.02190285862</v>
      </c>
      <c r="AU469" s="12">
        <f t="shared" si="43"/>
        <v>0.02190285862</v>
      </c>
      <c r="AV469" s="14"/>
      <c r="AW469" s="15"/>
      <c r="AX469" s="15"/>
    </row>
    <row r="470" ht="15.75" customHeight="1">
      <c r="A470" s="7">
        <v>240319.0</v>
      </c>
      <c r="B470" s="7">
        <v>76.0</v>
      </c>
      <c r="C470" s="7">
        <v>3.0</v>
      </c>
      <c r="D470" s="8" t="s">
        <v>261</v>
      </c>
      <c r="E470" s="7">
        <v>11.0</v>
      </c>
      <c r="F470" s="8" t="s">
        <v>56</v>
      </c>
      <c r="G470" s="8" t="s">
        <v>49</v>
      </c>
      <c r="H470" s="8" t="s">
        <v>61</v>
      </c>
      <c r="I470" s="22" t="s">
        <v>51</v>
      </c>
      <c r="J470" s="22" t="s">
        <v>52</v>
      </c>
      <c r="K470" s="11" t="s">
        <v>76</v>
      </c>
      <c r="L470" s="12">
        <v>0.0194937</v>
      </c>
      <c r="M470" s="12">
        <v>0.0164131</v>
      </c>
      <c r="N470" s="12">
        <v>0.0151002</v>
      </c>
      <c r="O470" s="12">
        <v>0.014486</v>
      </c>
      <c r="P470" s="12">
        <v>0.0157354</v>
      </c>
      <c r="Q470" s="12">
        <v>0.0181933</v>
      </c>
      <c r="R470" s="12">
        <v>0.0193335</v>
      </c>
      <c r="S470" s="12">
        <v>0.0199745</v>
      </c>
      <c r="T470" s="12">
        <v>0.020741</v>
      </c>
      <c r="U470" s="12">
        <v>0.0204017</v>
      </c>
      <c r="V470" s="12">
        <v>0.0196243</v>
      </c>
      <c r="W470" s="12">
        <v>0.0206966</v>
      </c>
      <c r="X470" s="12">
        <v>0.0220329</v>
      </c>
      <c r="Y470" s="12">
        <v>0.0213787</v>
      </c>
      <c r="Z470" s="12">
        <v>0.0211299</v>
      </c>
      <c r="AA470" s="12">
        <v>0.0228036</v>
      </c>
      <c r="AB470" s="12">
        <v>0.0221859</v>
      </c>
      <c r="AC470" s="12">
        <v>0.0203107</v>
      </c>
      <c r="AD470" s="12">
        <v>0.0206975</v>
      </c>
      <c r="AE470" s="12">
        <v>0.0223987</v>
      </c>
      <c r="AF470" s="12">
        <v>0.0244754</v>
      </c>
      <c r="AG470" s="12">
        <v>0.0265081</v>
      </c>
      <c r="AH470" s="12">
        <v>0.0286653</v>
      </c>
      <c r="AI470" s="12">
        <v>0.0308965</v>
      </c>
      <c r="AJ470" s="12">
        <v>0.0307248</v>
      </c>
      <c r="AK470" s="12">
        <v>0.0270735</v>
      </c>
      <c r="AL470" s="12">
        <v>0.0199791</v>
      </c>
      <c r="AM470" s="12">
        <v>0.0</v>
      </c>
      <c r="AN470" s="12">
        <v>0.0</v>
      </c>
      <c r="AO470" s="12">
        <v>0.0</v>
      </c>
      <c r="AP470" s="13">
        <v>0.0</v>
      </c>
      <c r="AQ470" s="13">
        <v>0.0</v>
      </c>
      <c r="AR470" s="13">
        <v>0.0</v>
      </c>
      <c r="AS470" s="13">
        <v>0.0</v>
      </c>
      <c r="AT470" s="2">
        <f>AVERAGE(L470:AL470)</f>
        <v>0.02153532963</v>
      </c>
      <c r="AU470" s="12">
        <f t="shared" si="43"/>
        <v>0.02153532963</v>
      </c>
      <c r="AV470" s="14"/>
      <c r="AW470" s="15"/>
      <c r="AX470" s="15"/>
    </row>
    <row r="471" ht="15.75" customHeight="1">
      <c r="A471" s="7">
        <v>240319.0</v>
      </c>
      <c r="B471" s="7">
        <v>76.0</v>
      </c>
      <c r="C471" s="7">
        <v>3.0</v>
      </c>
      <c r="D471" s="8" t="s">
        <v>262</v>
      </c>
      <c r="E471" s="7">
        <v>11.0</v>
      </c>
      <c r="F471" s="8" t="s">
        <v>56</v>
      </c>
      <c r="G471" s="8" t="s">
        <v>49</v>
      </c>
      <c r="H471" s="8" t="s">
        <v>50</v>
      </c>
      <c r="I471" s="22" t="s">
        <v>51</v>
      </c>
      <c r="J471" s="22" t="s">
        <v>52</v>
      </c>
      <c r="K471" s="11" t="s">
        <v>76</v>
      </c>
      <c r="L471" s="12">
        <v>0.017901</v>
      </c>
      <c r="M471" s="12">
        <v>0.0182432</v>
      </c>
      <c r="N471" s="12">
        <v>0.01723</v>
      </c>
      <c r="O471" s="12">
        <v>0.0164946</v>
      </c>
      <c r="P471" s="12">
        <v>0.0177338</v>
      </c>
      <c r="Q471" s="12">
        <v>0.0180728</v>
      </c>
      <c r="R471" s="12">
        <v>0.0174284</v>
      </c>
      <c r="S471" s="12">
        <v>0.0179515</v>
      </c>
      <c r="T471" s="12">
        <v>0.0191693</v>
      </c>
      <c r="U471" s="12">
        <v>0.0179258</v>
      </c>
      <c r="V471" s="12">
        <v>0.0168836</v>
      </c>
      <c r="W471" s="12">
        <v>0.0180068</v>
      </c>
      <c r="X471" s="12">
        <v>0.017614</v>
      </c>
      <c r="Y471" s="12">
        <v>0.0176951</v>
      </c>
      <c r="Z471" s="12">
        <v>0.0185415</v>
      </c>
      <c r="AA471" s="12">
        <v>0.019333</v>
      </c>
      <c r="AB471" s="12">
        <v>0.0207464</v>
      </c>
      <c r="AC471" s="12">
        <v>0.0212645</v>
      </c>
      <c r="AD471" s="12">
        <v>0.0206938</v>
      </c>
      <c r="AE471" s="12">
        <v>0.0218353</v>
      </c>
      <c r="AF471" s="12">
        <v>0.023774</v>
      </c>
      <c r="AG471" s="12">
        <v>0.0235582</v>
      </c>
      <c r="AH471" s="12">
        <v>0.022264</v>
      </c>
      <c r="AI471" s="12">
        <v>0.0229024</v>
      </c>
      <c r="AJ471" s="12">
        <v>0.0238329</v>
      </c>
      <c r="AK471" s="12">
        <v>0.020303</v>
      </c>
      <c r="AL471" s="12">
        <v>0.0144884</v>
      </c>
      <c r="AM471" s="12">
        <v>0.0080559</v>
      </c>
      <c r="AN471" s="12">
        <v>0.0</v>
      </c>
      <c r="AO471" s="12">
        <v>0.0</v>
      </c>
      <c r="AP471" s="13">
        <v>0.0</v>
      </c>
      <c r="AQ471" s="13">
        <v>0.0</v>
      </c>
      <c r="AR471" s="13">
        <v>0.0</v>
      </c>
      <c r="AS471" s="13">
        <v>0.0</v>
      </c>
      <c r="AT471" s="2">
        <f>AVERAGE(L471:AM471)</f>
        <v>0.01892654286</v>
      </c>
      <c r="AU471" s="12">
        <f t="shared" si="43"/>
        <v>0.01892654286</v>
      </c>
      <c r="AV471" s="14"/>
      <c r="AW471" s="15"/>
      <c r="AX471" s="15"/>
    </row>
    <row r="472" ht="15.75" customHeight="1">
      <c r="A472" s="7">
        <v>240319.0</v>
      </c>
      <c r="B472" s="7">
        <v>76.0</v>
      </c>
      <c r="C472" s="7">
        <v>3.0</v>
      </c>
      <c r="D472" s="8" t="s">
        <v>263</v>
      </c>
      <c r="E472" s="7">
        <v>11.0</v>
      </c>
      <c r="F472" s="8" t="s">
        <v>56</v>
      </c>
      <c r="G472" s="8" t="s">
        <v>49</v>
      </c>
      <c r="H472" s="8" t="s">
        <v>63</v>
      </c>
      <c r="I472" s="22" t="s">
        <v>51</v>
      </c>
      <c r="J472" s="22" t="s">
        <v>52</v>
      </c>
      <c r="K472" s="11" t="s">
        <v>76</v>
      </c>
      <c r="L472" s="12">
        <v>0.0139713</v>
      </c>
      <c r="M472" s="12">
        <v>0.0170355</v>
      </c>
      <c r="N472" s="12">
        <v>0.0171381</v>
      </c>
      <c r="O472" s="12">
        <v>0.0165429</v>
      </c>
      <c r="P472" s="12">
        <v>0.0169605</v>
      </c>
      <c r="Q472" s="12">
        <v>0.0177468</v>
      </c>
      <c r="R472" s="12">
        <v>0.01886</v>
      </c>
      <c r="S472" s="12">
        <v>0.019402</v>
      </c>
      <c r="T472" s="12">
        <v>0.0214202</v>
      </c>
      <c r="U472" s="12">
        <v>0.02203</v>
      </c>
      <c r="V472" s="12">
        <v>0.0216906</v>
      </c>
      <c r="W472" s="12">
        <v>0.0225174</v>
      </c>
      <c r="X472" s="12">
        <v>0.0213621</v>
      </c>
      <c r="Y472" s="12">
        <v>0.0203266</v>
      </c>
      <c r="Z472" s="12">
        <v>0.022972</v>
      </c>
      <c r="AA472" s="12">
        <v>0.0245356</v>
      </c>
      <c r="AB472" s="12">
        <v>0.0244564</v>
      </c>
      <c r="AC472" s="12">
        <v>0.0248385</v>
      </c>
      <c r="AD472" s="12">
        <v>0.0246161</v>
      </c>
      <c r="AE472" s="12">
        <v>0.0249364</v>
      </c>
      <c r="AF472" s="12">
        <v>0.0241802</v>
      </c>
      <c r="AG472" s="12">
        <v>0.021729</v>
      </c>
      <c r="AH472" s="12">
        <v>0.018026</v>
      </c>
      <c r="AI472" s="12">
        <v>0.014624</v>
      </c>
      <c r="AJ472" s="12">
        <v>0.0100545</v>
      </c>
      <c r="AK472" s="12">
        <v>0.0048698</v>
      </c>
      <c r="AL472" s="12">
        <v>0.0</v>
      </c>
      <c r="AM472" s="12">
        <v>0.0</v>
      </c>
      <c r="AN472" s="12">
        <v>0.0</v>
      </c>
      <c r="AO472" s="12">
        <v>0.0</v>
      </c>
      <c r="AP472" s="13">
        <v>0.0</v>
      </c>
      <c r="AQ472" s="13">
        <v>0.0</v>
      </c>
      <c r="AR472" s="13">
        <v>0.0</v>
      </c>
      <c r="AS472" s="13">
        <v>0.0</v>
      </c>
      <c r="AT472" s="2">
        <f>AVERAGE(L472:AK472)</f>
        <v>0.01949394231</v>
      </c>
      <c r="AU472" s="12">
        <f t="shared" si="43"/>
        <v>0.01949394231</v>
      </c>
      <c r="AV472" s="14"/>
      <c r="AW472" s="15"/>
      <c r="AX472" s="15"/>
    </row>
    <row r="473" ht="15.75" customHeight="1">
      <c r="A473" s="7">
        <v>240319.0</v>
      </c>
      <c r="B473" s="7">
        <v>76.0</v>
      </c>
      <c r="C473" s="7">
        <v>3.0</v>
      </c>
      <c r="D473" s="8" t="s">
        <v>264</v>
      </c>
      <c r="E473" s="7">
        <v>11.0</v>
      </c>
      <c r="F473" s="8" t="s">
        <v>56</v>
      </c>
      <c r="G473" s="8" t="s">
        <v>49</v>
      </c>
      <c r="H473" s="8" t="s">
        <v>65</v>
      </c>
      <c r="I473" s="22" t="s">
        <v>51</v>
      </c>
      <c r="J473" s="22" t="s">
        <v>52</v>
      </c>
      <c r="K473" s="11" t="s">
        <v>76</v>
      </c>
      <c r="L473" s="12">
        <v>0.0120948</v>
      </c>
      <c r="M473" s="12">
        <v>0.0136038</v>
      </c>
      <c r="N473" s="12">
        <v>0.0142705</v>
      </c>
      <c r="O473" s="12">
        <v>0.0142672</v>
      </c>
      <c r="P473" s="12">
        <v>0.013159</v>
      </c>
      <c r="Q473" s="12">
        <v>0.0120982</v>
      </c>
      <c r="R473" s="12">
        <v>0.0144329</v>
      </c>
      <c r="S473" s="12">
        <v>0.0163923</v>
      </c>
      <c r="T473" s="12">
        <v>0.0165206</v>
      </c>
      <c r="U473" s="12">
        <v>0.0179084</v>
      </c>
      <c r="V473" s="12">
        <v>0.0189769</v>
      </c>
      <c r="W473" s="12">
        <v>0.0186476</v>
      </c>
      <c r="X473" s="12">
        <v>0.018625</v>
      </c>
      <c r="Y473" s="12">
        <v>0.0186903</v>
      </c>
      <c r="Z473" s="12">
        <v>0.0190548</v>
      </c>
      <c r="AA473" s="12">
        <v>0.0201656</v>
      </c>
      <c r="AB473" s="12">
        <v>0.0213895</v>
      </c>
      <c r="AC473" s="12">
        <v>0.0216423</v>
      </c>
      <c r="AD473" s="12">
        <v>0.0199926</v>
      </c>
      <c r="AE473" s="12">
        <v>0.0202795</v>
      </c>
      <c r="AF473" s="12">
        <v>0.0210463</v>
      </c>
      <c r="AG473" s="12">
        <v>0.0202423</v>
      </c>
      <c r="AH473" s="12">
        <v>0.0186502</v>
      </c>
      <c r="AI473" s="12">
        <v>0.0156156</v>
      </c>
      <c r="AJ473" s="12">
        <v>0.0121987</v>
      </c>
      <c r="AK473" s="12">
        <v>0.0099122</v>
      </c>
      <c r="AL473" s="12">
        <v>0.0077893</v>
      </c>
      <c r="AM473" s="12">
        <v>0.0049356</v>
      </c>
      <c r="AN473" s="12">
        <v>0.0022078</v>
      </c>
      <c r="AO473" s="12">
        <v>0.0</v>
      </c>
      <c r="AP473" s="13">
        <v>0.0</v>
      </c>
      <c r="AQ473" s="13">
        <v>0.0</v>
      </c>
      <c r="AR473" s="13">
        <v>0.0</v>
      </c>
      <c r="AS473" s="13">
        <v>0.0</v>
      </c>
      <c r="AT473" s="2">
        <f>AVERAGE(L473:AN473)</f>
        <v>0.01568309655</v>
      </c>
      <c r="AU473" s="12">
        <f t="shared" si="43"/>
        <v>0.01568309655</v>
      </c>
      <c r="AV473" s="14"/>
      <c r="AW473" s="15"/>
      <c r="AX473" s="15"/>
    </row>
    <row r="474" ht="15.75" customHeight="1">
      <c r="A474" s="7">
        <v>240320.0</v>
      </c>
      <c r="B474" s="7">
        <v>76.0</v>
      </c>
      <c r="C474" s="7">
        <v>3.0</v>
      </c>
      <c r="D474" s="8" t="s">
        <v>265</v>
      </c>
      <c r="E474" s="7">
        <v>11.0</v>
      </c>
      <c r="F474" s="8" t="s">
        <v>56</v>
      </c>
      <c r="G474" s="8" t="s">
        <v>67</v>
      </c>
      <c r="H474" s="8" t="s">
        <v>65</v>
      </c>
      <c r="I474" s="22" t="s">
        <v>51</v>
      </c>
      <c r="J474" s="22" t="s">
        <v>52</v>
      </c>
      <c r="K474" s="11" t="s">
        <v>76</v>
      </c>
      <c r="L474" s="12">
        <v>0.0137829</v>
      </c>
      <c r="M474" s="12">
        <v>0.0134325</v>
      </c>
      <c r="N474" s="12">
        <v>0.0137127</v>
      </c>
      <c r="O474" s="12">
        <v>0.0145425</v>
      </c>
      <c r="P474" s="12">
        <v>0.0159037</v>
      </c>
      <c r="Q474" s="12">
        <v>0.0165854</v>
      </c>
      <c r="R474" s="12">
        <v>0.0163894</v>
      </c>
      <c r="S474" s="12">
        <v>0.0177923</v>
      </c>
      <c r="T474" s="12">
        <v>0.0202388</v>
      </c>
      <c r="U474" s="12">
        <v>0.0204131</v>
      </c>
      <c r="V474" s="12">
        <v>0.0194057</v>
      </c>
      <c r="W474" s="12">
        <v>0.0191168</v>
      </c>
      <c r="X474" s="12">
        <v>0.0198615</v>
      </c>
      <c r="Y474" s="12">
        <v>0.0216132</v>
      </c>
      <c r="Z474" s="12">
        <v>0.0213898</v>
      </c>
      <c r="AA474" s="12">
        <v>0.0223539</v>
      </c>
      <c r="AB474" s="12">
        <v>0.0252386</v>
      </c>
      <c r="AC474" s="12">
        <v>0.0268693</v>
      </c>
      <c r="AD474" s="12">
        <v>0.026533</v>
      </c>
      <c r="AE474" s="12">
        <v>0.0258847</v>
      </c>
      <c r="AF474" s="12">
        <v>0.0258883</v>
      </c>
      <c r="AG474" s="12">
        <v>0.0234551</v>
      </c>
      <c r="AH474" s="12">
        <v>0.021566</v>
      </c>
      <c r="AI474" s="12">
        <v>0.0210029</v>
      </c>
      <c r="AJ474" s="12">
        <v>0.0209165</v>
      </c>
      <c r="AK474" s="12">
        <v>0.0235889</v>
      </c>
      <c r="AL474" s="12">
        <v>0.0316068</v>
      </c>
      <c r="AM474" s="12">
        <v>0.0</v>
      </c>
      <c r="AN474" s="12">
        <v>0.0</v>
      </c>
      <c r="AO474" s="12">
        <v>0.0</v>
      </c>
      <c r="AP474" s="13">
        <v>0.0</v>
      </c>
      <c r="AQ474" s="13">
        <v>0.0</v>
      </c>
      <c r="AR474" s="13">
        <v>0.0</v>
      </c>
      <c r="AS474" s="13">
        <v>0.0</v>
      </c>
      <c r="AT474" s="2">
        <f>AVERAGE(L474:AL474)</f>
        <v>0.02070682593</v>
      </c>
      <c r="AU474" s="12">
        <f t="shared" si="43"/>
        <v>0.02070682593</v>
      </c>
      <c r="AV474" s="14"/>
      <c r="AW474" s="15"/>
      <c r="AX474" s="15"/>
    </row>
    <row r="475" ht="15.75" customHeight="1">
      <c r="A475" s="7">
        <v>240320.0</v>
      </c>
      <c r="B475" s="7">
        <v>76.0</v>
      </c>
      <c r="C475" s="7">
        <v>3.0</v>
      </c>
      <c r="D475" s="8" t="s">
        <v>266</v>
      </c>
      <c r="E475" s="7">
        <v>11.0</v>
      </c>
      <c r="F475" s="8" t="s">
        <v>56</v>
      </c>
      <c r="G475" s="8" t="s">
        <v>67</v>
      </c>
      <c r="H475" s="8" t="s">
        <v>61</v>
      </c>
      <c r="I475" s="22" t="s">
        <v>51</v>
      </c>
      <c r="J475" s="22" t="s">
        <v>52</v>
      </c>
      <c r="K475" s="11" t="s">
        <v>76</v>
      </c>
      <c r="L475" s="12">
        <v>0.0166947</v>
      </c>
      <c r="M475" s="12">
        <v>0.0179415</v>
      </c>
      <c r="N475" s="12">
        <v>0.016971</v>
      </c>
      <c r="O475" s="12">
        <v>0.0161568</v>
      </c>
      <c r="P475" s="12">
        <v>0.0169663</v>
      </c>
      <c r="Q475" s="12">
        <v>0.0160826</v>
      </c>
      <c r="R475" s="12">
        <v>0.0148145</v>
      </c>
      <c r="S475" s="12">
        <v>0.0154271</v>
      </c>
      <c r="T475" s="12">
        <v>0.0150346</v>
      </c>
      <c r="U475" s="12">
        <v>0.0154539</v>
      </c>
      <c r="V475" s="12">
        <v>0.0173881</v>
      </c>
      <c r="W475" s="12">
        <v>0.0185993</v>
      </c>
      <c r="X475" s="12">
        <v>0.0201821</v>
      </c>
      <c r="Y475" s="12">
        <v>0.0197727</v>
      </c>
      <c r="Z475" s="12">
        <v>0.0199384</v>
      </c>
      <c r="AA475" s="12">
        <v>0.021981</v>
      </c>
      <c r="AB475" s="12">
        <v>0.0225827</v>
      </c>
      <c r="AC475" s="12">
        <v>0.0214463</v>
      </c>
      <c r="AD475" s="12">
        <v>0.0206515</v>
      </c>
      <c r="AE475" s="12">
        <v>0.0213466</v>
      </c>
      <c r="AF475" s="12">
        <v>0.0230975</v>
      </c>
      <c r="AG475" s="12">
        <v>0.0262163</v>
      </c>
      <c r="AH475" s="12">
        <v>0.0271896</v>
      </c>
      <c r="AI475" s="12">
        <v>0.0232842</v>
      </c>
      <c r="AJ475" s="12">
        <v>0.0198416</v>
      </c>
      <c r="AK475" s="12">
        <v>0.015128</v>
      </c>
      <c r="AL475" s="12">
        <v>0.0</v>
      </c>
      <c r="AM475" s="12">
        <v>0.0</v>
      </c>
      <c r="AN475" s="12">
        <v>0.0</v>
      </c>
      <c r="AO475" s="12">
        <v>0.0</v>
      </c>
      <c r="AP475" s="13">
        <v>0.0</v>
      </c>
      <c r="AQ475" s="13">
        <v>0.0</v>
      </c>
      <c r="AR475" s="13">
        <v>0.0</v>
      </c>
      <c r="AS475" s="13">
        <v>0.0</v>
      </c>
      <c r="AT475" s="2">
        <f>AVERAGE(L475:AK475)</f>
        <v>0.01923803462</v>
      </c>
      <c r="AU475" s="12">
        <f t="shared" si="43"/>
        <v>0.01923803462</v>
      </c>
      <c r="AV475" s="14"/>
      <c r="AW475" s="15"/>
      <c r="AX475" s="15"/>
    </row>
    <row r="476" ht="15.75" customHeight="1">
      <c r="A476" s="7">
        <v>240320.0</v>
      </c>
      <c r="B476" s="7">
        <v>76.0</v>
      </c>
      <c r="C476" s="7">
        <v>3.0</v>
      </c>
      <c r="D476" s="8" t="s">
        <v>267</v>
      </c>
      <c r="E476" s="7">
        <v>11.0</v>
      </c>
      <c r="F476" s="8" t="s">
        <v>56</v>
      </c>
      <c r="G476" s="8" t="s">
        <v>67</v>
      </c>
      <c r="H476" s="8" t="s">
        <v>50</v>
      </c>
      <c r="I476" s="22" t="s">
        <v>51</v>
      </c>
      <c r="J476" s="22" t="s">
        <v>52</v>
      </c>
      <c r="K476" s="11" t="s">
        <v>76</v>
      </c>
      <c r="L476" s="12">
        <v>0.0137153</v>
      </c>
      <c r="M476" s="12">
        <v>0.0146166</v>
      </c>
      <c r="N476" s="12">
        <v>0.0145692</v>
      </c>
      <c r="O476" s="12">
        <v>0.0159997</v>
      </c>
      <c r="P476" s="12">
        <v>0.0165039</v>
      </c>
      <c r="Q476" s="12">
        <v>0.0170637</v>
      </c>
      <c r="R476" s="12">
        <v>0.0182147</v>
      </c>
      <c r="S476" s="12">
        <v>0.0176336</v>
      </c>
      <c r="T476" s="12">
        <v>0.0170909</v>
      </c>
      <c r="U476" s="12">
        <v>0.0161764</v>
      </c>
      <c r="V476" s="12">
        <v>0.0171117</v>
      </c>
      <c r="W476" s="12">
        <v>0.0194084</v>
      </c>
      <c r="X476" s="12">
        <v>0.0203544</v>
      </c>
      <c r="Y476" s="12">
        <v>0.0200947</v>
      </c>
      <c r="Z476" s="12">
        <v>0.01982</v>
      </c>
      <c r="AA476" s="12">
        <v>0.0200561</v>
      </c>
      <c r="AB476" s="12">
        <v>0.0202258</v>
      </c>
      <c r="AC476" s="12">
        <v>0.0215287</v>
      </c>
      <c r="AD476" s="12">
        <v>0.0220652</v>
      </c>
      <c r="AE476" s="12">
        <v>0.0223884</v>
      </c>
      <c r="AF476" s="12">
        <v>0.0233969</v>
      </c>
      <c r="AG476" s="12">
        <v>0.0239363</v>
      </c>
      <c r="AH476" s="12">
        <v>0.0262921</v>
      </c>
      <c r="AI476" s="12">
        <v>0.02843</v>
      </c>
      <c r="AJ476" s="12">
        <v>0.0280867</v>
      </c>
      <c r="AK476" s="12">
        <v>0.0255224</v>
      </c>
      <c r="AL476" s="12">
        <v>0.0177919</v>
      </c>
      <c r="AM476" s="12">
        <v>0.0098844</v>
      </c>
      <c r="AN476" s="12">
        <v>0.0057238</v>
      </c>
      <c r="AO476" s="12">
        <v>0.0039437</v>
      </c>
      <c r="AP476" s="13">
        <v>0.0</v>
      </c>
      <c r="AQ476" s="13">
        <v>0.0</v>
      </c>
      <c r="AR476" s="13">
        <v>0.0</v>
      </c>
      <c r="AS476" s="13">
        <v>0.0</v>
      </c>
      <c r="AT476" s="2">
        <f>AVERAGE(L476:AO476)</f>
        <v>0.01858818667</v>
      </c>
      <c r="AU476" s="12">
        <f t="shared" si="43"/>
        <v>0.01858818667</v>
      </c>
      <c r="AV476" s="14"/>
      <c r="AW476" s="15"/>
      <c r="AX476" s="15"/>
    </row>
    <row r="477" ht="15.75" customHeight="1">
      <c r="A477" s="7">
        <v>240320.0</v>
      </c>
      <c r="B477" s="7">
        <v>76.0</v>
      </c>
      <c r="C477" s="7">
        <v>3.0</v>
      </c>
      <c r="D477" s="8" t="s">
        <v>268</v>
      </c>
      <c r="E477" s="7">
        <v>11.0</v>
      </c>
      <c r="F477" s="8" t="s">
        <v>56</v>
      </c>
      <c r="G477" s="8" t="s">
        <v>67</v>
      </c>
      <c r="H477" s="8" t="s">
        <v>63</v>
      </c>
      <c r="I477" s="22" t="s">
        <v>51</v>
      </c>
      <c r="J477" s="22" t="s">
        <v>52</v>
      </c>
      <c r="K477" s="11" t="s">
        <v>76</v>
      </c>
      <c r="L477" s="12">
        <v>0.0136674</v>
      </c>
      <c r="M477" s="12">
        <v>0.0136015</v>
      </c>
      <c r="N477" s="12">
        <v>0.0126014</v>
      </c>
      <c r="O477" s="12">
        <v>0.0133454</v>
      </c>
      <c r="P477" s="12">
        <v>0.015023</v>
      </c>
      <c r="Q477" s="12">
        <v>0.016518</v>
      </c>
      <c r="R477" s="12">
        <v>0.0171741</v>
      </c>
      <c r="S477" s="12">
        <v>0.0168961</v>
      </c>
      <c r="T477" s="12">
        <v>0.0170245</v>
      </c>
      <c r="U477" s="12">
        <v>0.0164538</v>
      </c>
      <c r="V477" s="12">
        <v>0.0165462</v>
      </c>
      <c r="W477" s="12">
        <v>0.0167837</v>
      </c>
      <c r="X477" s="12">
        <v>0.0177248</v>
      </c>
      <c r="Y477" s="12">
        <v>0.0194988</v>
      </c>
      <c r="Z477" s="12">
        <v>0.0210688</v>
      </c>
      <c r="AA477" s="12">
        <v>0.0218746</v>
      </c>
      <c r="AB477" s="12">
        <v>0.0206903</v>
      </c>
      <c r="AC477" s="12">
        <v>0.0184881</v>
      </c>
      <c r="AD477" s="12">
        <v>0.0189189</v>
      </c>
      <c r="AE477" s="12">
        <v>0.0207406</v>
      </c>
      <c r="AF477" s="12">
        <v>0.0220553</v>
      </c>
      <c r="AG477" s="12">
        <v>0.0239606</v>
      </c>
      <c r="AH477" s="12">
        <v>0.0234848</v>
      </c>
      <c r="AI477" s="12">
        <v>0.022988</v>
      </c>
      <c r="AJ477" s="12">
        <v>0.0235013</v>
      </c>
      <c r="AK477" s="12">
        <v>0.0214181</v>
      </c>
      <c r="AL477" s="12">
        <v>0.012721</v>
      </c>
      <c r="AM477" s="12">
        <v>0.0022547</v>
      </c>
      <c r="AN477" s="12">
        <v>0.0082911</v>
      </c>
      <c r="AO477" s="12">
        <v>0.0</v>
      </c>
      <c r="AP477" s="13">
        <v>0.0</v>
      </c>
      <c r="AQ477" s="13">
        <v>0.0</v>
      </c>
      <c r="AR477" s="13">
        <v>0.0</v>
      </c>
      <c r="AS477" s="13">
        <v>0.0</v>
      </c>
      <c r="AT477" s="2">
        <f>AVERAGE(L477:AN477)</f>
        <v>0.01742465172</v>
      </c>
      <c r="AU477" s="12">
        <f t="shared" si="43"/>
        <v>0.01742465172</v>
      </c>
      <c r="AV477" s="14"/>
      <c r="AW477" s="15"/>
      <c r="AX477" s="15"/>
    </row>
    <row r="478" ht="15.75" customHeight="1"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3"/>
      <c r="AQ478" s="13"/>
      <c r="AR478" s="13"/>
      <c r="AS478" s="13"/>
      <c r="AT478" s="12"/>
      <c r="AU478" s="12"/>
      <c r="AV478" s="14"/>
      <c r="AW478" s="15"/>
      <c r="AX478" s="15"/>
    </row>
    <row r="479" ht="15.75" customHeight="1"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3"/>
      <c r="AQ479" s="13"/>
      <c r="AR479" s="13"/>
      <c r="AS479" s="13"/>
      <c r="AT479" s="12"/>
      <c r="AU479" s="12"/>
      <c r="AV479" s="14"/>
      <c r="AW479" s="15"/>
      <c r="AX479" s="15"/>
    </row>
    <row r="480" ht="15.75" customHeight="1">
      <c r="A480" s="7">
        <v>240320.0</v>
      </c>
      <c r="B480" s="7">
        <v>77.0</v>
      </c>
      <c r="C480" s="7">
        <v>1.0</v>
      </c>
      <c r="D480" s="8" t="s">
        <v>269</v>
      </c>
      <c r="E480" s="7">
        <v>12.0</v>
      </c>
      <c r="F480" s="8" t="s">
        <v>56</v>
      </c>
      <c r="G480" s="8" t="s">
        <v>49</v>
      </c>
      <c r="H480" s="8" t="s">
        <v>50</v>
      </c>
      <c r="I480" s="22" t="s">
        <v>146</v>
      </c>
      <c r="J480" s="22" t="s">
        <v>52</v>
      </c>
      <c r="K480" s="11" t="s">
        <v>53</v>
      </c>
      <c r="L480" s="18">
        <v>0.02553</v>
      </c>
      <c r="M480" s="18">
        <v>0.025907</v>
      </c>
      <c r="N480" s="18">
        <v>0.026502</v>
      </c>
      <c r="O480" s="18">
        <v>0.025762</v>
      </c>
      <c r="P480" s="18">
        <v>0.024411</v>
      </c>
      <c r="Q480" s="18">
        <v>0.023592</v>
      </c>
      <c r="R480" s="18">
        <v>0.023695</v>
      </c>
      <c r="S480" s="18">
        <v>0.023599</v>
      </c>
      <c r="T480" s="18">
        <v>0.024221</v>
      </c>
      <c r="U480" s="18">
        <v>0.027577</v>
      </c>
      <c r="V480" s="18">
        <v>0.030398</v>
      </c>
      <c r="W480" s="18">
        <v>0.031736</v>
      </c>
      <c r="X480" s="18">
        <v>0.032016</v>
      </c>
      <c r="Y480" s="18">
        <v>0.031811</v>
      </c>
      <c r="Z480" s="18">
        <v>0.031213</v>
      </c>
      <c r="AA480" s="18">
        <v>0.030179</v>
      </c>
      <c r="AB480" s="18">
        <v>0.028148</v>
      </c>
      <c r="AC480" s="18">
        <v>0.027989</v>
      </c>
      <c r="AD480" s="18">
        <v>0.028811</v>
      </c>
      <c r="AE480" s="18">
        <v>0.028333</v>
      </c>
      <c r="AF480" s="18">
        <v>0.027591</v>
      </c>
      <c r="AG480" s="18">
        <v>0.028181</v>
      </c>
      <c r="AH480" s="18">
        <v>0.027872</v>
      </c>
      <c r="AI480" s="18">
        <v>0.022668</v>
      </c>
      <c r="AJ480" s="18">
        <v>0.017772</v>
      </c>
      <c r="AK480" s="18">
        <v>0.01453</v>
      </c>
      <c r="AL480" s="18">
        <v>0.01003</v>
      </c>
      <c r="AM480" s="18">
        <v>0.004888</v>
      </c>
      <c r="AN480" s="18">
        <v>0.0</v>
      </c>
      <c r="AO480" s="18">
        <v>0.0</v>
      </c>
      <c r="AP480" s="20">
        <v>0.0</v>
      </c>
      <c r="AQ480" s="20">
        <v>0.0</v>
      </c>
      <c r="AR480" s="20">
        <v>0.0</v>
      </c>
      <c r="AS480" s="20">
        <v>0.0</v>
      </c>
      <c r="AT480" s="12">
        <f t="shared" ref="AT480:AT481" si="55">AVERAGE(L480:AM480)</f>
        <v>0.02517721429</v>
      </c>
      <c r="AU480" s="12">
        <f t="shared" ref="AU480:AU512" si="56">AVERAGEIF(L480:AS480, "&gt;0")
</f>
        <v>0.02517721429</v>
      </c>
      <c r="AV480" s="14"/>
      <c r="AW480" s="15"/>
      <c r="AX480" s="15"/>
    </row>
    <row r="481" ht="15.75" customHeight="1">
      <c r="A481" s="7">
        <v>240320.0</v>
      </c>
      <c r="B481" s="7">
        <v>77.0</v>
      </c>
      <c r="C481" s="7">
        <v>1.0</v>
      </c>
      <c r="D481" s="8" t="s">
        <v>270</v>
      </c>
      <c r="E481" s="7">
        <v>12.0</v>
      </c>
      <c r="F481" s="8" t="s">
        <v>56</v>
      </c>
      <c r="G481" s="8" t="s">
        <v>49</v>
      </c>
      <c r="H481" s="8" t="s">
        <v>63</v>
      </c>
      <c r="I481" s="22" t="s">
        <v>146</v>
      </c>
      <c r="J481" s="22" t="s">
        <v>52</v>
      </c>
      <c r="K481" s="11" t="s">
        <v>53</v>
      </c>
      <c r="L481" s="18">
        <v>0.033432</v>
      </c>
      <c r="M481" s="18">
        <v>0.034838</v>
      </c>
      <c r="N481" s="18">
        <v>0.035665</v>
      </c>
      <c r="O481" s="18">
        <v>0.034624</v>
      </c>
      <c r="P481" s="18">
        <v>0.032215</v>
      </c>
      <c r="Q481" s="18">
        <v>0.031984</v>
      </c>
      <c r="R481" s="18">
        <v>0.032749</v>
      </c>
      <c r="S481" s="18">
        <v>0.033602</v>
      </c>
      <c r="T481" s="18">
        <v>0.034432</v>
      </c>
      <c r="U481" s="18">
        <v>0.034636</v>
      </c>
      <c r="V481" s="18">
        <v>0.032188</v>
      </c>
      <c r="W481" s="18">
        <v>0.029288</v>
      </c>
      <c r="X481" s="18">
        <v>0.029028</v>
      </c>
      <c r="Y481" s="18">
        <v>0.029074</v>
      </c>
      <c r="Z481" s="18">
        <v>0.030314</v>
      </c>
      <c r="AA481" s="18">
        <v>0.032228</v>
      </c>
      <c r="AB481" s="18">
        <v>0.032789</v>
      </c>
      <c r="AC481" s="18">
        <v>0.033156</v>
      </c>
      <c r="AD481" s="18">
        <v>0.031907</v>
      </c>
      <c r="AE481" s="18">
        <v>0.0321</v>
      </c>
      <c r="AF481" s="18">
        <v>0.032452</v>
      </c>
      <c r="AG481" s="18">
        <v>0.03146</v>
      </c>
      <c r="AH481" s="18">
        <v>0.033977</v>
      </c>
      <c r="AI481" s="18">
        <v>0.034343</v>
      </c>
      <c r="AJ481" s="18">
        <v>0.021439</v>
      </c>
      <c r="AK481" s="18">
        <v>0.011531</v>
      </c>
      <c r="AL481" s="18">
        <v>0.019087</v>
      </c>
      <c r="AM481" s="18">
        <v>0.038962</v>
      </c>
      <c r="AN481" s="2">
        <v>0.0</v>
      </c>
      <c r="AO481" s="2">
        <v>0.0</v>
      </c>
      <c r="AP481" s="20">
        <v>0.0</v>
      </c>
      <c r="AQ481" s="20">
        <v>0.0</v>
      </c>
      <c r="AR481" s="20">
        <v>0.0</v>
      </c>
      <c r="AS481" s="20">
        <v>0.0</v>
      </c>
      <c r="AT481" s="12">
        <f t="shared" si="55"/>
        <v>0.03119642857</v>
      </c>
      <c r="AU481" s="12">
        <f t="shared" si="56"/>
        <v>0.03119642857</v>
      </c>
      <c r="AV481" s="14"/>
      <c r="AW481" s="15"/>
      <c r="AX481" s="15"/>
    </row>
    <row r="482" ht="15.75" customHeight="1">
      <c r="A482" s="7">
        <v>240320.0</v>
      </c>
      <c r="B482" s="7">
        <v>77.0</v>
      </c>
      <c r="C482" s="7">
        <v>1.0</v>
      </c>
      <c r="D482" s="8" t="s">
        <v>271</v>
      </c>
      <c r="E482" s="7">
        <v>12.0</v>
      </c>
      <c r="F482" s="8" t="s">
        <v>56</v>
      </c>
      <c r="G482" s="8" t="s">
        <v>49</v>
      </c>
      <c r="H482" s="8" t="s">
        <v>65</v>
      </c>
      <c r="I482" s="22" t="s">
        <v>146</v>
      </c>
      <c r="J482" s="22" t="s">
        <v>52</v>
      </c>
      <c r="K482" s="11" t="s">
        <v>53</v>
      </c>
      <c r="L482" s="18">
        <v>0.032495</v>
      </c>
      <c r="M482" s="18">
        <v>0.030322</v>
      </c>
      <c r="N482" s="18">
        <v>0.030776</v>
      </c>
      <c r="O482" s="18">
        <v>0.032515</v>
      </c>
      <c r="P482" s="18">
        <v>0.033819</v>
      </c>
      <c r="Q482" s="18">
        <v>0.035248</v>
      </c>
      <c r="R482" s="18">
        <v>0.035659</v>
      </c>
      <c r="S482" s="18">
        <v>0.036096</v>
      </c>
      <c r="T482" s="18">
        <v>0.035479</v>
      </c>
      <c r="U482" s="18">
        <v>0.033099</v>
      </c>
      <c r="V482" s="18">
        <v>0.031023</v>
      </c>
      <c r="W482" s="18">
        <v>0.030415</v>
      </c>
      <c r="X482" s="18">
        <v>0.030872</v>
      </c>
      <c r="Y482" s="18">
        <v>0.030343</v>
      </c>
      <c r="Z482" s="18">
        <v>0.030593</v>
      </c>
      <c r="AA482" s="18">
        <v>0.030797</v>
      </c>
      <c r="AB482" s="18">
        <v>0.029893</v>
      </c>
      <c r="AC482" s="18">
        <v>0.027803</v>
      </c>
      <c r="AD482" s="18">
        <v>0.026484</v>
      </c>
      <c r="AE482" s="18">
        <v>0.027666</v>
      </c>
      <c r="AF482" s="18">
        <v>0.030886</v>
      </c>
      <c r="AG482" s="18">
        <v>0.032739</v>
      </c>
      <c r="AH482" s="18">
        <v>0.03192</v>
      </c>
      <c r="AI482" s="18">
        <v>0.029523</v>
      </c>
      <c r="AJ482" s="18">
        <v>0.019151</v>
      </c>
      <c r="AK482" s="18">
        <v>0.00614</v>
      </c>
      <c r="AL482" s="18">
        <v>7.71E-4</v>
      </c>
      <c r="AM482" s="18">
        <v>1.28E-4</v>
      </c>
      <c r="AN482" s="18">
        <v>2.55E-4</v>
      </c>
      <c r="AO482" s="2">
        <v>0.0</v>
      </c>
      <c r="AP482" s="20">
        <v>0.0</v>
      </c>
      <c r="AQ482" s="20">
        <v>0.0</v>
      </c>
      <c r="AR482" s="20">
        <v>0.0</v>
      </c>
      <c r="AS482" s="20">
        <v>0.0</v>
      </c>
      <c r="AT482" s="12">
        <f t="shared" ref="AT482:AT483" si="57">AVERAGE(L482:AN482)</f>
        <v>0.02699689655</v>
      </c>
      <c r="AU482" s="12">
        <f t="shared" si="56"/>
        <v>0.02699689655</v>
      </c>
      <c r="AV482" s="14"/>
      <c r="AW482" s="15"/>
      <c r="AX482" s="15"/>
    </row>
    <row r="483" ht="15.75" customHeight="1">
      <c r="A483" s="7">
        <v>240320.0</v>
      </c>
      <c r="B483" s="7">
        <v>77.0</v>
      </c>
      <c r="C483" s="7">
        <v>1.0</v>
      </c>
      <c r="D483" s="8" t="s">
        <v>272</v>
      </c>
      <c r="E483" s="7">
        <v>12.0</v>
      </c>
      <c r="F483" s="8" t="s">
        <v>56</v>
      </c>
      <c r="G483" s="8" t="s">
        <v>49</v>
      </c>
      <c r="H483" s="8" t="s">
        <v>61</v>
      </c>
      <c r="I483" s="22" t="s">
        <v>146</v>
      </c>
      <c r="J483" s="22" t="s">
        <v>52</v>
      </c>
      <c r="K483" s="11" t="s">
        <v>53</v>
      </c>
      <c r="L483" s="18">
        <v>0.028161</v>
      </c>
      <c r="M483" s="18">
        <v>0.02893</v>
      </c>
      <c r="N483" s="18">
        <v>0.028884</v>
      </c>
      <c r="O483" s="18">
        <v>0.02954</v>
      </c>
      <c r="P483" s="18">
        <v>0.030807</v>
      </c>
      <c r="Q483" s="18">
        <v>0.031203</v>
      </c>
      <c r="R483" s="18">
        <v>0.031206</v>
      </c>
      <c r="S483" s="18">
        <v>0.030682</v>
      </c>
      <c r="T483" s="18">
        <v>0.03239</v>
      </c>
      <c r="U483" s="18">
        <v>0.034453</v>
      </c>
      <c r="V483" s="18">
        <v>0.034097</v>
      </c>
      <c r="W483" s="18">
        <v>0.032873</v>
      </c>
      <c r="X483" s="18">
        <v>0.03178</v>
      </c>
      <c r="Y483" s="18">
        <v>0.02998</v>
      </c>
      <c r="Z483" s="18">
        <v>0.028045</v>
      </c>
      <c r="AA483" s="18">
        <v>0.028812</v>
      </c>
      <c r="AB483" s="18">
        <v>0.030566</v>
      </c>
      <c r="AC483" s="18">
        <v>0.030574</v>
      </c>
      <c r="AD483" s="18">
        <v>0.028964</v>
      </c>
      <c r="AE483" s="18">
        <v>0.025148</v>
      </c>
      <c r="AF483" s="18">
        <v>0.021109</v>
      </c>
      <c r="AG483" s="18">
        <v>0.017054</v>
      </c>
      <c r="AH483" s="18">
        <v>0.010974</v>
      </c>
      <c r="AI483" s="18">
        <v>0.006422</v>
      </c>
      <c r="AJ483" s="18">
        <v>0.004857</v>
      </c>
      <c r="AK483" s="18">
        <v>0.008813</v>
      </c>
      <c r="AL483" s="18">
        <v>0.021461</v>
      </c>
      <c r="AM483" s="18">
        <v>0.024715</v>
      </c>
      <c r="AN483" s="18">
        <v>0.008043</v>
      </c>
      <c r="AO483" s="2">
        <v>0.0</v>
      </c>
      <c r="AP483" s="20">
        <v>0.0</v>
      </c>
      <c r="AQ483" s="20">
        <v>0.0</v>
      </c>
      <c r="AR483" s="20">
        <v>0.0</v>
      </c>
      <c r="AS483" s="20">
        <v>0.0</v>
      </c>
      <c r="AT483" s="12">
        <f t="shared" si="57"/>
        <v>0.02519113793</v>
      </c>
      <c r="AU483" s="12">
        <f t="shared" si="56"/>
        <v>0.02519113793</v>
      </c>
      <c r="AV483" s="14"/>
      <c r="AW483" s="15"/>
      <c r="AX483" s="15"/>
    </row>
    <row r="484" ht="15.75" customHeight="1">
      <c r="A484" s="7">
        <v>240403.0</v>
      </c>
      <c r="B484" s="7">
        <v>77.0</v>
      </c>
      <c r="C484" s="7">
        <v>1.0</v>
      </c>
      <c r="D484" s="8" t="s">
        <v>273</v>
      </c>
      <c r="E484" s="7">
        <v>12.0</v>
      </c>
      <c r="F484" s="8" t="s">
        <v>48</v>
      </c>
      <c r="G484" s="8" t="s">
        <v>67</v>
      </c>
      <c r="H484" s="8" t="s">
        <v>65</v>
      </c>
      <c r="I484" s="22" t="s">
        <v>146</v>
      </c>
      <c r="J484" s="22" t="s">
        <v>52</v>
      </c>
      <c r="K484" s="11" t="s">
        <v>57</v>
      </c>
      <c r="L484" s="18">
        <v>0.020161</v>
      </c>
      <c r="M484" s="18">
        <v>0.020579</v>
      </c>
      <c r="N484" s="18">
        <v>0.021748</v>
      </c>
      <c r="O484" s="18">
        <v>0.023668</v>
      </c>
      <c r="P484" s="18">
        <v>0.023669</v>
      </c>
      <c r="Q484" s="18">
        <v>0.023338</v>
      </c>
      <c r="R484" s="18">
        <v>0.024473</v>
      </c>
      <c r="S484" s="18">
        <v>0.025224</v>
      </c>
      <c r="T484" s="18">
        <v>0.026291</v>
      </c>
      <c r="U484" s="18">
        <v>0.027482</v>
      </c>
      <c r="V484" s="18">
        <v>0.028669</v>
      </c>
      <c r="W484" s="18">
        <v>0.029609</v>
      </c>
      <c r="X484" s="18">
        <v>0.030305</v>
      </c>
      <c r="Y484" s="18">
        <v>0.029325</v>
      </c>
      <c r="Z484" s="18">
        <v>0.026965</v>
      </c>
      <c r="AA484" s="18">
        <v>0.025803</v>
      </c>
      <c r="AB484" s="18">
        <v>0.023018</v>
      </c>
      <c r="AC484" s="18">
        <v>0.021873</v>
      </c>
      <c r="AD484" s="18">
        <v>0.023638</v>
      </c>
      <c r="AE484" s="18">
        <v>0.024509</v>
      </c>
      <c r="AF484" s="18">
        <v>0.02474</v>
      </c>
      <c r="AG484" s="18">
        <v>0.0214</v>
      </c>
      <c r="AH484" s="18">
        <v>0.01509</v>
      </c>
      <c r="AI484" s="18">
        <v>0.012232</v>
      </c>
      <c r="AJ484" s="18">
        <v>0.011914</v>
      </c>
      <c r="AK484" s="18">
        <v>0.008249</v>
      </c>
      <c r="AL484" s="18">
        <v>0.004112</v>
      </c>
      <c r="AM484" s="18">
        <v>0.002663</v>
      </c>
      <c r="AN484" s="18">
        <v>0.00334</v>
      </c>
      <c r="AO484" s="18">
        <v>0.005393</v>
      </c>
      <c r="AP484" s="20">
        <v>0.0</v>
      </c>
      <c r="AQ484" s="20">
        <v>0.0</v>
      </c>
      <c r="AR484" s="20">
        <v>0.0</v>
      </c>
      <c r="AS484" s="20">
        <v>0.0</v>
      </c>
      <c r="AT484" s="12">
        <f>AVERAGE(L484:AO484)</f>
        <v>0.020316</v>
      </c>
      <c r="AU484" s="12">
        <f t="shared" si="56"/>
        <v>0.020316</v>
      </c>
      <c r="AV484" s="14"/>
      <c r="AW484" s="15"/>
      <c r="AX484" s="15"/>
    </row>
    <row r="485" ht="15.75" customHeight="1">
      <c r="A485" s="7">
        <v>240403.0</v>
      </c>
      <c r="B485" s="7">
        <v>77.0</v>
      </c>
      <c r="C485" s="7">
        <v>1.0</v>
      </c>
      <c r="D485" s="8" t="s">
        <v>274</v>
      </c>
      <c r="E485" s="7">
        <v>12.0</v>
      </c>
      <c r="F485" s="8" t="s">
        <v>48</v>
      </c>
      <c r="G485" s="8" t="s">
        <v>67</v>
      </c>
      <c r="H485" s="8" t="s">
        <v>61</v>
      </c>
      <c r="I485" s="22" t="s">
        <v>146</v>
      </c>
      <c r="J485" s="22" t="s">
        <v>52</v>
      </c>
      <c r="K485" s="11" t="s">
        <v>57</v>
      </c>
      <c r="L485" s="18">
        <v>0.020608</v>
      </c>
      <c r="M485" s="18">
        <v>0.02356</v>
      </c>
      <c r="N485" s="18">
        <v>0.024938</v>
      </c>
      <c r="O485" s="18">
        <v>0.024495</v>
      </c>
      <c r="P485" s="18">
        <v>0.024786</v>
      </c>
      <c r="Q485" s="18">
        <v>0.025919</v>
      </c>
      <c r="R485" s="18">
        <v>0.027135</v>
      </c>
      <c r="S485" s="18">
        <v>0.026286</v>
      </c>
      <c r="T485" s="18">
        <v>0.025535</v>
      </c>
      <c r="U485" s="18">
        <v>0.025249</v>
      </c>
      <c r="V485" s="18">
        <v>0.023193</v>
      </c>
      <c r="W485" s="18">
        <v>0.023542</v>
      </c>
      <c r="X485" s="18">
        <v>0.024377</v>
      </c>
      <c r="Y485" s="18">
        <v>0.022785</v>
      </c>
      <c r="Z485" s="18">
        <v>0.020821</v>
      </c>
      <c r="AA485" s="18">
        <v>0.019401</v>
      </c>
      <c r="AB485" s="18">
        <v>0.018309</v>
      </c>
      <c r="AC485" s="18">
        <v>0.017929</v>
      </c>
      <c r="AD485" s="18">
        <v>0.020154</v>
      </c>
      <c r="AE485" s="18">
        <v>0.022176</v>
      </c>
      <c r="AF485" s="18">
        <v>0.020706</v>
      </c>
      <c r="AG485" s="18">
        <v>0.018247</v>
      </c>
      <c r="AH485" s="18">
        <v>0.015637</v>
      </c>
      <c r="AI485" s="18">
        <v>0.010703</v>
      </c>
      <c r="AJ485" s="18">
        <v>0.005966</v>
      </c>
      <c r="AK485" s="18">
        <v>0.006042</v>
      </c>
      <c r="AL485" s="18">
        <v>0.009733</v>
      </c>
      <c r="AM485" s="18">
        <v>0.012234</v>
      </c>
      <c r="AN485" s="18">
        <v>0.031172</v>
      </c>
      <c r="AO485" s="2">
        <v>0.0</v>
      </c>
      <c r="AP485" s="20">
        <v>0.0</v>
      </c>
      <c r="AQ485" s="20">
        <v>0.0</v>
      </c>
      <c r="AR485" s="20">
        <v>0.0</v>
      </c>
      <c r="AS485" s="20">
        <v>0.0</v>
      </c>
      <c r="AT485" s="12">
        <f>AVERAGE(L485:AN485)</f>
        <v>0.02040131034</v>
      </c>
      <c r="AU485" s="12">
        <f t="shared" si="56"/>
        <v>0.02040131034</v>
      </c>
      <c r="AV485" s="14"/>
      <c r="AW485" s="15"/>
      <c r="AX485" s="15"/>
    </row>
    <row r="486" ht="15.75" customHeight="1">
      <c r="A486" s="7">
        <v>240403.0</v>
      </c>
      <c r="B486" s="7">
        <v>77.0</v>
      </c>
      <c r="C486" s="7">
        <v>1.0</v>
      </c>
      <c r="D486" s="8" t="s">
        <v>275</v>
      </c>
      <c r="E486" s="7">
        <v>12.0</v>
      </c>
      <c r="F486" s="8" t="s">
        <v>48</v>
      </c>
      <c r="G486" s="8" t="s">
        <v>67</v>
      </c>
      <c r="H486" s="8" t="s">
        <v>63</v>
      </c>
      <c r="I486" s="22" t="s">
        <v>146</v>
      </c>
      <c r="J486" s="22" t="s">
        <v>52</v>
      </c>
      <c r="K486" s="11" t="s">
        <v>57</v>
      </c>
      <c r="L486" s="18">
        <v>0.027221</v>
      </c>
      <c r="M486" s="18">
        <v>0.027039</v>
      </c>
      <c r="N486" s="18">
        <v>0.027816</v>
      </c>
      <c r="O486" s="18">
        <v>0.029103</v>
      </c>
      <c r="P486" s="18">
        <v>0.032187</v>
      </c>
      <c r="Q486" s="18">
        <v>0.032577</v>
      </c>
      <c r="R486" s="18">
        <v>0.03121</v>
      </c>
      <c r="S486" s="18">
        <v>0.029327</v>
      </c>
      <c r="T486" s="18">
        <v>0.02801</v>
      </c>
      <c r="U486" s="18">
        <v>0.027568</v>
      </c>
      <c r="V486" s="18">
        <v>0.026311</v>
      </c>
      <c r="W486" s="18">
        <v>0.026139</v>
      </c>
      <c r="X486" s="18">
        <v>0.027624</v>
      </c>
      <c r="Y486" s="18">
        <v>0.028152</v>
      </c>
      <c r="Z486" s="18">
        <v>0.026859</v>
      </c>
      <c r="AA486" s="18">
        <v>0.027075</v>
      </c>
      <c r="AB486" s="18">
        <v>0.02896</v>
      </c>
      <c r="AC486" s="18">
        <v>0.027161</v>
      </c>
      <c r="AD486" s="18">
        <v>0.02052</v>
      </c>
      <c r="AE486" s="18">
        <v>0.016191</v>
      </c>
      <c r="AF486" s="18">
        <v>0.015358</v>
      </c>
      <c r="AG486" s="18">
        <v>0.016212</v>
      </c>
      <c r="AH486" s="18">
        <v>0.015827</v>
      </c>
      <c r="AI486" s="18">
        <v>0.013209</v>
      </c>
      <c r="AJ486" s="18">
        <v>0.014249</v>
      </c>
      <c r="AK486" s="18">
        <v>0.016903</v>
      </c>
      <c r="AL486" s="18">
        <v>0.01595</v>
      </c>
      <c r="AM486" s="2">
        <v>0.0</v>
      </c>
      <c r="AN486" s="2">
        <v>0.0</v>
      </c>
      <c r="AO486" s="2">
        <v>0.0</v>
      </c>
      <c r="AP486" s="20">
        <v>0.0</v>
      </c>
      <c r="AQ486" s="20">
        <v>0.0</v>
      </c>
      <c r="AR486" s="20">
        <v>0.0</v>
      </c>
      <c r="AS486" s="20">
        <v>0.0</v>
      </c>
      <c r="AT486" s="12">
        <f>AVERAGE(L486:AL486)</f>
        <v>0.0242502963</v>
      </c>
      <c r="AU486" s="12">
        <f t="shared" si="56"/>
        <v>0.0242502963</v>
      </c>
      <c r="AV486" s="14"/>
      <c r="AW486" s="15"/>
      <c r="AX486" s="15"/>
    </row>
    <row r="487" ht="15.75" customHeight="1">
      <c r="A487" s="7">
        <v>240404.0</v>
      </c>
      <c r="B487" s="7">
        <v>77.0</v>
      </c>
      <c r="C487" s="7">
        <v>1.0</v>
      </c>
      <c r="D487" s="8" t="s">
        <v>276</v>
      </c>
      <c r="E487" s="7">
        <v>12.0</v>
      </c>
      <c r="F487" s="8" t="s">
        <v>48</v>
      </c>
      <c r="G487" s="8" t="s">
        <v>49</v>
      </c>
      <c r="H487" s="8" t="s">
        <v>50</v>
      </c>
      <c r="I487" s="22" t="s">
        <v>146</v>
      </c>
      <c r="J487" s="22" t="s">
        <v>52</v>
      </c>
      <c r="K487" s="11" t="s">
        <v>57</v>
      </c>
      <c r="L487" s="18">
        <v>0.030281</v>
      </c>
      <c r="M487" s="18">
        <v>0.029625</v>
      </c>
      <c r="N487" s="18">
        <v>0.030128</v>
      </c>
      <c r="O487" s="18">
        <v>0.030991</v>
      </c>
      <c r="P487" s="18">
        <v>0.032229</v>
      </c>
      <c r="Q487" s="18">
        <v>0.033096</v>
      </c>
      <c r="R487" s="18">
        <v>0.033392</v>
      </c>
      <c r="S487" s="18">
        <v>0.033601</v>
      </c>
      <c r="T487" s="18">
        <v>0.033047</v>
      </c>
      <c r="U487" s="18">
        <v>0.032258</v>
      </c>
      <c r="V487" s="18">
        <v>0.031206</v>
      </c>
      <c r="W487" s="18">
        <v>0.030939</v>
      </c>
      <c r="X487" s="18">
        <v>0.031097</v>
      </c>
      <c r="Y487" s="18">
        <v>0.032359</v>
      </c>
      <c r="Z487" s="18">
        <v>0.033403</v>
      </c>
      <c r="AA487" s="18">
        <v>0.031438</v>
      </c>
      <c r="AB487" s="18">
        <v>0.031041</v>
      </c>
      <c r="AC487" s="18">
        <v>0.033708</v>
      </c>
      <c r="AD487" s="18">
        <v>0.03537</v>
      </c>
      <c r="AE487" s="18">
        <v>0.035069</v>
      </c>
      <c r="AF487" s="18">
        <v>0.032887</v>
      </c>
      <c r="AG487" s="18">
        <v>0.031225</v>
      </c>
      <c r="AH487" s="18">
        <v>0.028988</v>
      </c>
      <c r="AI487" s="18">
        <v>0.02179</v>
      </c>
      <c r="AJ487" s="18">
        <v>0.01162</v>
      </c>
      <c r="AK487" s="18">
        <v>0.003572</v>
      </c>
      <c r="AL487" s="18">
        <v>3.62E-4</v>
      </c>
      <c r="AM487" s="18">
        <v>0.002853</v>
      </c>
      <c r="AN487" s="18">
        <v>0.010013</v>
      </c>
      <c r="AO487" s="18">
        <v>0.023134</v>
      </c>
      <c r="AP487" s="20">
        <v>0.0</v>
      </c>
      <c r="AQ487" s="20">
        <v>0.0</v>
      </c>
      <c r="AR487" s="20">
        <v>0.0</v>
      </c>
      <c r="AS487" s="20">
        <v>0.0</v>
      </c>
      <c r="AT487" s="12">
        <f>AVERAGE(L487:AO487)</f>
        <v>0.02702406667</v>
      </c>
      <c r="AU487" s="12">
        <f t="shared" si="56"/>
        <v>0.02702406667</v>
      </c>
      <c r="AV487" s="14"/>
      <c r="AW487" s="15"/>
      <c r="AX487" s="15"/>
    </row>
    <row r="488" ht="15.75" customHeight="1">
      <c r="A488" s="7">
        <v>240404.0</v>
      </c>
      <c r="B488" s="7">
        <v>77.0</v>
      </c>
      <c r="C488" s="7">
        <v>1.0</v>
      </c>
      <c r="D488" s="8" t="s">
        <v>277</v>
      </c>
      <c r="E488" s="7">
        <v>12.0</v>
      </c>
      <c r="F488" s="8" t="s">
        <v>48</v>
      </c>
      <c r="G488" s="8" t="s">
        <v>49</v>
      </c>
      <c r="H488" s="8" t="s">
        <v>63</v>
      </c>
      <c r="I488" s="22" t="s">
        <v>146</v>
      </c>
      <c r="J488" s="22" t="s">
        <v>52</v>
      </c>
      <c r="K488" s="11" t="s">
        <v>57</v>
      </c>
      <c r="L488" s="18">
        <v>0.037645</v>
      </c>
      <c r="M488" s="18">
        <v>0.03598</v>
      </c>
      <c r="N488" s="18">
        <v>0.035399</v>
      </c>
      <c r="O488" s="18">
        <v>0.036437</v>
      </c>
      <c r="P488" s="18">
        <v>0.036958</v>
      </c>
      <c r="Q488" s="18">
        <v>0.037485</v>
      </c>
      <c r="R488" s="18">
        <v>0.038346</v>
      </c>
      <c r="S488" s="18">
        <v>0.038559</v>
      </c>
      <c r="T488" s="18">
        <v>0.039223</v>
      </c>
      <c r="U488" s="18">
        <v>0.038756</v>
      </c>
      <c r="V488" s="18">
        <v>0.037368</v>
      </c>
      <c r="W488" s="18">
        <v>0.037914</v>
      </c>
      <c r="X488" s="18">
        <v>0.038493</v>
      </c>
      <c r="Y488" s="18">
        <v>0.038432</v>
      </c>
      <c r="Z488" s="18">
        <v>0.036234</v>
      </c>
      <c r="AA488" s="18">
        <v>0.034493</v>
      </c>
      <c r="AB488" s="18">
        <v>0.034849</v>
      </c>
      <c r="AC488" s="18">
        <v>0.035281</v>
      </c>
      <c r="AD488" s="18">
        <v>0.036709</v>
      </c>
      <c r="AE488" s="18">
        <v>0.037074</v>
      </c>
      <c r="AF488" s="18">
        <v>0.034032</v>
      </c>
      <c r="AG488" s="18">
        <v>0.028553</v>
      </c>
      <c r="AH488" s="18">
        <v>0.024154</v>
      </c>
      <c r="AI488" s="18">
        <v>0.019097</v>
      </c>
      <c r="AJ488" s="18">
        <v>0.019546</v>
      </c>
      <c r="AK488" s="18">
        <v>0.026648</v>
      </c>
      <c r="AL488" s="18">
        <v>0.031231</v>
      </c>
      <c r="AM488" s="18">
        <v>0.038014</v>
      </c>
      <c r="AN488" s="2">
        <v>0.0</v>
      </c>
      <c r="AO488" s="2">
        <v>0.0</v>
      </c>
      <c r="AP488" s="20">
        <v>0.0</v>
      </c>
      <c r="AQ488" s="20">
        <v>0.0</v>
      </c>
      <c r="AR488" s="20">
        <v>0.0</v>
      </c>
      <c r="AS488" s="20">
        <v>0.0</v>
      </c>
      <c r="AT488" s="12">
        <f>AVERAGE(L488:AM488)</f>
        <v>0.03438964286</v>
      </c>
      <c r="AU488" s="12">
        <f t="shared" si="56"/>
        <v>0.03438964286</v>
      </c>
      <c r="AV488" s="14"/>
      <c r="AW488" s="15"/>
      <c r="AX488" s="15"/>
    </row>
    <row r="489" ht="15.75" customHeight="1">
      <c r="A489" s="7">
        <v>240425.0</v>
      </c>
      <c r="B489" s="7">
        <v>77.0</v>
      </c>
      <c r="C489" s="7">
        <v>1.0</v>
      </c>
      <c r="D489" s="8" t="s">
        <v>278</v>
      </c>
      <c r="E489" s="7">
        <v>12.0</v>
      </c>
      <c r="F489" s="8" t="s">
        <v>56</v>
      </c>
      <c r="G489" s="8" t="s">
        <v>67</v>
      </c>
      <c r="H489" s="8" t="s">
        <v>61</v>
      </c>
      <c r="I489" s="22" t="s">
        <v>146</v>
      </c>
      <c r="J489" s="22" t="s">
        <v>52</v>
      </c>
      <c r="K489" s="11" t="s">
        <v>53</v>
      </c>
      <c r="L489" s="18">
        <v>0.026796</v>
      </c>
      <c r="M489" s="18">
        <v>0.029432</v>
      </c>
      <c r="N489" s="18">
        <v>0.028847</v>
      </c>
      <c r="O489" s="18">
        <v>0.028566</v>
      </c>
      <c r="P489" s="18">
        <v>0.029535</v>
      </c>
      <c r="Q489" s="18">
        <v>0.029934</v>
      </c>
      <c r="R489" s="18">
        <v>0.032349</v>
      </c>
      <c r="S489" s="18">
        <v>0.035075</v>
      </c>
      <c r="T489" s="18">
        <v>0.035696</v>
      </c>
      <c r="U489" s="18">
        <v>0.033966</v>
      </c>
      <c r="V489" s="18">
        <v>0.031917</v>
      </c>
      <c r="W489" s="18">
        <v>0.03274</v>
      </c>
      <c r="X489" s="18">
        <v>0.033626</v>
      </c>
      <c r="Y489" s="18">
        <v>0.031594</v>
      </c>
      <c r="Z489" s="18">
        <v>0.02836</v>
      </c>
      <c r="AA489" s="18">
        <v>0.026969</v>
      </c>
      <c r="AB489" s="18">
        <v>0.028104</v>
      </c>
      <c r="AC489" s="18">
        <v>0.029062</v>
      </c>
      <c r="AD489" s="18">
        <v>0.027643</v>
      </c>
      <c r="AE489" s="18">
        <v>0.025821</v>
      </c>
      <c r="AF489" s="18">
        <v>0.023682</v>
      </c>
      <c r="AG489" s="18">
        <v>0.016498</v>
      </c>
      <c r="AH489" s="18">
        <v>0.00835</v>
      </c>
      <c r="AI489" s="18">
        <v>0.00634</v>
      </c>
      <c r="AJ489" s="18">
        <v>0.009473</v>
      </c>
      <c r="AK489" s="18">
        <v>0.015399</v>
      </c>
      <c r="AL489" s="18">
        <v>0.023402</v>
      </c>
      <c r="AM489" s="18">
        <v>0.02585</v>
      </c>
      <c r="AN489" s="18">
        <v>0.007137</v>
      </c>
      <c r="AO489" s="2">
        <v>0.0</v>
      </c>
      <c r="AP489" s="20">
        <v>0.0</v>
      </c>
      <c r="AQ489" s="20">
        <v>0.0</v>
      </c>
      <c r="AR489" s="20">
        <v>0.0</v>
      </c>
      <c r="AS489" s="20">
        <v>0.0</v>
      </c>
      <c r="AT489" s="12">
        <f>AVERAGE(L489:AN489)</f>
        <v>0.02559182759</v>
      </c>
      <c r="AU489" s="12">
        <f t="shared" si="56"/>
        <v>0.02559182759</v>
      </c>
      <c r="AV489" s="14"/>
      <c r="AW489" s="15"/>
      <c r="AX489" s="15"/>
    </row>
    <row r="490" ht="15.75" customHeight="1">
      <c r="A490" s="7">
        <v>240425.0</v>
      </c>
      <c r="B490" s="7">
        <v>77.0</v>
      </c>
      <c r="C490" s="7">
        <v>1.0</v>
      </c>
      <c r="D490" s="8" t="s">
        <v>279</v>
      </c>
      <c r="E490" s="7">
        <v>12.0</v>
      </c>
      <c r="F490" s="8" t="s">
        <v>56</v>
      </c>
      <c r="G490" s="8" t="s">
        <v>67</v>
      </c>
      <c r="H490" s="8" t="s">
        <v>63</v>
      </c>
      <c r="I490" s="22" t="s">
        <v>146</v>
      </c>
      <c r="J490" s="22" t="s">
        <v>52</v>
      </c>
      <c r="K490" s="11" t="s">
        <v>53</v>
      </c>
      <c r="L490" s="18">
        <v>0.029131</v>
      </c>
      <c r="M490" s="18">
        <v>0.030248</v>
      </c>
      <c r="N490" s="18">
        <v>0.033596</v>
      </c>
      <c r="O490" s="18">
        <v>0.035086</v>
      </c>
      <c r="P490" s="18">
        <v>0.03517</v>
      </c>
      <c r="Q490" s="18">
        <v>0.036052</v>
      </c>
      <c r="R490" s="18">
        <v>0.034457</v>
      </c>
      <c r="S490" s="18">
        <v>0.031707</v>
      </c>
      <c r="T490" s="18">
        <v>0.03113</v>
      </c>
      <c r="U490" s="18">
        <v>0.031397</v>
      </c>
      <c r="V490" s="18">
        <v>0.03186</v>
      </c>
      <c r="W490" s="18">
        <v>0.031674</v>
      </c>
      <c r="X490" s="18">
        <v>0.030574</v>
      </c>
      <c r="Y490" s="18">
        <v>0.03094</v>
      </c>
      <c r="Z490" s="18">
        <v>0.031231</v>
      </c>
      <c r="AA490" s="18">
        <v>0.031473</v>
      </c>
      <c r="AB490" s="18">
        <v>0.031546</v>
      </c>
      <c r="AC490" s="18">
        <v>0.030642</v>
      </c>
      <c r="AD490" s="18">
        <v>0.028503</v>
      </c>
      <c r="AE490" s="18">
        <v>0.027176</v>
      </c>
      <c r="AF490" s="18">
        <v>0.026481</v>
      </c>
      <c r="AG490" s="18">
        <v>0.024583</v>
      </c>
      <c r="AH490" s="18">
        <v>0.021537</v>
      </c>
      <c r="AI490" s="18">
        <v>0.016421</v>
      </c>
      <c r="AJ490" s="18">
        <v>0.012231</v>
      </c>
      <c r="AK490" s="18">
        <v>0.011632</v>
      </c>
      <c r="AL490" s="2">
        <v>0.0</v>
      </c>
      <c r="AM490" s="2">
        <v>0.0</v>
      </c>
      <c r="AN490" s="2">
        <v>0.0</v>
      </c>
      <c r="AO490" s="2">
        <v>0.0</v>
      </c>
      <c r="AP490" s="20">
        <v>0.0</v>
      </c>
      <c r="AQ490" s="20">
        <v>0.0</v>
      </c>
      <c r="AR490" s="20">
        <v>0.0</v>
      </c>
      <c r="AS490" s="20">
        <v>0.0</v>
      </c>
      <c r="AT490" s="12">
        <f>AVERAGE(L490:AK490)</f>
        <v>0.02871069231</v>
      </c>
      <c r="AU490" s="12">
        <f t="shared" si="56"/>
        <v>0.02871069231</v>
      </c>
      <c r="AV490" s="14"/>
      <c r="AW490" s="15"/>
      <c r="AX490" s="15"/>
    </row>
    <row r="491" ht="15.75" customHeight="1">
      <c r="A491" s="7">
        <v>240320.0</v>
      </c>
      <c r="B491" s="7">
        <v>77.0</v>
      </c>
      <c r="C491" s="7">
        <v>1.0</v>
      </c>
      <c r="D491" s="8" t="s">
        <v>269</v>
      </c>
      <c r="E491" s="7">
        <v>12.0</v>
      </c>
      <c r="F491" s="8" t="s">
        <v>56</v>
      </c>
      <c r="G491" s="8" t="s">
        <v>49</v>
      </c>
      <c r="H491" s="8" t="s">
        <v>50</v>
      </c>
      <c r="I491" s="22" t="s">
        <v>185</v>
      </c>
      <c r="J491" s="22" t="s">
        <v>52</v>
      </c>
      <c r="K491" s="11" t="s">
        <v>53</v>
      </c>
      <c r="L491" s="18">
        <v>0.008866</v>
      </c>
      <c r="M491" s="18">
        <v>0.011313</v>
      </c>
      <c r="N491" s="18">
        <v>0.012603</v>
      </c>
      <c r="O491" s="18">
        <v>0.012318</v>
      </c>
      <c r="P491" s="18">
        <v>0.011052</v>
      </c>
      <c r="Q491" s="18">
        <v>0.0099</v>
      </c>
      <c r="R491" s="18">
        <v>0.009595</v>
      </c>
      <c r="S491" s="18">
        <v>0.010004</v>
      </c>
      <c r="T491" s="18">
        <v>0.010679</v>
      </c>
      <c r="U491" s="18">
        <v>0.009612</v>
      </c>
      <c r="V491" s="18">
        <v>0.009054</v>
      </c>
      <c r="W491" s="18">
        <v>0.009187</v>
      </c>
      <c r="X491" s="18">
        <v>0.007271</v>
      </c>
      <c r="Y491" s="18">
        <v>0.007289</v>
      </c>
      <c r="Z491" s="18">
        <v>0.009188</v>
      </c>
      <c r="AA491" s="18">
        <v>0.008974</v>
      </c>
      <c r="AB491" s="18">
        <v>0.007601</v>
      </c>
      <c r="AC491" s="18">
        <v>0.006362</v>
      </c>
      <c r="AD491" s="18">
        <v>0.006393</v>
      </c>
      <c r="AE491" s="18">
        <v>0.006332</v>
      </c>
      <c r="AF491" s="18">
        <v>0.005391</v>
      </c>
      <c r="AG491" s="18">
        <v>0.005214</v>
      </c>
      <c r="AH491" s="18">
        <v>0.005955</v>
      </c>
      <c r="AI491" s="18">
        <v>0.006301</v>
      </c>
      <c r="AJ491" s="18">
        <v>0.005409</v>
      </c>
      <c r="AK491" s="18">
        <v>0.004582</v>
      </c>
      <c r="AL491" s="18">
        <v>0.003885</v>
      </c>
      <c r="AM491" s="18">
        <v>0.002317</v>
      </c>
      <c r="AN491" s="18">
        <v>1.42E-4</v>
      </c>
      <c r="AO491" s="18">
        <v>0.0</v>
      </c>
      <c r="AP491" s="20">
        <v>0.0</v>
      </c>
      <c r="AQ491" s="20">
        <v>0.0</v>
      </c>
      <c r="AR491" s="20">
        <v>0.0</v>
      </c>
      <c r="AS491" s="20">
        <v>0.0</v>
      </c>
      <c r="AT491" s="12">
        <f>AVERAGE(L491:AN491)</f>
        <v>0.00768237931</v>
      </c>
      <c r="AU491" s="12">
        <f t="shared" si="56"/>
        <v>0.00768237931</v>
      </c>
      <c r="AV491" s="14"/>
      <c r="AW491" s="15"/>
      <c r="AX491" s="15"/>
    </row>
    <row r="492" ht="15.75" customHeight="1">
      <c r="A492" s="7">
        <v>240320.0</v>
      </c>
      <c r="B492" s="7">
        <v>77.0</v>
      </c>
      <c r="C492" s="7">
        <v>1.0</v>
      </c>
      <c r="D492" s="8" t="s">
        <v>270</v>
      </c>
      <c r="E492" s="7">
        <v>12.0</v>
      </c>
      <c r="F492" s="8" t="s">
        <v>56</v>
      </c>
      <c r="G492" s="8" t="s">
        <v>49</v>
      </c>
      <c r="H492" s="8" t="s">
        <v>63</v>
      </c>
      <c r="I492" s="22" t="s">
        <v>185</v>
      </c>
      <c r="J492" s="22" t="s">
        <v>52</v>
      </c>
      <c r="K492" s="11" t="s">
        <v>53</v>
      </c>
      <c r="L492" s="18">
        <v>0.008297</v>
      </c>
      <c r="M492" s="18">
        <v>0.008873</v>
      </c>
      <c r="N492" s="18">
        <v>0.008578</v>
      </c>
      <c r="O492" s="18">
        <v>0.007407</v>
      </c>
      <c r="P492" s="18">
        <v>0.007294</v>
      </c>
      <c r="Q492" s="18">
        <v>0.007919</v>
      </c>
      <c r="R492" s="18">
        <v>0.007869</v>
      </c>
      <c r="S492" s="18">
        <v>0.00808</v>
      </c>
      <c r="T492" s="18">
        <v>0.008103</v>
      </c>
      <c r="U492" s="18">
        <v>0.008796</v>
      </c>
      <c r="V492" s="18">
        <v>0.008931</v>
      </c>
      <c r="W492" s="18">
        <v>0.006675</v>
      </c>
      <c r="X492" s="18">
        <v>0.005796</v>
      </c>
      <c r="Y492" s="18">
        <v>0.006739</v>
      </c>
      <c r="Z492" s="18">
        <v>0.00734</v>
      </c>
      <c r="AA492" s="18">
        <v>0.006615</v>
      </c>
      <c r="AB492" s="18">
        <v>0.005851</v>
      </c>
      <c r="AC492" s="18">
        <v>0.006671</v>
      </c>
      <c r="AD492" s="18">
        <v>0.006222</v>
      </c>
      <c r="AE492" s="18">
        <v>0.004072</v>
      </c>
      <c r="AF492" s="18">
        <v>0.004889</v>
      </c>
      <c r="AG492" s="18">
        <v>0.005787</v>
      </c>
      <c r="AH492" s="18">
        <v>0.005859</v>
      </c>
      <c r="AI492" s="18">
        <v>0.007804</v>
      </c>
      <c r="AJ492" s="18">
        <v>0.005805</v>
      </c>
      <c r="AK492" s="18">
        <v>0.003679</v>
      </c>
      <c r="AL492" s="18">
        <v>0.006883</v>
      </c>
      <c r="AM492" s="18">
        <v>0.014396</v>
      </c>
      <c r="AN492" s="2">
        <v>0.0</v>
      </c>
      <c r="AO492" s="2">
        <v>0.0</v>
      </c>
      <c r="AP492" s="20">
        <v>0.0</v>
      </c>
      <c r="AQ492" s="20">
        <v>0.0</v>
      </c>
      <c r="AR492" s="20">
        <v>0.0</v>
      </c>
      <c r="AS492" s="20">
        <v>0.0</v>
      </c>
      <c r="AT492" s="12">
        <f t="shared" ref="AT492:AT493" si="58">AVERAGE(L492:AM492)</f>
        <v>0.007186785714</v>
      </c>
      <c r="AU492" s="12">
        <f t="shared" si="56"/>
        <v>0.007186785714</v>
      </c>
      <c r="AV492" s="14"/>
      <c r="AW492" s="15"/>
      <c r="AX492" s="15"/>
    </row>
    <row r="493" ht="15.75" customHeight="1">
      <c r="A493" s="7">
        <v>240320.0</v>
      </c>
      <c r="B493" s="7">
        <v>77.0</v>
      </c>
      <c r="C493" s="7">
        <v>1.0</v>
      </c>
      <c r="D493" s="8" t="s">
        <v>271</v>
      </c>
      <c r="E493" s="7">
        <v>12.0</v>
      </c>
      <c r="F493" s="8" t="s">
        <v>56</v>
      </c>
      <c r="G493" s="8" t="s">
        <v>49</v>
      </c>
      <c r="H493" s="8" t="s">
        <v>65</v>
      </c>
      <c r="I493" s="22" t="s">
        <v>185</v>
      </c>
      <c r="J493" s="22" t="s">
        <v>52</v>
      </c>
      <c r="K493" s="11" t="s">
        <v>53</v>
      </c>
      <c r="L493" s="18">
        <v>0.013987</v>
      </c>
      <c r="M493" s="18">
        <v>0.012353</v>
      </c>
      <c r="N493" s="18">
        <v>0.011041</v>
      </c>
      <c r="O493" s="18">
        <v>0.010385</v>
      </c>
      <c r="P493" s="18">
        <v>0.010241</v>
      </c>
      <c r="Q493" s="18">
        <v>0.009611</v>
      </c>
      <c r="R493" s="18">
        <v>0.009884</v>
      </c>
      <c r="S493" s="18">
        <v>0.009836</v>
      </c>
      <c r="T493" s="18">
        <v>0.007643</v>
      </c>
      <c r="U493" s="18">
        <v>0.005766</v>
      </c>
      <c r="V493" s="18">
        <v>0.00443</v>
      </c>
      <c r="W493" s="18">
        <v>0.00399</v>
      </c>
      <c r="X493" s="18">
        <v>0.004314</v>
      </c>
      <c r="Y493" s="18">
        <v>0.003922</v>
      </c>
      <c r="Z493" s="18">
        <v>0.004188</v>
      </c>
      <c r="AA493" s="18">
        <v>0.004662</v>
      </c>
      <c r="AB493" s="18">
        <v>0.004374</v>
      </c>
      <c r="AC493" s="18">
        <v>0.003916</v>
      </c>
      <c r="AD493" s="18">
        <v>0.004009</v>
      </c>
      <c r="AE493" s="18">
        <v>0.003999</v>
      </c>
      <c r="AF493" s="18">
        <v>0.00427</v>
      </c>
      <c r="AG493" s="18">
        <v>0.005024</v>
      </c>
      <c r="AH493" s="18">
        <v>0.005237</v>
      </c>
      <c r="AI493" s="18">
        <v>0.005759</v>
      </c>
      <c r="AJ493" s="18">
        <v>0.005384</v>
      </c>
      <c r="AK493" s="18">
        <v>0.002656</v>
      </c>
      <c r="AL493" s="18">
        <v>4.34E-4</v>
      </c>
      <c r="AM493" s="18">
        <v>5.89E-5</v>
      </c>
      <c r="AN493" s="18">
        <v>0.0</v>
      </c>
      <c r="AO493" s="2">
        <v>0.0</v>
      </c>
      <c r="AP493" s="20">
        <v>0.0</v>
      </c>
      <c r="AQ493" s="20">
        <v>0.0</v>
      </c>
      <c r="AR493" s="20">
        <v>0.0</v>
      </c>
      <c r="AS493" s="20">
        <v>0.0</v>
      </c>
      <c r="AT493" s="12">
        <f t="shared" si="58"/>
        <v>0.006120496429</v>
      </c>
      <c r="AU493" s="12">
        <f t="shared" si="56"/>
        <v>0.006120496429</v>
      </c>
      <c r="AV493" s="14"/>
      <c r="AW493" s="15"/>
      <c r="AX493" s="15"/>
    </row>
    <row r="494" ht="15.75" customHeight="1">
      <c r="A494" s="7">
        <v>240320.0</v>
      </c>
      <c r="B494" s="7">
        <v>77.0</v>
      </c>
      <c r="C494" s="7">
        <v>1.0</v>
      </c>
      <c r="D494" s="8" t="s">
        <v>272</v>
      </c>
      <c r="E494" s="7">
        <v>12.0</v>
      </c>
      <c r="F494" s="8" t="s">
        <v>56</v>
      </c>
      <c r="G494" s="8" t="s">
        <v>49</v>
      </c>
      <c r="H494" s="8" t="s">
        <v>61</v>
      </c>
      <c r="I494" s="22" t="s">
        <v>185</v>
      </c>
      <c r="J494" s="22" t="s">
        <v>52</v>
      </c>
      <c r="K494" s="11" t="s">
        <v>53</v>
      </c>
      <c r="L494" s="18">
        <v>0.006568</v>
      </c>
      <c r="M494" s="18">
        <v>0.006376</v>
      </c>
      <c r="N494" s="18">
        <v>0.007245</v>
      </c>
      <c r="O494" s="18">
        <v>0.008256</v>
      </c>
      <c r="P494" s="18">
        <v>0.008331</v>
      </c>
      <c r="Q494" s="18">
        <v>0.007358</v>
      </c>
      <c r="R494" s="18">
        <v>0.006735</v>
      </c>
      <c r="S494" s="18">
        <v>0.008272</v>
      </c>
      <c r="T494" s="18">
        <v>0.007856</v>
      </c>
      <c r="U494" s="18">
        <v>0.007538</v>
      </c>
      <c r="V494" s="18">
        <v>0.008166</v>
      </c>
      <c r="W494" s="18">
        <v>0.007107</v>
      </c>
      <c r="X494" s="18">
        <v>0.006549</v>
      </c>
      <c r="Y494" s="18">
        <v>0.007183</v>
      </c>
      <c r="Z494" s="18">
        <v>0.00677</v>
      </c>
      <c r="AA494" s="18">
        <v>0.005634</v>
      </c>
      <c r="AB494" s="18">
        <v>0.004879</v>
      </c>
      <c r="AC494" s="18">
        <v>0.0049</v>
      </c>
      <c r="AD494" s="18">
        <v>0.004732</v>
      </c>
      <c r="AE494" s="18">
        <v>0.003879</v>
      </c>
      <c r="AF494" s="18">
        <v>0.00377</v>
      </c>
      <c r="AG494" s="18">
        <v>0.003186</v>
      </c>
      <c r="AH494" s="18">
        <v>0.002656</v>
      </c>
      <c r="AI494" s="18">
        <v>0.002291</v>
      </c>
      <c r="AJ494" s="18">
        <v>0.00212</v>
      </c>
      <c r="AK494" s="18">
        <v>0.003741</v>
      </c>
      <c r="AL494" s="18">
        <v>0.00785</v>
      </c>
      <c r="AM494" s="18">
        <v>0.010556</v>
      </c>
      <c r="AN494" s="18">
        <v>6.7E-4</v>
      </c>
      <c r="AO494" s="2">
        <v>0.0</v>
      </c>
      <c r="AP494" s="20">
        <v>0.0</v>
      </c>
      <c r="AQ494" s="20">
        <v>0.0</v>
      </c>
      <c r="AR494" s="20">
        <v>0.0</v>
      </c>
      <c r="AS494" s="20">
        <v>0.0</v>
      </c>
      <c r="AT494" s="12">
        <f>AVERAGE(L494:AN494)</f>
        <v>0.005902551724</v>
      </c>
      <c r="AU494" s="12">
        <f t="shared" si="56"/>
        <v>0.005902551724</v>
      </c>
      <c r="AV494" s="14"/>
      <c r="AW494" s="15"/>
      <c r="AX494" s="15"/>
    </row>
    <row r="495" ht="15.75" customHeight="1">
      <c r="A495" s="7">
        <v>240403.0</v>
      </c>
      <c r="B495" s="7">
        <v>77.0</v>
      </c>
      <c r="C495" s="7">
        <v>1.0</v>
      </c>
      <c r="D495" s="8" t="s">
        <v>273</v>
      </c>
      <c r="E495" s="7">
        <v>12.0</v>
      </c>
      <c r="F495" s="8" t="s">
        <v>48</v>
      </c>
      <c r="G495" s="8" t="s">
        <v>67</v>
      </c>
      <c r="H495" s="8" t="s">
        <v>65</v>
      </c>
      <c r="I495" s="22" t="s">
        <v>185</v>
      </c>
      <c r="J495" s="22" t="s">
        <v>52</v>
      </c>
      <c r="K495" s="11" t="s">
        <v>57</v>
      </c>
      <c r="L495" s="18">
        <v>0.017731</v>
      </c>
      <c r="M495" s="18">
        <v>0.012584</v>
      </c>
      <c r="N495" s="18">
        <v>0.011501</v>
      </c>
      <c r="O495" s="18">
        <v>0.012508</v>
      </c>
      <c r="P495" s="18">
        <v>0.012435</v>
      </c>
      <c r="Q495" s="18">
        <v>0.011481</v>
      </c>
      <c r="R495" s="18">
        <v>0.010162</v>
      </c>
      <c r="S495" s="18">
        <v>0.00958</v>
      </c>
      <c r="T495" s="18">
        <v>0.009505</v>
      </c>
      <c r="U495" s="18">
        <v>0.008415</v>
      </c>
      <c r="V495" s="18">
        <v>0.007163</v>
      </c>
      <c r="W495" s="18">
        <v>0.006781</v>
      </c>
      <c r="X495" s="18">
        <v>0.006306</v>
      </c>
      <c r="Y495" s="18">
        <v>0.005814</v>
      </c>
      <c r="Z495" s="18">
        <v>0.005017</v>
      </c>
      <c r="AA495" s="18">
        <v>0.004501</v>
      </c>
      <c r="AB495" s="18">
        <v>0.004494</v>
      </c>
      <c r="AC495" s="18">
        <v>0.004221</v>
      </c>
      <c r="AD495" s="18">
        <v>0.003806</v>
      </c>
      <c r="AE495" s="18">
        <v>0.00487</v>
      </c>
      <c r="AF495" s="18">
        <v>0.00565</v>
      </c>
      <c r="AG495" s="18">
        <v>0.004852</v>
      </c>
      <c r="AH495" s="18">
        <v>0.004519</v>
      </c>
      <c r="AI495" s="18">
        <v>0.003907</v>
      </c>
      <c r="AJ495" s="18">
        <v>0.002905</v>
      </c>
      <c r="AK495" s="18">
        <v>0.002562</v>
      </c>
      <c r="AL495" s="18">
        <v>0.002137</v>
      </c>
      <c r="AM495" s="18">
        <v>0.00182</v>
      </c>
      <c r="AN495" s="18">
        <v>0.001707</v>
      </c>
      <c r="AO495" s="18">
        <v>0.001063</v>
      </c>
      <c r="AP495" s="20">
        <v>0.0</v>
      </c>
      <c r="AQ495" s="20">
        <v>0.0</v>
      </c>
      <c r="AR495" s="20">
        <v>0.0</v>
      </c>
      <c r="AS495" s="20">
        <v>0.0</v>
      </c>
      <c r="AT495" s="12">
        <f>AVERAGE(L495:AO495)</f>
        <v>0.006666566667</v>
      </c>
      <c r="AU495" s="12">
        <f t="shared" si="56"/>
        <v>0.006666566667</v>
      </c>
      <c r="AV495" s="14"/>
      <c r="AW495" s="15"/>
      <c r="AX495" s="15"/>
    </row>
    <row r="496" ht="15.75" customHeight="1">
      <c r="A496" s="7">
        <v>240403.0</v>
      </c>
      <c r="B496" s="7">
        <v>77.0</v>
      </c>
      <c r="C496" s="7">
        <v>1.0</v>
      </c>
      <c r="D496" s="8" t="s">
        <v>274</v>
      </c>
      <c r="E496" s="7">
        <v>12.0</v>
      </c>
      <c r="F496" s="8" t="s">
        <v>48</v>
      </c>
      <c r="G496" s="8" t="s">
        <v>67</v>
      </c>
      <c r="H496" s="8" t="s">
        <v>61</v>
      </c>
      <c r="I496" s="22" t="s">
        <v>185</v>
      </c>
      <c r="J496" s="22" t="s">
        <v>52</v>
      </c>
      <c r="K496" s="11" t="s">
        <v>57</v>
      </c>
      <c r="L496" s="18">
        <v>0.010792</v>
      </c>
      <c r="M496" s="18">
        <v>0.012143</v>
      </c>
      <c r="N496" s="18">
        <v>0.011824</v>
      </c>
      <c r="O496" s="18">
        <v>0.011838</v>
      </c>
      <c r="P496" s="18">
        <v>0.010648</v>
      </c>
      <c r="Q496" s="18">
        <v>0.00907</v>
      </c>
      <c r="R496" s="18">
        <v>0.011704</v>
      </c>
      <c r="S496" s="18">
        <v>0.012924</v>
      </c>
      <c r="T496" s="18">
        <v>0.011514</v>
      </c>
      <c r="U496" s="18">
        <v>0.010648</v>
      </c>
      <c r="V496" s="18">
        <v>0.011056</v>
      </c>
      <c r="W496" s="18">
        <v>0.011307</v>
      </c>
      <c r="X496" s="18">
        <v>0.011372</v>
      </c>
      <c r="Y496" s="18">
        <v>0.010491</v>
      </c>
      <c r="Z496" s="18">
        <v>0.008805</v>
      </c>
      <c r="AA496" s="18">
        <v>0.007781</v>
      </c>
      <c r="AB496" s="18">
        <v>0.007083</v>
      </c>
      <c r="AC496" s="18">
        <v>0.00694</v>
      </c>
      <c r="AD496" s="18">
        <v>0.006064</v>
      </c>
      <c r="AE496" s="18">
        <v>0.004501</v>
      </c>
      <c r="AF496" s="18">
        <v>0.003893</v>
      </c>
      <c r="AG496" s="18">
        <v>0.00401</v>
      </c>
      <c r="AH496" s="18">
        <v>0.003338</v>
      </c>
      <c r="AI496" s="18">
        <v>0.001823</v>
      </c>
      <c r="AJ496" s="18">
        <v>0.001159</v>
      </c>
      <c r="AK496" s="18">
        <v>0.00148</v>
      </c>
      <c r="AL496" s="18">
        <v>0.001889</v>
      </c>
      <c r="AM496" s="18">
        <v>0.002534</v>
      </c>
      <c r="AN496" s="18">
        <v>0.0</v>
      </c>
      <c r="AO496" s="2">
        <v>0.0</v>
      </c>
      <c r="AP496" s="20">
        <v>0.0</v>
      </c>
      <c r="AQ496" s="20">
        <v>0.0</v>
      </c>
      <c r="AR496" s="20">
        <v>0.0</v>
      </c>
      <c r="AS496" s="20">
        <v>0.0</v>
      </c>
      <c r="AT496" s="12">
        <f>AVERAGE(L496:AM496)</f>
        <v>0.00780825</v>
      </c>
      <c r="AU496" s="12">
        <f t="shared" si="56"/>
        <v>0.00780825</v>
      </c>
      <c r="AV496" s="14"/>
      <c r="AW496" s="15"/>
      <c r="AX496" s="15"/>
    </row>
    <row r="497" ht="15.75" customHeight="1">
      <c r="A497" s="7">
        <v>240403.0</v>
      </c>
      <c r="B497" s="7">
        <v>77.0</v>
      </c>
      <c r="C497" s="7">
        <v>1.0</v>
      </c>
      <c r="D497" s="8" t="s">
        <v>275</v>
      </c>
      <c r="E497" s="7">
        <v>12.0</v>
      </c>
      <c r="F497" s="8" t="s">
        <v>48</v>
      </c>
      <c r="G497" s="8" t="s">
        <v>67</v>
      </c>
      <c r="H497" s="8" t="s">
        <v>63</v>
      </c>
      <c r="I497" s="22" t="s">
        <v>185</v>
      </c>
      <c r="J497" s="22" t="s">
        <v>52</v>
      </c>
      <c r="K497" s="11" t="s">
        <v>57</v>
      </c>
      <c r="L497" s="18">
        <v>0.011099</v>
      </c>
      <c r="M497" s="18">
        <v>0.012179</v>
      </c>
      <c r="N497" s="18">
        <v>0.010564</v>
      </c>
      <c r="O497" s="18">
        <v>0.008957</v>
      </c>
      <c r="P497" s="18">
        <v>0.009379</v>
      </c>
      <c r="Q497" s="18">
        <v>0.009394</v>
      </c>
      <c r="R497" s="18">
        <v>0.008623</v>
      </c>
      <c r="S497" s="18">
        <v>0.00866</v>
      </c>
      <c r="T497" s="18">
        <v>0.008908</v>
      </c>
      <c r="U497" s="18">
        <v>0.008428</v>
      </c>
      <c r="V497" s="18">
        <v>0.008144</v>
      </c>
      <c r="W497" s="18">
        <v>0.007399</v>
      </c>
      <c r="X497" s="18">
        <v>0.006552</v>
      </c>
      <c r="Y497" s="18">
        <v>0.006901</v>
      </c>
      <c r="Z497" s="18">
        <v>0.007437</v>
      </c>
      <c r="AA497" s="18">
        <v>0.006612</v>
      </c>
      <c r="AB497" s="18">
        <v>0.006324</v>
      </c>
      <c r="AC497" s="18">
        <v>0.006636</v>
      </c>
      <c r="AD497" s="18">
        <v>0.006144</v>
      </c>
      <c r="AE497" s="18">
        <v>0.005344</v>
      </c>
      <c r="AF497" s="18">
        <v>0.004885</v>
      </c>
      <c r="AG497" s="18">
        <v>0.005244</v>
      </c>
      <c r="AH497" s="18">
        <v>0.005875</v>
      </c>
      <c r="AI497" s="18">
        <v>0.004994</v>
      </c>
      <c r="AJ497" s="18">
        <v>0.004038</v>
      </c>
      <c r="AK497" s="18">
        <v>0.004335</v>
      </c>
      <c r="AL497" s="18">
        <v>0.003509</v>
      </c>
      <c r="AM497" s="2">
        <v>0.0</v>
      </c>
      <c r="AN497" s="2">
        <v>0.0</v>
      </c>
      <c r="AO497" s="2">
        <v>0.0</v>
      </c>
      <c r="AP497" s="20">
        <v>0.0</v>
      </c>
      <c r="AQ497" s="20">
        <v>0.0</v>
      </c>
      <c r="AR497" s="20">
        <v>0.0</v>
      </c>
      <c r="AS497" s="20">
        <v>0.0</v>
      </c>
      <c r="AT497" s="12">
        <f>AVERAGE(L497:AL497)</f>
        <v>0.007280148148</v>
      </c>
      <c r="AU497" s="12">
        <f t="shared" si="56"/>
        <v>0.007280148148</v>
      </c>
      <c r="AV497" s="14"/>
      <c r="AW497" s="15"/>
      <c r="AX497" s="15"/>
    </row>
    <row r="498" ht="15.75" customHeight="1">
      <c r="A498" s="7">
        <v>240404.0</v>
      </c>
      <c r="B498" s="7">
        <v>77.0</v>
      </c>
      <c r="C498" s="7">
        <v>1.0</v>
      </c>
      <c r="D498" s="8" t="s">
        <v>276</v>
      </c>
      <c r="E498" s="7">
        <v>12.0</v>
      </c>
      <c r="F498" s="8" t="s">
        <v>48</v>
      </c>
      <c r="G498" s="8" t="s">
        <v>49</v>
      </c>
      <c r="H498" s="8" t="s">
        <v>50</v>
      </c>
      <c r="I498" s="22" t="s">
        <v>185</v>
      </c>
      <c r="J498" s="22" t="s">
        <v>52</v>
      </c>
      <c r="K498" s="11" t="s">
        <v>57</v>
      </c>
      <c r="L498" s="18">
        <v>0.014423</v>
      </c>
      <c r="M498" s="18">
        <v>0.011884</v>
      </c>
      <c r="N498" s="18">
        <v>0.011978</v>
      </c>
      <c r="O498" s="18">
        <v>0.012881</v>
      </c>
      <c r="P498" s="18">
        <v>0.011972</v>
      </c>
      <c r="Q498" s="18">
        <v>0.010864</v>
      </c>
      <c r="R498" s="18">
        <v>0.010821</v>
      </c>
      <c r="S498" s="18">
        <v>0.011214</v>
      </c>
      <c r="T498" s="18">
        <v>0.01108</v>
      </c>
      <c r="U498" s="18">
        <v>0.009697</v>
      </c>
      <c r="V498" s="18">
        <v>0.00749</v>
      </c>
      <c r="W498" s="18">
        <v>0.006356</v>
      </c>
      <c r="X498" s="18">
        <v>0.005992</v>
      </c>
      <c r="Y498" s="18">
        <v>0.006002</v>
      </c>
      <c r="Z498" s="18">
        <v>0.005953</v>
      </c>
      <c r="AA498" s="18">
        <v>0.006094</v>
      </c>
      <c r="AB498" s="18">
        <v>0.00643</v>
      </c>
      <c r="AC498" s="18">
        <v>0.005542</v>
      </c>
      <c r="AD498" s="18">
        <v>0.00479</v>
      </c>
      <c r="AE498" s="18">
        <v>0.005181</v>
      </c>
      <c r="AF498" s="18">
        <v>0.005412</v>
      </c>
      <c r="AG498" s="18">
        <v>0.005402</v>
      </c>
      <c r="AH498" s="18">
        <v>0.006236</v>
      </c>
      <c r="AI498" s="18">
        <v>0.006567</v>
      </c>
      <c r="AJ498" s="18">
        <v>0.005679</v>
      </c>
      <c r="AK498" s="18">
        <v>0.003492</v>
      </c>
      <c r="AL498" s="18">
        <v>0.00226</v>
      </c>
      <c r="AM498" s="18">
        <v>0.002139</v>
      </c>
      <c r="AN498" s="18">
        <v>7.15E-4</v>
      </c>
      <c r="AO498" s="18">
        <v>0.009113</v>
      </c>
      <c r="AP498" s="20">
        <v>0.0</v>
      </c>
      <c r="AQ498" s="20">
        <v>0.0</v>
      </c>
      <c r="AR498" s="20">
        <v>0.0</v>
      </c>
      <c r="AS498" s="20">
        <v>0.0</v>
      </c>
      <c r="AT498" s="12">
        <f>AVERAGE(L498:AO498)</f>
        <v>0.0074553</v>
      </c>
      <c r="AU498" s="12">
        <f t="shared" si="56"/>
        <v>0.0074553</v>
      </c>
      <c r="AV498" s="14"/>
      <c r="AW498" s="15"/>
      <c r="AX498" s="15"/>
    </row>
    <row r="499" ht="15.75" customHeight="1">
      <c r="A499" s="7">
        <v>240404.0</v>
      </c>
      <c r="B499" s="7">
        <v>77.0</v>
      </c>
      <c r="C499" s="7">
        <v>1.0</v>
      </c>
      <c r="D499" s="8" t="s">
        <v>277</v>
      </c>
      <c r="E499" s="7">
        <v>12.0</v>
      </c>
      <c r="F499" s="8" t="s">
        <v>48</v>
      </c>
      <c r="G499" s="8" t="s">
        <v>49</v>
      </c>
      <c r="H499" s="8" t="s">
        <v>63</v>
      </c>
      <c r="I499" s="22" t="s">
        <v>185</v>
      </c>
      <c r="J499" s="22" t="s">
        <v>52</v>
      </c>
      <c r="K499" s="11" t="s">
        <v>57</v>
      </c>
      <c r="L499" s="18">
        <v>0.011338</v>
      </c>
      <c r="M499" s="18">
        <v>0.011681</v>
      </c>
      <c r="N499" s="18">
        <v>0.012324</v>
      </c>
      <c r="O499" s="18">
        <v>0.012144</v>
      </c>
      <c r="P499" s="18">
        <v>0.011342</v>
      </c>
      <c r="Q499" s="18">
        <v>0.010517</v>
      </c>
      <c r="R499" s="18">
        <v>0.01036</v>
      </c>
      <c r="S499" s="18">
        <v>0.01101</v>
      </c>
      <c r="T499" s="18">
        <v>0.010767</v>
      </c>
      <c r="U499" s="18">
        <v>0.011331</v>
      </c>
      <c r="V499" s="18">
        <v>0.010745</v>
      </c>
      <c r="W499" s="18">
        <v>0.010122</v>
      </c>
      <c r="X499" s="18">
        <v>0.010444</v>
      </c>
      <c r="Y499" s="18">
        <v>0.009339</v>
      </c>
      <c r="Z499" s="18">
        <v>0.007883</v>
      </c>
      <c r="AA499" s="18">
        <v>0.006651</v>
      </c>
      <c r="AB499" s="18">
        <v>0.006041</v>
      </c>
      <c r="AC499" s="18">
        <v>0.007593</v>
      </c>
      <c r="AD499" s="18">
        <v>0.007615</v>
      </c>
      <c r="AE499" s="18">
        <v>0.005829</v>
      </c>
      <c r="AF499" s="18">
        <v>0.006473</v>
      </c>
      <c r="AG499" s="18">
        <v>0.006562</v>
      </c>
      <c r="AH499" s="18">
        <v>0.005063</v>
      </c>
      <c r="AI499" s="18">
        <v>0.002676</v>
      </c>
      <c r="AJ499" s="18">
        <v>7.56E-4</v>
      </c>
      <c r="AK499" s="18">
        <v>0.002875</v>
      </c>
      <c r="AL499" s="18">
        <v>0.007149</v>
      </c>
      <c r="AM499" s="18">
        <v>0.010939</v>
      </c>
      <c r="AN499" s="2">
        <v>0.0</v>
      </c>
      <c r="AO499" s="2">
        <v>0.0</v>
      </c>
      <c r="AP499" s="20">
        <v>0.0</v>
      </c>
      <c r="AQ499" s="20">
        <v>0.0</v>
      </c>
      <c r="AR499" s="20">
        <v>0.0</v>
      </c>
      <c r="AS499" s="20">
        <v>0.0</v>
      </c>
      <c r="AT499" s="12">
        <f>AVERAGE(L499:AM499)</f>
        <v>0.008484607143</v>
      </c>
      <c r="AU499" s="12">
        <f t="shared" si="56"/>
        <v>0.008484607143</v>
      </c>
      <c r="AV499" s="14"/>
      <c r="AW499" s="15"/>
      <c r="AX499" s="15"/>
    </row>
    <row r="500" ht="15.75" customHeight="1">
      <c r="A500" s="7">
        <v>240425.0</v>
      </c>
      <c r="B500" s="7">
        <v>77.0</v>
      </c>
      <c r="C500" s="7">
        <v>1.0</v>
      </c>
      <c r="D500" s="8" t="s">
        <v>278</v>
      </c>
      <c r="E500" s="7">
        <v>12.0</v>
      </c>
      <c r="F500" s="8" t="s">
        <v>56</v>
      </c>
      <c r="G500" s="8" t="s">
        <v>67</v>
      </c>
      <c r="H500" s="8" t="s">
        <v>61</v>
      </c>
      <c r="I500" s="22" t="s">
        <v>185</v>
      </c>
      <c r="J500" s="22" t="s">
        <v>52</v>
      </c>
      <c r="K500" s="11" t="s">
        <v>53</v>
      </c>
      <c r="L500" s="18">
        <v>0.00928</v>
      </c>
      <c r="M500" s="18">
        <v>0.009129</v>
      </c>
      <c r="N500" s="18">
        <v>0.008738</v>
      </c>
      <c r="O500" s="18">
        <v>0.007691</v>
      </c>
      <c r="P500" s="18">
        <v>0.006765</v>
      </c>
      <c r="Q500" s="18">
        <v>0.007223</v>
      </c>
      <c r="R500" s="18">
        <v>0.008322</v>
      </c>
      <c r="S500" s="18">
        <v>0.009629</v>
      </c>
      <c r="T500" s="18">
        <v>0.00846</v>
      </c>
      <c r="U500" s="18">
        <v>0.006718</v>
      </c>
      <c r="V500" s="18">
        <v>0.007444</v>
      </c>
      <c r="W500" s="18">
        <v>0.007597</v>
      </c>
      <c r="X500" s="18">
        <v>0.008417</v>
      </c>
      <c r="Y500" s="18">
        <v>0.009133</v>
      </c>
      <c r="Z500" s="18">
        <v>0.008491</v>
      </c>
      <c r="AA500" s="18">
        <v>0.00659</v>
      </c>
      <c r="AB500" s="18">
        <v>0.004977</v>
      </c>
      <c r="AC500" s="18">
        <v>0.005133</v>
      </c>
      <c r="AD500" s="18">
        <v>0.005483</v>
      </c>
      <c r="AE500" s="18">
        <v>0.005165</v>
      </c>
      <c r="AF500" s="18">
        <v>0.005315</v>
      </c>
      <c r="AG500" s="18">
        <v>0.00448</v>
      </c>
      <c r="AH500" s="18">
        <v>0.002892</v>
      </c>
      <c r="AI500" s="18">
        <v>0.002169</v>
      </c>
      <c r="AJ500" s="18">
        <v>0.002429</v>
      </c>
      <c r="AK500" s="18">
        <v>0.002682</v>
      </c>
      <c r="AL500" s="18">
        <v>4.87E-4</v>
      </c>
      <c r="AM500" s="18">
        <v>0.0</v>
      </c>
      <c r="AN500" s="18">
        <v>0.0</v>
      </c>
      <c r="AO500" s="2">
        <v>0.0</v>
      </c>
      <c r="AP500" s="20">
        <v>0.0</v>
      </c>
      <c r="AQ500" s="20">
        <v>0.0</v>
      </c>
      <c r="AR500" s="20">
        <v>0.0</v>
      </c>
      <c r="AS500" s="20">
        <v>0.0</v>
      </c>
      <c r="AT500" s="12">
        <f>AVERAGE(L500:AL500)</f>
        <v>0.00632737037</v>
      </c>
      <c r="AU500" s="12">
        <f t="shared" si="56"/>
        <v>0.00632737037</v>
      </c>
      <c r="AV500" s="14"/>
      <c r="AW500" s="15"/>
      <c r="AX500" s="15"/>
    </row>
    <row r="501" ht="15.75" customHeight="1">
      <c r="A501" s="7">
        <v>240425.0</v>
      </c>
      <c r="B501" s="7">
        <v>77.0</v>
      </c>
      <c r="C501" s="7">
        <v>1.0</v>
      </c>
      <c r="D501" s="8" t="s">
        <v>279</v>
      </c>
      <c r="E501" s="7">
        <v>12.0</v>
      </c>
      <c r="F501" s="8" t="s">
        <v>56</v>
      </c>
      <c r="G501" s="8" t="s">
        <v>67</v>
      </c>
      <c r="H501" s="8" t="s">
        <v>63</v>
      </c>
      <c r="I501" s="22" t="s">
        <v>185</v>
      </c>
      <c r="J501" s="22" t="s">
        <v>52</v>
      </c>
      <c r="K501" s="11" t="s">
        <v>53</v>
      </c>
      <c r="L501" s="18">
        <v>0.006032</v>
      </c>
      <c r="M501" s="18">
        <v>0.007665</v>
      </c>
      <c r="N501" s="18">
        <v>0.008058</v>
      </c>
      <c r="O501" s="18">
        <v>0.007512</v>
      </c>
      <c r="P501" s="18">
        <v>0.008174</v>
      </c>
      <c r="Q501" s="18">
        <v>0.008472</v>
      </c>
      <c r="R501" s="18">
        <v>0.00807</v>
      </c>
      <c r="S501" s="18">
        <v>0.007638</v>
      </c>
      <c r="T501" s="18">
        <v>0.007328</v>
      </c>
      <c r="U501" s="18">
        <v>0.007937</v>
      </c>
      <c r="V501" s="18">
        <v>0.00811</v>
      </c>
      <c r="W501" s="18">
        <v>0.00872</v>
      </c>
      <c r="X501" s="18">
        <v>0.009616</v>
      </c>
      <c r="Y501" s="18">
        <v>0.008117</v>
      </c>
      <c r="Z501" s="18">
        <v>0.0058</v>
      </c>
      <c r="AA501" s="18">
        <v>0.005514</v>
      </c>
      <c r="AB501" s="18">
        <v>0.005848</v>
      </c>
      <c r="AC501" s="18">
        <v>0.005363</v>
      </c>
      <c r="AD501" s="18">
        <v>0.005164</v>
      </c>
      <c r="AE501" s="18">
        <v>0.006184</v>
      </c>
      <c r="AF501" s="18">
        <v>0.006191</v>
      </c>
      <c r="AG501" s="18">
        <v>0.006647</v>
      </c>
      <c r="AH501" s="18">
        <v>0.009977</v>
      </c>
      <c r="AI501" s="18">
        <v>0.013782</v>
      </c>
      <c r="AJ501" s="18">
        <v>0.015979</v>
      </c>
      <c r="AK501" s="18">
        <v>0.016757</v>
      </c>
      <c r="AL501" s="2">
        <v>0.0</v>
      </c>
      <c r="AM501" s="2">
        <v>0.0</v>
      </c>
      <c r="AN501" s="2">
        <v>0.0</v>
      </c>
      <c r="AO501" s="2">
        <v>0.0</v>
      </c>
      <c r="AP501" s="20">
        <v>0.0</v>
      </c>
      <c r="AQ501" s="20">
        <v>0.0</v>
      </c>
      <c r="AR501" s="20">
        <v>0.0</v>
      </c>
      <c r="AS501" s="20">
        <v>0.0</v>
      </c>
      <c r="AT501" s="12">
        <f>AVERAGE(L501:AK501)</f>
        <v>0.008255961538</v>
      </c>
      <c r="AU501" s="12">
        <f t="shared" si="56"/>
        <v>0.008255961538</v>
      </c>
      <c r="AV501" s="14"/>
      <c r="AW501" s="15"/>
      <c r="AX501" s="15"/>
    </row>
    <row r="502" ht="15.75" customHeight="1">
      <c r="A502" s="7">
        <v>240320.0</v>
      </c>
      <c r="B502" s="7">
        <v>77.0</v>
      </c>
      <c r="C502" s="7">
        <v>1.0</v>
      </c>
      <c r="D502" s="8" t="s">
        <v>269</v>
      </c>
      <c r="E502" s="7">
        <v>12.0</v>
      </c>
      <c r="F502" s="8" t="s">
        <v>56</v>
      </c>
      <c r="G502" s="8" t="s">
        <v>49</v>
      </c>
      <c r="H502" s="8" t="s">
        <v>50</v>
      </c>
      <c r="I502" s="22" t="s">
        <v>51</v>
      </c>
      <c r="J502" s="22" t="s">
        <v>52</v>
      </c>
      <c r="K502" s="11" t="s">
        <v>53</v>
      </c>
      <c r="L502" s="18">
        <v>0.013922</v>
      </c>
      <c r="M502" s="18">
        <v>0.014242</v>
      </c>
      <c r="N502" s="18">
        <v>0.015495</v>
      </c>
      <c r="O502" s="18">
        <v>0.01431</v>
      </c>
      <c r="P502" s="18">
        <v>0.011616</v>
      </c>
      <c r="Q502" s="18">
        <v>0.011696</v>
      </c>
      <c r="R502" s="18">
        <v>0.010741</v>
      </c>
      <c r="S502" s="18">
        <v>0.009814</v>
      </c>
      <c r="T502" s="18">
        <v>0.010947</v>
      </c>
      <c r="U502" s="18">
        <v>0.010934</v>
      </c>
      <c r="V502" s="18">
        <v>0.011092</v>
      </c>
      <c r="W502" s="18">
        <v>0.011832</v>
      </c>
      <c r="X502" s="18">
        <v>0.011854</v>
      </c>
      <c r="Y502" s="18">
        <v>0.011624</v>
      </c>
      <c r="Z502" s="18">
        <v>0.01218</v>
      </c>
      <c r="AA502" s="18">
        <v>0.013655</v>
      </c>
      <c r="AB502" s="18">
        <v>0.013924</v>
      </c>
      <c r="AC502" s="18">
        <v>0.013306</v>
      </c>
      <c r="AD502" s="18">
        <v>0.013403</v>
      </c>
      <c r="AE502" s="18">
        <v>0.013249</v>
      </c>
      <c r="AF502" s="18">
        <v>0.012846</v>
      </c>
      <c r="AG502" s="18">
        <v>0.012617</v>
      </c>
      <c r="AH502" s="18">
        <v>0.013441</v>
      </c>
      <c r="AI502" s="18">
        <v>0.015804</v>
      </c>
      <c r="AJ502" s="18">
        <v>0.017328</v>
      </c>
      <c r="AK502" s="18">
        <v>0.014707</v>
      </c>
      <c r="AL502" s="18">
        <v>0.009102</v>
      </c>
      <c r="AM502" s="18">
        <v>0.004723</v>
      </c>
      <c r="AN502" s="18">
        <v>0.00437</v>
      </c>
      <c r="AO502" s="18">
        <v>0.009968</v>
      </c>
      <c r="AP502" s="20">
        <v>0.0</v>
      </c>
      <c r="AQ502" s="20">
        <v>0.0</v>
      </c>
      <c r="AR502" s="20">
        <v>0.0</v>
      </c>
      <c r="AS502" s="20">
        <v>0.0</v>
      </c>
      <c r="AT502" s="12">
        <f>AVERAGE(L502:AO502)</f>
        <v>0.01215806667</v>
      </c>
      <c r="AU502" s="12">
        <f t="shared" si="56"/>
        <v>0.01215806667</v>
      </c>
      <c r="AV502" s="14"/>
      <c r="AW502" s="15"/>
      <c r="AX502" s="15"/>
    </row>
    <row r="503" ht="15.75" customHeight="1">
      <c r="A503" s="7">
        <v>240320.0</v>
      </c>
      <c r="B503" s="7">
        <v>77.0</v>
      </c>
      <c r="C503" s="7">
        <v>1.0</v>
      </c>
      <c r="D503" s="8" t="s">
        <v>270</v>
      </c>
      <c r="E503" s="7">
        <v>12.0</v>
      </c>
      <c r="F503" s="8" t="s">
        <v>56</v>
      </c>
      <c r="G503" s="8" t="s">
        <v>49</v>
      </c>
      <c r="H503" s="8" t="s">
        <v>63</v>
      </c>
      <c r="I503" s="22" t="s">
        <v>51</v>
      </c>
      <c r="J503" s="22" t="s">
        <v>52</v>
      </c>
      <c r="K503" s="11" t="s">
        <v>53</v>
      </c>
      <c r="L503" s="18">
        <v>0.016542</v>
      </c>
      <c r="M503" s="18">
        <v>0.018471</v>
      </c>
      <c r="N503" s="18">
        <v>0.019615</v>
      </c>
      <c r="O503" s="18">
        <v>0.018992</v>
      </c>
      <c r="P503" s="18">
        <v>0.01866</v>
      </c>
      <c r="Q503" s="18">
        <v>0.018872</v>
      </c>
      <c r="R503" s="18">
        <v>0.017479</v>
      </c>
      <c r="S503" s="18">
        <v>0.016389</v>
      </c>
      <c r="T503" s="18">
        <v>0.017406</v>
      </c>
      <c r="U503" s="18">
        <v>0.01877</v>
      </c>
      <c r="V503" s="18">
        <v>0.017223</v>
      </c>
      <c r="W503" s="18">
        <v>0.016299</v>
      </c>
      <c r="X503" s="18">
        <v>0.018468</v>
      </c>
      <c r="Y503" s="18">
        <v>0.020282</v>
      </c>
      <c r="Z503" s="18">
        <v>0.020508</v>
      </c>
      <c r="AA503" s="18">
        <v>0.021101</v>
      </c>
      <c r="AB503" s="18">
        <v>0.021795</v>
      </c>
      <c r="AC503" s="18">
        <v>0.02245</v>
      </c>
      <c r="AD503" s="18">
        <v>0.023384</v>
      </c>
      <c r="AE503" s="18">
        <v>0.024155</v>
      </c>
      <c r="AF503" s="18">
        <v>0.024891</v>
      </c>
      <c r="AG503" s="18">
        <v>0.02579</v>
      </c>
      <c r="AH503" s="18">
        <v>0.026882</v>
      </c>
      <c r="AI503" s="18">
        <v>0.028301</v>
      </c>
      <c r="AJ503" s="18">
        <v>0.026155</v>
      </c>
      <c r="AK503" s="18">
        <v>0.019439</v>
      </c>
      <c r="AL503" s="18">
        <v>0.012582</v>
      </c>
      <c r="AM503" s="18">
        <v>0.001321</v>
      </c>
      <c r="AN503" s="2">
        <v>0.0</v>
      </c>
      <c r="AO503" s="2">
        <v>0.0</v>
      </c>
      <c r="AP503" s="20">
        <v>0.0</v>
      </c>
      <c r="AQ503" s="20">
        <v>0.0</v>
      </c>
      <c r="AR503" s="20">
        <v>0.0</v>
      </c>
      <c r="AS503" s="20">
        <v>0.0</v>
      </c>
      <c r="AT503" s="12">
        <f>AVERAGE(L503:AM503)</f>
        <v>0.01972221429</v>
      </c>
      <c r="AU503" s="12">
        <f t="shared" si="56"/>
        <v>0.01972221429</v>
      </c>
      <c r="AV503" s="14"/>
      <c r="AW503" s="15"/>
      <c r="AX503" s="15"/>
    </row>
    <row r="504" ht="15.75" customHeight="1">
      <c r="A504" s="7">
        <v>240320.0</v>
      </c>
      <c r="B504" s="7">
        <v>77.0</v>
      </c>
      <c r="C504" s="7">
        <v>1.0</v>
      </c>
      <c r="D504" s="8" t="s">
        <v>271</v>
      </c>
      <c r="E504" s="7">
        <v>12.0</v>
      </c>
      <c r="F504" s="8" t="s">
        <v>56</v>
      </c>
      <c r="G504" s="8" t="s">
        <v>49</v>
      </c>
      <c r="H504" s="8" t="s">
        <v>65</v>
      </c>
      <c r="I504" s="22" t="s">
        <v>51</v>
      </c>
      <c r="J504" s="22" t="s">
        <v>52</v>
      </c>
      <c r="K504" s="11" t="s">
        <v>53</v>
      </c>
      <c r="L504" s="18">
        <v>0.019159</v>
      </c>
      <c r="M504" s="18">
        <v>0.019826</v>
      </c>
      <c r="N504" s="18">
        <v>0.018231</v>
      </c>
      <c r="O504" s="18">
        <v>0.01683</v>
      </c>
      <c r="P504" s="18">
        <v>0.016989</v>
      </c>
      <c r="Q504" s="18">
        <v>0.016994</v>
      </c>
      <c r="R504" s="18">
        <v>0.017651</v>
      </c>
      <c r="S504" s="18">
        <v>0.017991</v>
      </c>
      <c r="T504" s="18">
        <v>0.017712</v>
      </c>
      <c r="U504" s="18">
        <v>0.017482</v>
      </c>
      <c r="V504" s="18">
        <v>0.017545</v>
      </c>
      <c r="W504" s="18">
        <v>0.017573</v>
      </c>
      <c r="X504" s="18">
        <v>0.018312</v>
      </c>
      <c r="Y504" s="18">
        <v>0.019809</v>
      </c>
      <c r="Z504" s="18">
        <v>0.020633</v>
      </c>
      <c r="AA504" s="18">
        <v>0.021627</v>
      </c>
      <c r="AB504" s="18">
        <v>0.022123</v>
      </c>
      <c r="AC504" s="18">
        <v>0.023697</v>
      </c>
      <c r="AD504" s="18">
        <v>0.025473</v>
      </c>
      <c r="AE504" s="18">
        <v>0.025527</v>
      </c>
      <c r="AF504" s="18">
        <v>0.02609</v>
      </c>
      <c r="AG504" s="18">
        <v>0.028135</v>
      </c>
      <c r="AH504" s="18">
        <v>0.028969</v>
      </c>
      <c r="AI504" s="18">
        <v>0.028936</v>
      </c>
      <c r="AJ504" s="18">
        <v>0.029848</v>
      </c>
      <c r="AK504" s="18">
        <v>0.028927</v>
      </c>
      <c r="AL504" s="18">
        <v>0.027942</v>
      </c>
      <c r="AM504" s="18">
        <v>0.02773</v>
      </c>
      <c r="AN504" s="18">
        <v>0.025787</v>
      </c>
      <c r="AO504" s="2">
        <v>0.0</v>
      </c>
      <c r="AP504" s="20">
        <v>0.0</v>
      </c>
      <c r="AQ504" s="20">
        <v>0.0</v>
      </c>
      <c r="AR504" s="20">
        <v>0.0</v>
      </c>
      <c r="AS504" s="20">
        <v>0.0</v>
      </c>
      <c r="AT504" s="12">
        <f>AVERAGE(L504:AN504)</f>
        <v>0.02219131034</v>
      </c>
      <c r="AU504" s="12">
        <f t="shared" si="56"/>
        <v>0.02219131034</v>
      </c>
      <c r="AV504" s="14"/>
      <c r="AW504" s="15"/>
      <c r="AX504" s="15"/>
    </row>
    <row r="505" ht="15.75" customHeight="1">
      <c r="A505" s="7">
        <v>240320.0</v>
      </c>
      <c r="B505" s="7">
        <v>77.0</v>
      </c>
      <c r="C505" s="7">
        <v>1.0</v>
      </c>
      <c r="D505" s="8" t="s">
        <v>272</v>
      </c>
      <c r="E505" s="7">
        <v>12.0</v>
      </c>
      <c r="F505" s="8" t="s">
        <v>56</v>
      </c>
      <c r="G505" s="8" t="s">
        <v>49</v>
      </c>
      <c r="H505" s="8" t="s">
        <v>61</v>
      </c>
      <c r="I505" s="22" t="s">
        <v>51</v>
      </c>
      <c r="J505" s="22" t="s">
        <v>52</v>
      </c>
      <c r="K505" s="11" t="s">
        <v>53</v>
      </c>
      <c r="L505" s="18">
        <v>0.019276</v>
      </c>
      <c r="M505" s="18">
        <v>0.017438</v>
      </c>
      <c r="N505" s="18">
        <v>0.016722</v>
      </c>
      <c r="O505" s="18">
        <v>0.018093</v>
      </c>
      <c r="P505" s="18">
        <v>0.018688</v>
      </c>
      <c r="Q505" s="18">
        <v>0.018895</v>
      </c>
      <c r="R505" s="18">
        <v>0.019874</v>
      </c>
      <c r="S505" s="18">
        <v>0.018968</v>
      </c>
      <c r="T505" s="18">
        <v>0.020427</v>
      </c>
      <c r="U505" s="18">
        <v>0.02139</v>
      </c>
      <c r="V505" s="18">
        <v>0.020327</v>
      </c>
      <c r="W505" s="18">
        <v>0.020549</v>
      </c>
      <c r="X505" s="18">
        <v>0.019859</v>
      </c>
      <c r="Y505" s="18">
        <v>0.020731</v>
      </c>
      <c r="Z505" s="18">
        <v>0.021744</v>
      </c>
      <c r="AA505" s="18">
        <v>0.021566</v>
      </c>
      <c r="AB505" s="18">
        <v>0.021801</v>
      </c>
      <c r="AC505" s="18">
        <v>0.022733</v>
      </c>
      <c r="AD505" s="18">
        <v>0.024052</v>
      </c>
      <c r="AE505" s="18">
        <v>0.02552</v>
      </c>
      <c r="AF505" s="18">
        <v>0.026978</v>
      </c>
      <c r="AG505" s="18">
        <v>0.027769</v>
      </c>
      <c r="AH505" s="18">
        <v>0.027081</v>
      </c>
      <c r="AI505" s="18">
        <v>0.02243</v>
      </c>
      <c r="AJ505" s="18">
        <v>0.013344</v>
      </c>
      <c r="AK505" s="18">
        <v>0.004909</v>
      </c>
      <c r="AL505" s="18">
        <v>0.0</v>
      </c>
      <c r="AM505" s="18">
        <v>0.0</v>
      </c>
      <c r="AN505" s="18">
        <v>0.0</v>
      </c>
      <c r="AO505" s="2">
        <v>0.0</v>
      </c>
      <c r="AP505" s="20">
        <v>0.0</v>
      </c>
      <c r="AQ505" s="20">
        <v>0.0</v>
      </c>
      <c r="AR505" s="20">
        <v>0.0</v>
      </c>
      <c r="AS505" s="20">
        <v>0.0</v>
      </c>
      <c r="AT505" s="12">
        <f>AVERAGE(L505:AK505)</f>
        <v>0.02042938462</v>
      </c>
      <c r="AU505" s="12">
        <f t="shared" si="56"/>
        <v>0.02042938462</v>
      </c>
      <c r="AV505" s="14"/>
      <c r="AW505" s="15"/>
      <c r="AX505" s="15"/>
    </row>
    <row r="506" ht="15.75" customHeight="1">
      <c r="A506" s="7">
        <v>240403.0</v>
      </c>
      <c r="B506" s="7">
        <v>77.0</v>
      </c>
      <c r="C506" s="7">
        <v>1.0</v>
      </c>
      <c r="D506" s="8" t="s">
        <v>273</v>
      </c>
      <c r="E506" s="7">
        <v>12.0</v>
      </c>
      <c r="F506" s="8" t="s">
        <v>48</v>
      </c>
      <c r="G506" s="8" t="s">
        <v>67</v>
      </c>
      <c r="H506" s="8" t="s">
        <v>65</v>
      </c>
      <c r="I506" s="22" t="s">
        <v>51</v>
      </c>
      <c r="J506" s="22" t="s">
        <v>52</v>
      </c>
      <c r="K506" s="11" t="s">
        <v>57</v>
      </c>
      <c r="L506" s="18">
        <v>0.017264</v>
      </c>
      <c r="M506" s="18">
        <v>0.017928</v>
      </c>
      <c r="N506" s="18">
        <v>0.016828</v>
      </c>
      <c r="O506" s="18">
        <v>0.016093</v>
      </c>
      <c r="P506" s="18">
        <v>0.014828</v>
      </c>
      <c r="Q506" s="18">
        <v>0.014225</v>
      </c>
      <c r="R506" s="18">
        <v>0.013935</v>
      </c>
      <c r="S506" s="18">
        <v>0.012828</v>
      </c>
      <c r="T506" s="18">
        <v>0.014555</v>
      </c>
      <c r="U506" s="18">
        <v>0.016357</v>
      </c>
      <c r="V506" s="18">
        <v>0.017477</v>
      </c>
      <c r="W506" s="18">
        <v>0.018506</v>
      </c>
      <c r="X506" s="18">
        <v>0.019086</v>
      </c>
      <c r="Y506" s="18">
        <v>0.018975</v>
      </c>
      <c r="Z506" s="18">
        <v>0.019264</v>
      </c>
      <c r="AA506" s="18">
        <v>0.019454</v>
      </c>
      <c r="AB506" s="18">
        <v>0.01819</v>
      </c>
      <c r="AC506" s="18">
        <v>0.018017</v>
      </c>
      <c r="AD506" s="18">
        <v>0.020325</v>
      </c>
      <c r="AE506" s="18">
        <v>0.022009</v>
      </c>
      <c r="AF506" s="18">
        <v>0.022015</v>
      </c>
      <c r="AG506" s="18">
        <v>0.023063</v>
      </c>
      <c r="AH506" s="18">
        <v>0.022245</v>
      </c>
      <c r="AI506" s="18">
        <v>0.021538</v>
      </c>
      <c r="AJ506" s="18">
        <v>0.023279</v>
      </c>
      <c r="AK506" s="18">
        <v>0.025385</v>
      </c>
      <c r="AL506" s="18">
        <v>0.023584</v>
      </c>
      <c r="AM506" s="18">
        <v>0.017306</v>
      </c>
      <c r="AN506" s="18">
        <v>0.012899</v>
      </c>
      <c r="AO506" s="18">
        <v>0.010472</v>
      </c>
      <c r="AP506" s="20">
        <v>0.0</v>
      </c>
      <c r="AQ506" s="20">
        <v>0.0</v>
      </c>
      <c r="AR506" s="20">
        <v>0.0</v>
      </c>
      <c r="AS506" s="20">
        <v>0.0</v>
      </c>
      <c r="AT506" s="12">
        <f>AVERAGE(L506:AO506)</f>
        <v>0.01826433333</v>
      </c>
      <c r="AU506" s="12">
        <f t="shared" si="56"/>
        <v>0.01826433333</v>
      </c>
      <c r="AV506" s="14"/>
      <c r="AW506" s="15"/>
      <c r="AX506" s="15"/>
    </row>
    <row r="507" ht="15.75" customHeight="1">
      <c r="A507" s="7">
        <v>240403.0</v>
      </c>
      <c r="B507" s="7">
        <v>77.0</v>
      </c>
      <c r="C507" s="7">
        <v>1.0</v>
      </c>
      <c r="D507" s="8" t="s">
        <v>274</v>
      </c>
      <c r="E507" s="7">
        <v>12.0</v>
      </c>
      <c r="F507" s="8" t="s">
        <v>48</v>
      </c>
      <c r="G507" s="8" t="s">
        <v>67</v>
      </c>
      <c r="H507" s="8" t="s">
        <v>61</v>
      </c>
      <c r="I507" s="22" t="s">
        <v>51</v>
      </c>
      <c r="J507" s="22" t="s">
        <v>52</v>
      </c>
      <c r="K507" s="11" t="s">
        <v>57</v>
      </c>
      <c r="L507" s="18">
        <v>0.011514</v>
      </c>
      <c r="M507" s="18">
        <v>0.012541</v>
      </c>
      <c r="N507" s="18">
        <v>0.01412</v>
      </c>
      <c r="O507" s="18">
        <v>0.014337</v>
      </c>
      <c r="P507" s="18">
        <v>0.013544</v>
      </c>
      <c r="Q507" s="18">
        <v>0.014278</v>
      </c>
      <c r="R507" s="18">
        <v>0.014929</v>
      </c>
      <c r="S507" s="18">
        <v>0.014638</v>
      </c>
      <c r="T507" s="18">
        <v>0.014374</v>
      </c>
      <c r="U507" s="18">
        <v>0.014136</v>
      </c>
      <c r="V507" s="18">
        <v>0.013617</v>
      </c>
      <c r="W507" s="18">
        <v>0.01361</v>
      </c>
      <c r="X507" s="18">
        <v>0.013367</v>
      </c>
      <c r="Y507" s="18">
        <v>0.013753</v>
      </c>
      <c r="Z507" s="18">
        <v>0.015903</v>
      </c>
      <c r="AA507" s="18">
        <v>0.015639</v>
      </c>
      <c r="AB507" s="18">
        <v>0.014908</v>
      </c>
      <c r="AC507" s="18">
        <v>0.016122</v>
      </c>
      <c r="AD507" s="18">
        <v>0.01672</v>
      </c>
      <c r="AE507" s="18">
        <v>0.017468</v>
      </c>
      <c r="AF507" s="18">
        <v>0.017778</v>
      </c>
      <c r="AG507" s="18">
        <v>0.018381</v>
      </c>
      <c r="AH507" s="18">
        <v>0.019763</v>
      </c>
      <c r="AI507" s="18">
        <v>0.018591</v>
      </c>
      <c r="AJ507" s="18">
        <v>0.012831</v>
      </c>
      <c r="AK507" s="18">
        <v>0.006705</v>
      </c>
      <c r="AL507" s="18">
        <v>0.003922</v>
      </c>
      <c r="AM507" s="18">
        <v>0.001075</v>
      </c>
      <c r="AN507" s="18">
        <v>0.0</v>
      </c>
      <c r="AO507" s="2">
        <v>0.0</v>
      </c>
      <c r="AP507" s="20">
        <v>0.0</v>
      </c>
      <c r="AQ507" s="20">
        <v>0.0</v>
      </c>
      <c r="AR507" s="20">
        <v>0.0</v>
      </c>
      <c r="AS507" s="20">
        <v>0.0</v>
      </c>
      <c r="AT507" s="12">
        <f>AVERAGE(L507:AM507)</f>
        <v>0.01387728571</v>
      </c>
      <c r="AU507" s="12">
        <f t="shared" si="56"/>
        <v>0.01387728571</v>
      </c>
      <c r="AV507" s="14"/>
      <c r="AW507" s="15"/>
      <c r="AX507" s="15"/>
    </row>
    <row r="508" ht="15.75" customHeight="1">
      <c r="A508" s="7">
        <v>240403.0</v>
      </c>
      <c r="B508" s="7">
        <v>77.0</v>
      </c>
      <c r="C508" s="7">
        <v>1.0</v>
      </c>
      <c r="D508" s="8" t="s">
        <v>275</v>
      </c>
      <c r="E508" s="7">
        <v>12.0</v>
      </c>
      <c r="F508" s="8" t="s">
        <v>48</v>
      </c>
      <c r="G508" s="8" t="s">
        <v>67</v>
      </c>
      <c r="H508" s="8" t="s">
        <v>63</v>
      </c>
      <c r="I508" s="22" t="s">
        <v>51</v>
      </c>
      <c r="J508" s="22" t="s">
        <v>52</v>
      </c>
      <c r="K508" s="11" t="s">
        <v>57</v>
      </c>
      <c r="L508" s="18">
        <v>0.011969</v>
      </c>
      <c r="M508" s="18">
        <v>0.013984</v>
      </c>
      <c r="N508" s="18">
        <v>0.015386</v>
      </c>
      <c r="O508" s="18">
        <v>0.017678</v>
      </c>
      <c r="P508" s="18">
        <v>0.018426</v>
      </c>
      <c r="Q508" s="18">
        <v>0.017403</v>
      </c>
      <c r="R508" s="18">
        <v>0.016705</v>
      </c>
      <c r="S508" s="18">
        <v>0.016622</v>
      </c>
      <c r="T508" s="18">
        <v>0.016734</v>
      </c>
      <c r="U508" s="18">
        <v>0.017072</v>
      </c>
      <c r="V508" s="18">
        <v>0.017857</v>
      </c>
      <c r="W508" s="18">
        <v>0.017883</v>
      </c>
      <c r="X508" s="18">
        <v>0.017942</v>
      </c>
      <c r="Y508" s="18">
        <v>0.019466</v>
      </c>
      <c r="Z508" s="18">
        <v>0.020963</v>
      </c>
      <c r="AA508" s="18">
        <v>0.022136</v>
      </c>
      <c r="AB508" s="18">
        <v>0.02385</v>
      </c>
      <c r="AC508" s="18">
        <v>0.024785</v>
      </c>
      <c r="AD508" s="18">
        <v>0.02553</v>
      </c>
      <c r="AE508" s="18">
        <v>0.023611</v>
      </c>
      <c r="AF508" s="18">
        <v>0.020269</v>
      </c>
      <c r="AG508" s="18">
        <v>0.019006</v>
      </c>
      <c r="AH508" s="18">
        <v>0.017765</v>
      </c>
      <c r="AI508" s="18">
        <v>0.013689</v>
      </c>
      <c r="AJ508" s="18">
        <v>0.005997</v>
      </c>
      <c r="AK508" s="18">
        <v>0.001202</v>
      </c>
      <c r="AL508" s="18">
        <v>3.75E-5</v>
      </c>
      <c r="AM508" s="2">
        <v>0.0</v>
      </c>
      <c r="AN508" s="2">
        <v>0.0</v>
      </c>
      <c r="AO508" s="2">
        <v>0.0</v>
      </c>
      <c r="AP508" s="20">
        <v>0.0</v>
      </c>
      <c r="AQ508" s="20">
        <v>0.0</v>
      </c>
      <c r="AR508" s="20">
        <v>0.0</v>
      </c>
      <c r="AS508" s="20">
        <v>0.0</v>
      </c>
      <c r="AT508" s="12">
        <f>AVERAGE(L508:AL508)</f>
        <v>0.01681361111</v>
      </c>
      <c r="AU508" s="12">
        <f t="shared" si="56"/>
        <v>0.01681361111</v>
      </c>
      <c r="AV508" s="14"/>
      <c r="AW508" s="15"/>
      <c r="AX508" s="15"/>
    </row>
    <row r="509" ht="15.75" customHeight="1">
      <c r="A509" s="7">
        <v>240404.0</v>
      </c>
      <c r="B509" s="7">
        <v>77.0</v>
      </c>
      <c r="C509" s="7">
        <v>1.0</v>
      </c>
      <c r="D509" s="8" t="s">
        <v>276</v>
      </c>
      <c r="E509" s="7">
        <v>12.0</v>
      </c>
      <c r="F509" s="8" t="s">
        <v>48</v>
      </c>
      <c r="G509" s="8" t="s">
        <v>49</v>
      </c>
      <c r="H509" s="8" t="s">
        <v>50</v>
      </c>
      <c r="I509" s="22" t="s">
        <v>51</v>
      </c>
      <c r="J509" s="22" t="s">
        <v>52</v>
      </c>
      <c r="K509" s="11" t="s">
        <v>57</v>
      </c>
      <c r="L509" s="18">
        <v>0.014367</v>
      </c>
      <c r="M509" s="18">
        <v>0.01633</v>
      </c>
      <c r="N509" s="18">
        <v>0.018152</v>
      </c>
      <c r="O509" s="18">
        <v>0.017538</v>
      </c>
      <c r="P509" s="18">
        <v>0.015597</v>
      </c>
      <c r="Q509" s="18">
        <v>0.015787</v>
      </c>
      <c r="R509" s="18">
        <v>0.016365</v>
      </c>
      <c r="S509" s="18">
        <v>0.016257</v>
      </c>
      <c r="T509" s="18">
        <v>0.017758</v>
      </c>
      <c r="U509" s="18">
        <v>0.019507</v>
      </c>
      <c r="V509" s="18">
        <v>0.020462</v>
      </c>
      <c r="W509" s="18">
        <v>0.021086</v>
      </c>
      <c r="X509" s="18">
        <v>0.020917</v>
      </c>
      <c r="Y509" s="18">
        <v>0.022732</v>
      </c>
      <c r="Z509" s="18">
        <v>0.0231</v>
      </c>
      <c r="AA509" s="18">
        <v>0.023083</v>
      </c>
      <c r="AB509" s="18">
        <v>0.024893</v>
      </c>
      <c r="AC509" s="18">
        <v>0.025938</v>
      </c>
      <c r="AD509" s="18">
        <v>0.027057</v>
      </c>
      <c r="AE509" s="18">
        <v>0.028351</v>
      </c>
      <c r="AF509" s="18">
        <v>0.028914</v>
      </c>
      <c r="AG509" s="18">
        <v>0.029175</v>
      </c>
      <c r="AH509" s="18">
        <v>0.030421</v>
      </c>
      <c r="AI509" s="18">
        <v>0.032702</v>
      </c>
      <c r="AJ509" s="18">
        <v>0.033255</v>
      </c>
      <c r="AK509" s="18">
        <v>0.03283</v>
      </c>
      <c r="AL509" s="18">
        <v>0.031895</v>
      </c>
      <c r="AM509" s="18">
        <v>0.024803</v>
      </c>
      <c r="AN509" s="18">
        <v>0.011704</v>
      </c>
      <c r="AO509" s="18">
        <v>0.001753</v>
      </c>
      <c r="AP509" s="20">
        <v>0.0</v>
      </c>
      <c r="AQ509" s="20">
        <v>0.0</v>
      </c>
      <c r="AR509" s="20">
        <v>0.0</v>
      </c>
      <c r="AS509" s="20">
        <v>0.0</v>
      </c>
      <c r="AT509" s="12">
        <f>AVERAGE(L509:AO509)</f>
        <v>0.02209096667</v>
      </c>
      <c r="AU509" s="12">
        <f t="shared" si="56"/>
        <v>0.02209096667</v>
      </c>
      <c r="AV509" s="14"/>
      <c r="AW509" s="15"/>
      <c r="AX509" s="15"/>
    </row>
    <row r="510" ht="15.75" customHeight="1">
      <c r="A510" s="7">
        <v>240404.0</v>
      </c>
      <c r="B510" s="7">
        <v>77.0</v>
      </c>
      <c r="C510" s="7">
        <v>1.0</v>
      </c>
      <c r="D510" s="8" t="s">
        <v>277</v>
      </c>
      <c r="E510" s="7">
        <v>12.0</v>
      </c>
      <c r="F510" s="8" t="s">
        <v>48</v>
      </c>
      <c r="G510" s="8" t="s">
        <v>49</v>
      </c>
      <c r="H510" s="8" t="s">
        <v>63</v>
      </c>
      <c r="I510" s="22" t="s">
        <v>51</v>
      </c>
      <c r="J510" s="22" t="s">
        <v>52</v>
      </c>
      <c r="K510" s="11" t="s">
        <v>57</v>
      </c>
      <c r="L510" s="18">
        <v>0.014813</v>
      </c>
      <c r="M510" s="18">
        <v>0.015022</v>
      </c>
      <c r="N510" s="18">
        <v>0.016403</v>
      </c>
      <c r="O510" s="18">
        <v>0.018277</v>
      </c>
      <c r="P510" s="18">
        <v>0.018264</v>
      </c>
      <c r="Q510" s="18">
        <v>0.016921</v>
      </c>
      <c r="R510" s="18">
        <v>0.016461</v>
      </c>
      <c r="S510" s="18">
        <v>0.016256</v>
      </c>
      <c r="T510" s="18">
        <v>0.016413</v>
      </c>
      <c r="U510" s="18">
        <v>0.017512</v>
      </c>
      <c r="V510" s="18">
        <v>0.01826</v>
      </c>
      <c r="W510" s="18">
        <v>0.01911</v>
      </c>
      <c r="X510" s="18">
        <v>0.018705</v>
      </c>
      <c r="Y510" s="18">
        <v>0.017758</v>
      </c>
      <c r="Z510" s="18">
        <v>0.017802</v>
      </c>
      <c r="AA510" s="18">
        <v>0.018224</v>
      </c>
      <c r="AB510" s="18">
        <v>0.019204</v>
      </c>
      <c r="AC510" s="18">
        <v>0.020934</v>
      </c>
      <c r="AD510" s="18">
        <v>0.022527</v>
      </c>
      <c r="AE510" s="18">
        <v>0.022923</v>
      </c>
      <c r="AF510" s="18">
        <v>0.02309</v>
      </c>
      <c r="AG510" s="18">
        <v>0.026055</v>
      </c>
      <c r="AH510" s="18">
        <v>0.028385</v>
      </c>
      <c r="AI510" s="18">
        <v>0.026851</v>
      </c>
      <c r="AJ510" s="18">
        <v>0.023268</v>
      </c>
      <c r="AK510" s="18">
        <v>0.015959</v>
      </c>
      <c r="AL510" s="18">
        <v>0.007579</v>
      </c>
      <c r="AM510" s="18">
        <v>0.001226</v>
      </c>
      <c r="AN510" s="2">
        <v>0.0</v>
      </c>
      <c r="AO510" s="2">
        <v>0.0</v>
      </c>
      <c r="AP510" s="20">
        <v>0.0</v>
      </c>
      <c r="AQ510" s="20">
        <v>0.0</v>
      </c>
      <c r="AR510" s="20">
        <v>0.0</v>
      </c>
      <c r="AS510" s="20">
        <v>0.0</v>
      </c>
      <c r="AT510" s="12">
        <f t="shared" ref="AT510:AT511" si="59">AVERAGE(L510:AM510)</f>
        <v>0.01836435714</v>
      </c>
      <c r="AU510" s="12">
        <f t="shared" si="56"/>
        <v>0.01836435714</v>
      </c>
      <c r="AV510" s="14"/>
      <c r="AW510" s="15"/>
      <c r="AX510" s="15"/>
    </row>
    <row r="511" ht="15.75" customHeight="1">
      <c r="A511" s="7">
        <v>240425.0</v>
      </c>
      <c r="B511" s="7">
        <v>77.0</v>
      </c>
      <c r="C511" s="7">
        <v>1.0</v>
      </c>
      <c r="D511" s="8" t="s">
        <v>278</v>
      </c>
      <c r="E511" s="7">
        <v>12.0</v>
      </c>
      <c r="F511" s="8" t="s">
        <v>56</v>
      </c>
      <c r="G511" s="8" t="s">
        <v>67</v>
      </c>
      <c r="H511" s="8" t="s">
        <v>61</v>
      </c>
      <c r="I511" s="22" t="s">
        <v>51</v>
      </c>
      <c r="J511" s="22" t="s">
        <v>52</v>
      </c>
      <c r="K511" s="11" t="s">
        <v>53</v>
      </c>
      <c r="L511" s="18">
        <v>0.012966</v>
      </c>
      <c r="M511" s="18">
        <v>0.0129</v>
      </c>
      <c r="N511" s="18">
        <v>0.013877</v>
      </c>
      <c r="O511" s="18">
        <v>0.015251</v>
      </c>
      <c r="P511" s="18">
        <v>0.015201</v>
      </c>
      <c r="Q511" s="18">
        <v>0.014496</v>
      </c>
      <c r="R511" s="18">
        <v>0.014366</v>
      </c>
      <c r="S511" s="18">
        <v>0.015763</v>
      </c>
      <c r="T511" s="18">
        <v>0.016626</v>
      </c>
      <c r="U511" s="18">
        <v>0.016862</v>
      </c>
      <c r="V511" s="18">
        <v>0.016907</v>
      </c>
      <c r="W511" s="18">
        <v>0.016554</v>
      </c>
      <c r="X511" s="18">
        <v>0.018036</v>
      </c>
      <c r="Y511" s="18">
        <v>0.020112</v>
      </c>
      <c r="Z511" s="18">
        <v>0.019132</v>
      </c>
      <c r="AA511" s="18">
        <v>0.017272</v>
      </c>
      <c r="AB511" s="18">
        <v>0.01767</v>
      </c>
      <c r="AC511" s="18">
        <v>0.01911</v>
      </c>
      <c r="AD511" s="18">
        <v>0.019533</v>
      </c>
      <c r="AE511" s="18">
        <v>0.017289</v>
      </c>
      <c r="AF511" s="18">
        <v>0.018407</v>
      </c>
      <c r="AG511" s="18">
        <v>0.021869</v>
      </c>
      <c r="AH511" s="18">
        <v>0.021192</v>
      </c>
      <c r="AI511" s="18">
        <v>0.018276</v>
      </c>
      <c r="AJ511" s="18">
        <v>0.01433</v>
      </c>
      <c r="AK511" s="18">
        <v>0.011233</v>
      </c>
      <c r="AL511" s="18">
        <v>0.008133</v>
      </c>
      <c r="AM511" s="18">
        <v>0.00173</v>
      </c>
      <c r="AN511" s="18">
        <v>0.0</v>
      </c>
      <c r="AO511" s="2">
        <v>0.0</v>
      </c>
      <c r="AP511" s="20">
        <v>0.0</v>
      </c>
      <c r="AQ511" s="20">
        <v>0.0</v>
      </c>
      <c r="AR511" s="20">
        <v>0.0</v>
      </c>
      <c r="AS511" s="20">
        <v>0.0</v>
      </c>
      <c r="AT511" s="12">
        <f t="shared" si="59"/>
        <v>0.01589617857</v>
      </c>
      <c r="AU511" s="12">
        <f t="shared" si="56"/>
        <v>0.01589617857</v>
      </c>
      <c r="AV511" s="14"/>
      <c r="AW511" s="15"/>
      <c r="AX511" s="15"/>
    </row>
    <row r="512" ht="15.75" customHeight="1">
      <c r="A512" s="7">
        <v>240425.0</v>
      </c>
      <c r="B512" s="7">
        <v>77.0</v>
      </c>
      <c r="C512" s="7">
        <v>1.0</v>
      </c>
      <c r="D512" s="8" t="s">
        <v>279</v>
      </c>
      <c r="E512" s="7">
        <v>12.0</v>
      </c>
      <c r="F512" s="8" t="s">
        <v>56</v>
      </c>
      <c r="G512" s="8" t="s">
        <v>67</v>
      </c>
      <c r="H512" s="8" t="s">
        <v>63</v>
      </c>
      <c r="I512" s="22" t="s">
        <v>51</v>
      </c>
      <c r="J512" s="22" t="s">
        <v>52</v>
      </c>
      <c r="K512" s="11" t="s">
        <v>53</v>
      </c>
      <c r="L512" s="18">
        <v>0.008926</v>
      </c>
      <c r="M512" s="18">
        <v>0.015324</v>
      </c>
      <c r="N512" s="18">
        <v>0.018185</v>
      </c>
      <c r="O512" s="18">
        <v>0.018617</v>
      </c>
      <c r="P512" s="18">
        <v>0.018881</v>
      </c>
      <c r="Q512" s="18">
        <v>0.018914</v>
      </c>
      <c r="R512" s="18">
        <v>0.018423</v>
      </c>
      <c r="S512" s="18">
        <v>0.018348</v>
      </c>
      <c r="T512" s="18">
        <v>0.018373</v>
      </c>
      <c r="U512" s="18">
        <v>0.01855</v>
      </c>
      <c r="V512" s="18">
        <v>0.018626</v>
      </c>
      <c r="W512" s="18">
        <v>0.018958</v>
      </c>
      <c r="X512" s="18">
        <v>0.018479</v>
      </c>
      <c r="Y512" s="18">
        <v>0.017527</v>
      </c>
      <c r="Z512" s="18">
        <v>0.017849</v>
      </c>
      <c r="AA512" s="18">
        <v>0.017969</v>
      </c>
      <c r="AB512" s="18">
        <v>0.018567</v>
      </c>
      <c r="AC512" s="18">
        <v>0.020109</v>
      </c>
      <c r="AD512" s="18">
        <v>0.020645</v>
      </c>
      <c r="AE512" s="18">
        <v>0.020462</v>
      </c>
      <c r="AF512" s="18">
        <v>0.021461</v>
      </c>
      <c r="AG512" s="18">
        <v>0.022165</v>
      </c>
      <c r="AH512" s="18">
        <v>0.020203</v>
      </c>
      <c r="AI512" s="18">
        <v>0.016047</v>
      </c>
      <c r="AJ512" s="18">
        <v>0.012317</v>
      </c>
      <c r="AK512" s="18">
        <v>0.011328</v>
      </c>
      <c r="AL512" s="2">
        <v>0.0</v>
      </c>
      <c r="AM512" s="2">
        <v>0.0</v>
      </c>
      <c r="AN512" s="2">
        <v>0.0</v>
      </c>
      <c r="AO512" s="2">
        <v>0.0</v>
      </c>
      <c r="AP512" s="20">
        <v>0.0</v>
      </c>
      <c r="AQ512" s="20">
        <v>0.0</v>
      </c>
      <c r="AR512" s="20">
        <v>0.0</v>
      </c>
      <c r="AS512" s="20">
        <v>0.0</v>
      </c>
      <c r="AT512" s="12">
        <f>AVERAGE(L512:AK512)</f>
        <v>0.01789434615</v>
      </c>
      <c r="AU512" s="12">
        <f t="shared" si="56"/>
        <v>0.01789434615</v>
      </c>
      <c r="AV512" s="14"/>
      <c r="AW512" s="15"/>
      <c r="AX512" s="15"/>
    </row>
    <row r="513" ht="15.75" customHeight="1"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3"/>
      <c r="AQ513" s="13"/>
      <c r="AR513" s="13"/>
      <c r="AS513" s="13"/>
      <c r="AT513" s="12"/>
      <c r="AU513" s="12"/>
      <c r="AV513" s="14"/>
      <c r="AW513" s="15"/>
      <c r="AX513" s="15"/>
    </row>
    <row r="514" ht="15.75" customHeight="1">
      <c r="A514" s="7">
        <v>240216.0</v>
      </c>
      <c r="B514" s="7">
        <v>75.0</v>
      </c>
      <c r="C514" s="7">
        <v>1.0</v>
      </c>
      <c r="D514" s="8" t="s">
        <v>280</v>
      </c>
      <c r="E514" s="7">
        <v>13.0</v>
      </c>
      <c r="F514" s="8" t="s">
        <v>48</v>
      </c>
      <c r="G514" s="8" t="s">
        <v>49</v>
      </c>
      <c r="H514" s="8" t="s">
        <v>50</v>
      </c>
      <c r="I514" s="22" t="s">
        <v>146</v>
      </c>
      <c r="J514" s="22" t="s">
        <v>52</v>
      </c>
      <c r="K514" s="11" t="s">
        <v>53</v>
      </c>
      <c r="L514" s="18">
        <v>0.028901</v>
      </c>
      <c r="M514" s="18">
        <v>0.02787</v>
      </c>
      <c r="N514" s="18">
        <v>0.027822</v>
      </c>
      <c r="O514" s="18">
        <v>0.029386</v>
      </c>
      <c r="P514" s="18">
        <v>0.032371</v>
      </c>
      <c r="Q514" s="18">
        <v>0.033465</v>
      </c>
      <c r="R514" s="18">
        <v>0.033119</v>
      </c>
      <c r="S514" s="18">
        <v>0.033823</v>
      </c>
      <c r="T514" s="18">
        <v>0.033927</v>
      </c>
      <c r="U514" s="18">
        <v>0.033503</v>
      </c>
      <c r="V514" s="18">
        <v>0.033432</v>
      </c>
      <c r="W514" s="18">
        <v>0.034775</v>
      </c>
      <c r="X514" s="18">
        <v>0.034958</v>
      </c>
      <c r="Y514" s="18">
        <v>0.034161</v>
      </c>
      <c r="Z514" s="18">
        <v>0.036097</v>
      </c>
      <c r="AA514" s="18">
        <v>0.03716</v>
      </c>
      <c r="AB514" s="18">
        <v>0.036248</v>
      </c>
      <c r="AC514" s="18">
        <v>0.034888</v>
      </c>
      <c r="AD514" s="18">
        <v>0.03241</v>
      </c>
      <c r="AE514" s="18">
        <v>0.029818</v>
      </c>
      <c r="AF514" s="18">
        <v>0.027776</v>
      </c>
      <c r="AG514" s="18">
        <v>0.026994</v>
      </c>
      <c r="AH514" s="18">
        <v>0.026991</v>
      </c>
      <c r="AI514" s="18">
        <v>0.028446</v>
      </c>
      <c r="AJ514" s="18">
        <v>0.027465</v>
      </c>
      <c r="AK514" s="18">
        <v>0.019086</v>
      </c>
      <c r="AL514" s="18">
        <v>0.008373</v>
      </c>
      <c r="AM514" s="18">
        <v>0.001153</v>
      </c>
      <c r="AN514" s="2">
        <v>0.0</v>
      </c>
      <c r="AO514" s="2">
        <v>0.0</v>
      </c>
      <c r="AP514" s="20">
        <v>0.0</v>
      </c>
      <c r="AQ514" s="20">
        <v>0.0</v>
      </c>
      <c r="AR514" s="20">
        <v>0.0</v>
      </c>
      <c r="AS514" s="20">
        <v>0.0</v>
      </c>
      <c r="AT514" s="12">
        <f>AVERAGE(L514:AM514)</f>
        <v>0.0294435</v>
      </c>
      <c r="AU514" s="12">
        <f t="shared" ref="AU514:AU552" si="60">AVERAGEIF(L514:AS514, "&gt;0")
</f>
        <v>0.0294435</v>
      </c>
      <c r="AV514" s="14"/>
      <c r="AW514" s="15"/>
      <c r="AX514" s="15"/>
    </row>
    <row r="515" ht="15.75" customHeight="1">
      <c r="A515" s="7">
        <v>240216.0</v>
      </c>
      <c r="B515" s="7">
        <v>75.0</v>
      </c>
      <c r="C515" s="7">
        <v>1.0</v>
      </c>
      <c r="D515" s="8" t="s">
        <v>281</v>
      </c>
      <c r="E515" s="7">
        <v>13.0</v>
      </c>
      <c r="F515" s="8" t="s">
        <v>48</v>
      </c>
      <c r="G515" s="8" t="s">
        <v>49</v>
      </c>
      <c r="H515" s="8" t="s">
        <v>61</v>
      </c>
      <c r="I515" s="22" t="s">
        <v>146</v>
      </c>
      <c r="J515" s="22" t="s">
        <v>52</v>
      </c>
      <c r="K515" s="11" t="s">
        <v>53</v>
      </c>
      <c r="L515" s="18">
        <v>0.02639</v>
      </c>
      <c r="M515" s="18">
        <v>0.027295</v>
      </c>
      <c r="N515" s="18">
        <v>0.028908</v>
      </c>
      <c r="O515" s="18">
        <v>0.030832</v>
      </c>
      <c r="P515" s="18">
        <v>0.030185</v>
      </c>
      <c r="Q515" s="18">
        <v>0.028305</v>
      </c>
      <c r="R515" s="18">
        <v>0.026316</v>
      </c>
      <c r="S515" s="18">
        <v>0.025538</v>
      </c>
      <c r="T515" s="18">
        <v>0.025787</v>
      </c>
      <c r="U515" s="18">
        <v>0.026711</v>
      </c>
      <c r="V515" s="18">
        <v>0.029369</v>
      </c>
      <c r="W515" s="18">
        <v>0.029357</v>
      </c>
      <c r="X515" s="18">
        <v>0.029757</v>
      </c>
      <c r="Y515" s="18">
        <v>0.03045</v>
      </c>
      <c r="Z515" s="18">
        <v>0.028052</v>
      </c>
      <c r="AA515" s="18">
        <v>0.027199</v>
      </c>
      <c r="AB515" s="18">
        <v>0.028993</v>
      </c>
      <c r="AC515" s="18">
        <v>0.02885</v>
      </c>
      <c r="AD515" s="18">
        <v>0.025407</v>
      </c>
      <c r="AE515" s="18">
        <v>0.021459</v>
      </c>
      <c r="AF515" s="18">
        <v>0.022223</v>
      </c>
      <c r="AG515" s="18">
        <v>0.023901</v>
      </c>
      <c r="AH515" s="18">
        <v>0.018793</v>
      </c>
      <c r="AI515" s="18">
        <v>0.009232</v>
      </c>
      <c r="AJ515" s="18">
        <v>0.002229</v>
      </c>
      <c r="AK515" s="18">
        <v>2.75E-4</v>
      </c>
      <c r="AL515" s="2">
        <v>0.0</v>
      </c>
      <c r="AM515" s="2">
        <v>0.0</v>
      </c>
      <c r="AN515" s="2">
        <v>0.0</v>
      </c>
      <c r="AO515" s="2">
        <v>0.0</v>
      </c>
      <c r="AP515" s="20">
        <v>0.0</v>
      </c>
      <c r="AQ515" s="20">
        <v>0.0</v>
      </c>
      <c r="AR515" s="20">
        <v>0.0</v>
      </c>
      <c r="AS515" s="20">
        <v>0.0</v>
      </c>
      <c r="AT515" s="12">
        <f>AVERAGE(L515:AK515)</f>
        <v>0.0243005</v>
      </c>
      <c r="AU515" s="12">
        <f t="shared" si="60"/>
        <v>0.0243005</v>
      </c>
      <c r="AV515" s="14"/>
      <c r="AW515" s="15"/>
      <c r="AX515" s="15"/>
    </row>
    <row r="516" ht="15.75" customHeight="1">
      <c r="A516" s="7">
        <v>240216.0</v>
      </c>
      <c r="B516" s="7">
        <v>75.0</v>
      </c>
      <c r="C516" s="7">
        <v>1.0</v>
      </c>
      <c r="D516" s="8" t="s">
        <v>282</v>
      </c>
      <c r="E516" s="7">
        <v>13.0</v>
      </c>
      <c r="F516" s="8" t="s">
        <v>48</v>
      </c>
      <c r="G516" s="8" t="s">
        <v>49</v>
      </c>
      <c r="H516" s="8" t="s">
        <v>65</v>
      </c>
      <c r="I516" s="22" t="s">
        <v>146</v>
      </c>
      <c r="J516" s="22" t="s">
        <v>52</v>
      </c>
      <c r="K516" s="11" t="s">
        <v>53</v>
      </c>
      <c r="L516" s="18">
        <v>0.028196</v>
      </c>
      <c r="M516" s="18">
        <v>0.030112</v>
      </c>
      <c r="N516" s="18">
        <v>0.031786</v>
      </c>
      <c r="O516" s="18">
        <v>0.031978</v>
      </c>
      <c r="P516" s="18">
        <v>0.032616</v>
      </c>
      <c r="Q516" s="18">
        <v>0.033971</v>
      </c>
      <c r="R516" s="18">
        <v>0.032959</v>
      </c>
      <c r="S516" s="18">
        <v>0.031987</v>
      </c>
      <c r="T516" s="18">
        <v>0.032267</v>
      </c>
      <c r="U516" s="18">
        <v>0.031275</v>
      </c>
      <c r="V516" s="18">
        <v>0.030467</v>
      </c>
      <c r="W516" s="18">
        <v>0.031999</v>
      </c>
      <c r="X516" s="18">
        <v>0.032822</v>
      </c>
      <c r="Y516" s="18">
        <v>0.031269</v>
      </c>
      <c r="Z516" s="18">
        <v>0.029189</v>
      </c>
      <c r="AA516" s="18">
        <v>0.029519</v>
      </c>
      <c r="AB516" s="18">
        <v>0.031451</v>
      </c>
      <c r="AC516" s="18">
        <v>0.029776</v>
      </c>
      <c r="AD516" s="18">
        <v>0.028603</v>
      </c>
      <c r="AE516" s="18">
        <v>0.030863</v>
      </c>
      <c r="AF516" s="18">
        <v>0.034968</v>
      </c>
      <c r="AG516" s="18">
        <v>0.037612</v>
      </c>
      <c r="AH516" s="18">
        <v>0.031679</v>
      </c>
      <c r="AI516" s="18">
        <v>0.015807</v>
      </c>
      <c r="AJ516" s="18">
        <v>0.003572</v>
      </c>
      <c r="AK516" s="18">
        <v>0.003378</v>
      </c>
      <c r="AL516" s="18">
        <v>0.010047</v>
      </c>
      <c r="AM516" s="18">
        <v>0.016375</v>
      </c>
      <c r="AN516" s="18">
        <v>0.0</v>
      </c>
      <c r="AO516" s="2">
        <v>0.0</v>
      </c>
      <c r="AP516" s="20">
        <v>0.0</v>
      </c>
      <c r="AQ516" s="20">
        <v>0.0</v>
      </c>
      <c r="AR516" s="20">
        <v>0.0</v>
      </c>
      <c r="AS516" s="20">
        <v>0.0</v>
      </c>
      <c r="AT516" s="12">
        <f>AVERAGE(L516:AM516)</f>
        <v>0.02773367857</v>
      </c>
      <c r="AU516" s="12">
        <f t="shared" si="60"/>
        <v>0.02773367857</v>
      </c>
      <c r="AV516" s="14"/>
      <c r="AW516" s="15"/>
      <c r="AX516" s="15"/>
    </row>
    <row r="517" ht="15.75" customHeight="1">
      <c r="A517" s="7">
        <v>240216.0</v>
      </c>
      <c r="B517" s="7">
        <v>75.0</v>
      </c>
      <c r="C517" s="7">
        <v>1.0</v>
      </c>
      <c r="D517" s="8" t="s">
        <v>283</v>
      </c>
      <c r="E517" s="7">
        <v>13.0</v>
      </c>
      <c r="F517" s="8" t="s">
        <v>48</v>
      </c>
      <c r="G517" s="8" t="s">
        <v>49</v>
      </c>
      <c r="H517" s="8" t="s">
        <v>63</v>
      </c>
      <c r="I517" s="22" t="s">
        <v>146</v>
      </c>
      <c r="J517" s="22" t="s">
        <v>52</v>
      </c>
      <c r="K517" s="11" t="s">
        <v>53</v>
      </c>
      <c r="L517" s="18">
        <v>0.035888</v>
      </c>
      <c r="M517" s="18">
        <v>0.037148</v>
      </c>
      <c r="N517" s="18">
        <v>0.037311</v>
      </c>
      <c r="O517" s="18">
        <v>0.03613</v>
      </c>
      <c r="P517" s="18">
        <v>0.037466</v>
      </c>
      <c r="Q517" s="18">
        <v>0.039623</v>
      </c>
      <c r="R517" s="18">
        <v>0.039292</v>
      </c>
      <c r="S517" s="18">
        <v>0.037643</v>
      </c>
      <c r="T517" s="18">
        <v>0.036316</v>
      </c>
      <c r="U517" s="18">
        <v>0.036412</v>
      </c>
      <c r="V517" s="18">
        <v>0.036194</v>
      </c>
      <c r="W517" s="18">
        <v>0.036949</v>
      </c>
      <c r="X517" s="18">
        <v>0.03663</v>
      </c>
      <c r="Y517" s="18">
        <v>0.035439</v>
      </c>
      <c r="Z517" s="18">
        <v>0.035435</v>
      </c>
      <c r="AA517" s="18">
        <v>0.036852</v>
      </c>
      <c r="AB517" s="18">
        <v>0.036634</v>
      </c>
      <c r="AC517" s="18">
        <v>0.034921</v>
      </c>
      <c r="AD517" s="18">
        <v>0.034534</v>
      </c>
      <c r="AE517" s="18">
        <v>0.034438</v>
      </c>
      <c r="AF517" s="18">
        <v>0.033942</v>
      </c>
      <c r="AG517" s="18">
        <v>0.03381</v>
      </c>
      <c r="AH517" s="18">
        <v>0.031909</v>
      </c>
      <c r="AI517" s="18">
        <v>0.027524</v>
      </c>
      <c r="AJ517" s="18">
        <v>0.017009</v>
      </c>
      <c r="AK517" s="18">
        <v>0.006501</v>
      </c>
      <c r="AL517" s="18">
        <v>0.003337</v>
      </c>
      <c r="AM517" s="2">
        <v>0.0</v>
      </c>
      <c r="AN517" s="2">
        <v>0.0</v>
      </c>
      <c r="AO517" s="2">
        <v>0.0</v>
      </c>
      <c r="AP517" s="20">
        <v>0.0</v>
      </c>
      <c r="AQ517" s="20">
        <v>0.0</v>
      </c>
      <c r="AR517" s="20">
        <v>0.0</v>
      </c>
      <c r="AS517" s="20">
        <v>0.0</v>
      </c>
      <c r="AT517" s="12">
        <f>AVERAGE(L517:AL517)</f>
        <v>0.03278840741</v>
      </c>
      <c r="AU517" s="12">
        <f t="shared" si="60"/>
        <v>0.03278840741</v>
      </c>
      <c r="AV517" s="14"/>
      <c r="AW517" s="15"/>
      <c r="AX517" s="15"/>
    </row>
    <row r="518" ht="15.75" customHeight="1">
      <c r="A518" s="7">
        <v>240216.0</v>
      </c>
      <c r="B518" s="7">
        <v>75.0</v>
      </c>
      <c r="C518" s="7">
        <v>1.0</v>
      </c>
      <c r="D518" s="8" t="s">
        <v>284</v>
      </c>
      <c r="E518" s="7">
        <v>13.0</v>
      </c>
      <c r="F518" s="8" t="s">
        <v>48</v>
      </c>
      <c r="G518" s="8" t="s">
        <v>67</v>
      </c>
      <c r="H518" s="8" t="s">
        <v>61</v>
      </c>
      <c r="I518" s="22" t="s">
        <v>146</v>
      </c>
      <c r="J518" s="22" t="s">
        <v>52</v>
      </c>
      <c r="K518" s="11" t="s">
        <v>53</v>
      </c>
      <c r="L518" s="18">
        <v>0.03498</v>
      </c>
      <c r="M518" s="18">
        <v>0.035618</v>
      </c>
      <c r="N518" s="18">
        <v>0.036474</v>
      </c>
      <c r="O518" s="18">
        <v>0.035748</v>
      </c>
      <c r="P518" s="18">
        <v>0.03492</v>
      </c>
      <c r="Q518" s="18">
        <v>0.035001</v>
      </c>
      <c r="R518" s="18">
        <v>0.035743</v>
      </c>
      <c r="S518" s="18">
        <v>0.035666</v>
      </c>
      <c r="T518" s="18">
        <v>0.034763</v>
      </c>
      <c r="U518" s="18">
        <v>0.034867</v>
      </c>
      <c r="V518" s="18">
        <v>0.035435</v>
      </c>
      <c r="W518" s="18">
        <v>0.036695</v>
      </c>
      <c r="X518" s="18">
        <v>0.037212</v>
      </c>
      <c r="Y518" s="18">
        <v>0.036831</v>
      </c>
      <c r="Z518" s="18">
        <v>0.035593</v>
      </c>
      <c r="AA518" s="18">
        <v>0.034245</v>
      </c>
      <c r="AB518" s="18">
        <v>0.03462</v>
      </c>
      <c r="AC518" s="18">
        <v>0.036225</v>
      </c>
      <c r="AD518" s="18">
        <v>0.035635</v>
      </c>
      <c r="AE518" s="18">
        <v>0.033787</v>
      </c>
      <c r="AF518" s="18">
        <v>0.033486</v>
      </c>
      <c r="AG518" s="18">
        <v>0.033007</v>
      </c>
      <c r="AH518" s="18">
        <v>0.032295</v>
      </c>
      <c r="AI518" s="18">
        <v>0.032192</v>
      </c>
      <c r="AJ518" s="18">
        <v>0.028388</v>
      </c>
      <c r="AK518" s="18">
        <v>0.018497</v>
      </c>
      <c r="AL518" s="18">
        <v>0.007325</v>
      </c>
      <c r="AM518" s="18">
        <v>0.00328</v>
      </c>
      <c r="AN518" s="2">
        <v>0.0</v>
      </c>
      <c r="AO518" s="2">
        <v>0.0</v>
      </c>
      <c r="AP518" s="20">
        <v>0.0</v>
      </c>
      <c r="AQ518" s="20">
        <v>0.0</v>
      </c>
      <c r="AR518" s="20">
        <v>0.0</v>
      </c>
      <c r="AS518" s="20">
        <v>0.0</v>
      </c>
      <c r="AT518" s="12">
        <f>AVERAGE(L518:AM518)</f>
        <v>0.03209028571</v>
      </c>
      <c r="AU518" s="12">
        <f t="shared" si="60"/>
        <v>0.03209028571</v>
      </c>
      <c r="AV518" s="14"/>
      <c r="AW518" s="15"/>
      <c r="AX518" s="15"/>
    </row>
    <row r="519" ht="15.75" customHeight="1">
      <c r="A519" s="7">
        <v>240216.0</v>
      </c>
      <c r="B519" s="7">
        <v>75.0</v>
      </c>
      <c r="C519" s="7">
        <v>1.0</v>
      </c>
      <c r="D519" s="8" t="s">
        <v>285</v>
      </c>
      <c r="E519" s="7">
        <v>13.0</v>
      </c>
      <c r="F519" s="8" t="s">
        <v>48</v>
      </c>
      <c r="G519" s="8" t="s">
        <v>67</v>
      </c>
      <c r="H519" s="8" t="s">
        <v>65</v>
      </c>
      <c r="I519" s="22" t="s">
        <v>146</v>
      </c>
      <c r="J519" s="22" t="s">
        <v>52</v>
      </c>
      <c r="K519" s="11" t="s">
        <v>53</v>
      </c>
      <c r="L519" s="18">
        <v>0.02707</v>
      </c>
      <c r="M519" s="18">
        <v>0.026416</v>
      </c>
      <c r="N519" s="18">
        <v>0.027313</v>
      </c>
      <c r="O519" s="18">
        <v>0.029256</v>
      </c>
      <c r="P519" s="18">
        <v>0.030394</v>
      </c>
      <c r="Q519" s="18">
        <v>0.031547</v>
      </c>
      <c r="R519" s="18">
        <v>0.03077</v>
      </c>
      <c r="S519" s="18">
        <v>0.028756</v>
      </c>
      <c r="T519" s="18">
        <v>0.028547</v>
      </c>
      <c r="U519" s="18">
        <v>0.029652</v>
      </c>
      <c r="V519" s="18">
        <v>0.029042</v>
      </c>
      <c r="W519" s="18">
        <v>0.028317</v>
      </c>
      <c r="X519" s="18">
        <v>0.030443</v>
      </c>
      <c r="Y519" s="18">
        <v>0.030549</v>
      </c>
      <c r="Z519" s="18">
        <v>0.028967</v>
      </c>
      <c r="AA519" s="18">
        <v>0.029025</v>
      </c>
      <c r="AB519" s="18">
        <v>0.030402</v>
      </c>
      <c r="AC519" s="18">
        <v>0.032817</v>
      </c>
      <c r="AD519" s="18">
        <v>0.032941</v>
      </c>
      <c r="AE519" s="18">
        <v>0.029448</v>
      </c>
      <c r="AF519" s="18">
        <v>0.02742</v>
      </c>
      <c r="AG519" s="18">
        <v>0.028244</v>
      </c>
      <c r="AH519" s="18">
        <v>0.02876</v>
      </c>
      <c r="AI519" s="18">
        <v>0.022286</v>
      </c>
      <c r="AJ519" s="18">
        <v>0.009243</v>
      </c>
      <c r="AK519" s="18">
        <v>0.001087</v>
      </c>
      <c r="AL519" s="18">
        <v>0.003756</v>
      </c>
      <c r="AM519" s="18">
        <v>0.01229</v>
      </c>
      <c r="AN519" s="18">
        <v>0.025926</v>
      </c>
      <c r="AO519" s="2">
        <v>0.0</v>
      </c>
      <c r="AP519" s="20">
        <v>0.0</v>
      </c>
      <c r="AQ519" s="20">
        <v>0.0</v>
      </c>
      <c r="AR519" s="20">
        <v>0.0</v>
      </c>
      <c r="AS519" s="20">
        <v>0.0</v>
      </c>
      <c r="AT519" s="12">
        <f t="shared" ref="AT519:AT520" si="61">AVERAGE(L519:AN519)</f>
        <v>0.02588565517</v>
      </c>
      <c r="AU519" s="12">
        <f t="shared" si="60"/>
        <v>0.02588565517</v>
      </c>
      <c r="AV519" s="14"/>
      <c r="AW519" s="15"/>
      <c r="AX519" s="15"/>
    </row>
    <row r="520" ht="15.75" customHeight="1">
      <c r="A520" s="7">
        <v>240221.0</v>
      </c>
      <c r="B520" s="7">
        <v>75.0</v>
      </c>
      <c r="C520" s="7">
        <v>1.0</v>
      </c>
      <c r="D520" s="8" t="s">
        <v>286</v>
      </c>
      <c r="E520" s="7">
        <v>13.0</v>
      </c>
      <c r="F520" s="8" t="s">
        <v>56</v>
      </c>
      <c r="G520" s="8" t="s">
        <v>67</v>
      </c>
      <c r="H520" s="8" t="s">
        <v>63</v>
      </c>
      <c r="I520" s="22" t="s">
        <v>146</v>
      </c>
      <c r="J520" s="22" t="s">
        <v>52</v>
      </c>
      <c r="K520" s="11" t="s">
        <v>57</v>
      </c>
      <c r="L520" s="18">
        <v>0.034198</v>
      </c>
      <c r="M520" s="18">
        <v>0.035125</v>
      </c>
      <c r="N520" s="18">
        <v>0.036346</v>
      </c>
      <c r="O520" s="18">
        <v>0.037436</v>
      </c>
      <c r="P520" s="18">
        <v>0.037917</v>
      </c>
      <c r="Q520" s="18">
        <v>0.037793</v>
      </c>
      <c r="R520" s="18">
        <v>0.037604</v>
      </c>
      <c r="S520" s="18">
        <v>0.038314</v>
      </c>
      <c r="T520" s="18">
        <v>0.038961</v>
      </c>
      <c r="U520" s="18">
        <v>0.037456</v>
      </c>
      <c r="V520" s="18">
        <v>0.036547</v>
      </c>
      <c r="W520" s="18">
        <v>0.037382</v>
      </c>
      <c r="X520" s="18">
        <v>0.03788</v>
      </c>
      <c r="Y520" s="18">
        <v>0.038373</v>
      </c>
      <c r="Z520" s="18">
        <v>0.037901</v>
      </c>
      <c r="AA520" s="18">
        <v>0.03889</v>
      </c>
      <c r="AB520" s="18">
        <v>0.037998</v>
      </c>
      <c r="AC520" s="18">
        <v>0.035432</v>
      </c>
      <c r="AD520" s="18">
        <v>0.035811</v>
      </c>
      <c r="AE520" s="18">
        <v>0.034351</v>
      </c>
      <c r="AF520" s="18">
        <v>0.032553</v>
      </c>
      <c r="AG520" s="18">
        <v>0.032475</v>
      </c>
      <c r="AH520" s="18">
        <v>0.031892</v>
      </c>
      <c r="AI520" s="18">
        <v>0.031269</v>
      </c>
      <c r="AJ520" s="18">
        <v>0.030112</v>
      </c>
      <c r="AK520" s="18">
        <v>0.025938</v>
      </c>
      <c r="AL520" s="18">
        <v>0.01397</v>
      </c>
      <c r="AM520" s="18">
        <v>0.003343</v>
      </c>
      <c r="AN520" s="18">
        <v>0.007063</v>
      </c>
      <c r="AO520" s="2">
        <v>0.0</v>
      </c>
      <c r="AP520" s="20">
        <v>0.0</v>
      </c>
      <c r="AQ520" s="20">
        <v>0.0</v>
      </c>
      <c r="AR520" s="20">
        <v>0.0</v>
      </c>
      <c r="AS520" s="20">
        <v>0.0</v>
      </c>
      <c r="AT520" s="12">
        <f t="shared" si="61"/>
        <v>0.03277</v>
      </c>
      <c r="AU520" s="12">
        <f t="shared" si="60"/>
        <v>0.03277</v>
      </c>
      <c r="AV520" s="14"/>
      <c r="AW520" s="15"/>
      <c r="AX520" s="15"/>
    </row>
    <row r="521" ht="15.75" customHeight="1">
      <c r="A521" s="7">
        <v>240221.0</v>
      </c>
      <c r="B521" s="7">
        <v>75.0</v>
      </c>
      <c r="C521" s="7">
        <v>1.0</v>
      </c>
      <c r="D521" s="8" t="s">
        <v>287</v>
      </c>
      <c r="E521" s="7">
        <v>13.0</v>
      </c>
      <c r="F521" s="8" t="s">
        <v>56</v>
      </c>
      <c r="G521" s="8" t="s">
        <v>67</v>
      </c>
      <c r="H521" s="8" t="s">
        <v>50</v>
      </c>
      <c r="I521" s="22" t="s">
        <v>146</v>
      </c>
      <c r="J521" s="22" t="s">
        <v>52</v>
      </c>
      <c r="K521" s="11" t="s">
        <v>57</v>
      </c>
      <c r="L521" s="18">
        <v>0.039306</v>
      </c>
      <c r="M521" s="18">
        <v>0.039413</v>
      </c>
      <c r="N521" s="18">
        <v>0.040485</v>
      </c>
      <c r="O521" s="18">
        <v>0.040952</v>
      </c>
      <c r="P521" s="18">
        <v>0.038891</v>
      </c>
      <c r="Q521" s="18">
        <v>0.037363</v>
      </c>
      <c r="R521" s="18">
        <v>0.037586</v>
      </c>
      <c r="S521" s="18">
        <v>0.03795</v>
      </c>
      <c r="T521" s="18">
        <v>0.038336</v>
      </c>
      <c r="U521" s="18">
        <v>0.038669</v>
      </c>
      <c r="V521" s="18">
        <v>0.038163</v>
      </c>
      <c r="W521" s="18">
        <v>0.038489</v>
      </c>
      <c r="X521" s="18">
        <v>0.039386</v>
      </c>
      <c r="Y521" s="18">
        <v>0.039588</v>
      </c>
      <c r="Z521" s="18">
        <v>0.038223</v>
      </c>
      <c r="AA521" s="18">
        <v>0.036363</v>
      </c>
      <c r="AB521" s="18">
        <v>0.036569</v>
      </c>
      <c r="AC521" s="18">
        <v>0.036553</v>
      </c>
      <c r="AD521" s="18">
        <v>0.035703</v>
      </c>
      <c r="AE521" s="18">
        <v>0.035403</v>
      </c>
      <c r="AF521" s="18">
        <v>0.035722</v>
      </c>
      <c r="AG521" s="18">
        <v>0.032806</v>
      </c>
      <c r="AH521" s="18">
        <v>0.028387</v>
      </c>
      <c r="AI521" s="18">
        <v>0.0274</v>
      </c>
      <c r="AJ521" s="18">
        <v>0.023453</v>
      </c>
      <c r="AK521" s="18">
        <v>0.016213</v>
      </c>
      <c r="AL521" s="18">
        <v>0.027436</v>
      </c>
      <c r="AM521" s="2">
        <v>0.0</v>
      </c>
      <c r="AN521" s="2">
        <v>0.0</v>
      </c>
      <c r="AO521" s="2">
        <v>0.0</v>
      </c>
      <c r="AP521" s="20">
        <v>0.0</v>
      </c>
      <c r="AQ521" s="20">
        <v>0.0</v>
      </c>
      <c r="AR521" s="20">
        <v>0.0</v>
      </c>
      <c r="AS521" s="20">
        <v>0.0</v>
      </c>
      <c r="AT521" s="12">
        <f>AVERAGE(L521:AL521)</f>
        <v>0.03536325926</v>
      </c>
      <c r="AU521" s="12">
        <f t="shared" si="60"/>
        <v>0.03536325926</v>
      </c>
      <c r="AV521" s="14"/>
      <c r="AW521" s="15"/>
      <c r="AX521" s="15"/>
    </row>
    <row r="522" ht="15.75" customHeight="1">
      <c r="A522" s="7">
        <v>240221.0</v>
      </c>
      <c r="B522" s="7">
        <v>75.0</v>
      </c>
      <c r="C522" s="7">
        <v>1.0</v>
      </c>
      <c r="D522" s="8" t="s">
        <v>288</v>
      </c>
      <c r="E522" s="7">
        <v>13.0</v>
      </c>
      <c r="F522" s="8" t="s">
        <v>56</v>
      </c>
      <c r="G522" s="8" t="s">
        <v>67</v>
      </c>
      <c r="H522" s="8" t="s">
        <v>61</v>
      </c>
      <c r="I522" s="22" t="s">
        <v>146</v>
      </c>
      <c r="J522" s="22" t="s">
        <v>52</v>
      </c>
      <c r="K522" s="11" t="s">
        <v>57</v>
      </c>
      <c r="L522" s="2">
        <v>0.0</v>
      </c>
      <c r="M522" s="2">
        <v>0.0</v>
      </c>
      <c r="N522" s="18">
        <v>0.035377</v>
      </c>
      <c r="O522" s="18">
        <v>0.036006</v>
      </c>
      <c r="P522" s="18">
        <v>0.037219</v>
      </c>
      <c r="Q522" s="18">
        <v>0.038851</v>
      </c>
      <c r="R522" s="18">
        <v>0.03987</v>
      </c>
      <c r="S522" s="18">
        <v>0.040762</v>
      </c>
      <c r="T522" s="18">
        <v>0.039743</v>
      </c>
      <c r="U522" s="18">
        <v>0.039479</v>
      </c>
      <c r="V522" s="18">
        <v>0.040584</v>
      </c>
      <c r="W522" s="18">
        <v>0.039852</v>
      </c>
      <c r="X522" s="18">
        <v>0.038627</v>
      </c>
      <c r="Y522" s="18">
        <v>0.039461</v>
      </c>
      <c r="Z522" s="18">
        <v>0.040285</v>
      </c>
      <c r="AA522" s="18">
        <v>0.040285</v>
      </c>
      <c r="AB522" s="18">
        <v>0.041142</v>
      </c>
      <c r="AC522" s="18">
        <v>0.04079</v>
      </c>
      <c r="AD522" s="18">
        <v>0.04033</v>
      </c>
      <c r="AE522" s="18">
        <v>0.040232</v>
      </c>
      <c r="AF522" s="18">
        <v>0.039031</v>
      </c>
      <c r="AG522" s="18">
        <v>0.037617</v>
      </c>
      <c r="AH522" s="18">
        <v>0.037269</v>
      </c>
      <c r="AI522" s="2">
        <v>0.0</v>
      </c>
      <c r="AJ522" s="2">
        <v>0.0</v>
      </c>
      <c r="AK522" s="2">
        <v>0.0</v>
      </c>
      <c r="AL522" s="2">
        <v>0.0</v>
      </c>
      <c r="AM522" s="2">
        <v>0.0</v>
      </c>
      <c r="AN522" s="2">
        <v>0.0</v>
      </c>
      <c r="AO522" s="2">
        <v>0.0</v>
      </c>
      <c r="AP522" s="20">
        <v>0.0</v>
      </c>
      <c r="AQ522" s="20">
        <v>0.0</v>
      </c>
      <c r="AR522" s="20">
        <v>0.0</v>
      </c>
      <c r="AS522" s="20">
        <v>0.0</v>
      </c>
      <c r="AT522" s="12">
        <f>AVERAGE(L522:AH522)</f>
        <v>0.03577443478</v>
      </c>
      <c r="AU522" s="12">
        <f t="shared" si="60"/>
        <v>0.03918152381</v>
      </c>
      <c r="AV522" s="14"/>
      <c r="AW522" s="15"/>
      <c r="AX522" s="15"/>
    </row>
    <row r="523" ht="15.75" customHeight="1">
      <c r="A523" s="7">
        <v>240221.0</v>
      </c>
      <c r="B523" s="7">
        <v>75.0</v>
      </c>
      <c r="C523" s="7">
        <v>1.0</v>
      </c>
      <c r="D523" s="8" t="s">
        <v>289</v>
      </c>
      <c r="E523" s="7">
        <v>13.0</v>
      </c>
      <c r="F523" s="8" t="s">
        <v>56</v>
      </c>
      <c r="G523" s="8" t="s">
        <v>67</v>
      </c>
      <c r="H523" s="8" t="s">
        <v>65</v>
      </c>
      <c r="I523" s="22" t="s">
        <v>146</v>
      </c>
      <c r="J523" s="22" t="s">
        <v>52</v>
      </c>
      <c r="K523" s="11" t="s">
        <v>57</v>
      </c>
      <c r="L523" s="18">
        <v>0.040959</v>
      </c>
      <c r="M523" s="18">
        <v>0.041061</v>
      </c>
      <c r="N523" s="18">
        <v>0.040534</v>
      </c>
      <c r="O523" s="18">
        <v>0.038794</v>
      </c>
      <c r="P523" s="18">
        <v>0.039289</v>
      </c>
      <c r="Q523" s="18">
        <v>0.041405</v>
      </c>
      <c r="R523" s="18">
        <v>0.039881</v>
      </c>
      <c r="S523" s="18">
        <v>0.037327</v>
      </c>
      <c r="T523" s="18">
        <v>0.03702</v>
      </c>
      <c r="U523" s="18">
        <v>0.03728</v>
      </c>
      <c r="V523" s="18">
        <v>0.038373</v>
      </c>
      <c r="W523" s="18">
        <v>0.038319</v>
      </c>
      <c r="X523" s="18">
        <v>0.038467</v>
      </c>
      <c r="Y523" s="18">
        <v>0.040775</v>
      </c>
      <c r="Z523" s="18">
        <v>0.039403</v>
      </c>
      <c r="AA523" s="18">
        <v>0.038576</v>
      </c>
      <c r="AB523" s="18">
        <v>0.039012</v>
      </c>
      <c r="AC523" s="18">
        <v>0.038849</v>
      </c>
      <c r="AD523" s="18">
        <v>0.038265</v>
      </c>
      <c r="AE523" s="18">
        <v>0.036959</v>
      </c>
      <c r="AF523" s="18">
        <v>0.034241</v>
      </c>
      <c r="AG523" s="18">
        <v>0.02567</v>
      </c>
      <c r="AH523" s="18">
        <v>0.015545</v>
      </c>
      <c r="AI523" s="18">
        <v>0.007985</v>
      </c>
      <c r="AJ523" s="18">
        <v>0.001008</v>
      </c>
      <c r="AK523" s="2">
        <v>0.0</v>
      </c>
      <c r="AL523" s="2">
        <v>0.0</v>
      </c>
      <c r="AM523" s="2">
        <v>0.0</v>
      </c>
      <c r="AN523" s="2">
        <v>0.0</v>
      </c>
      <c r="AO523" s="2">
        <v>0.0</v>
      </c>
      <c r="AP523" s="20">
        <v>0.0</v>
      </c>
      <c r="AQ523" s="20">
        <v>0.0</v>
      </c>
      <c r="AR523" s="20">
        <v>0.0</v>
      </c>
      <c r="AS523" s="20">
        <v>0.0</v>
      </c>
      <c r="AT523" s="12">
        <f>AVERAGE(L523:AJ523)</f>
        <v>0.03459988</v>
      </c>
      <c r="AU523" s="12">
        <f t="shared" si="60"/>
        <v>0.03459988</v>
      </c>
      <c r="AV523" s="14"/>
      <c r="AW523" s="15"/>
      <c r="AX523" s="15"/>
    </row>
    <row r="524" ht="15.75" customHeight="1">
      <c r="A524" s="7">
        <v>240221.0</v>
      </c>
      <c r="B524" s="7">
        <v>75.0</v>
      </c>
      <c r="C524" s="7">
        <v>1.0</v>
      </c>
      <c r="D524" s="8" t="s">
        <v>290</v>
      </c>
      <c r="E524" s="7">
        <v>13.0</v>
      </c>
      <c r="F524" s="8" t="s">
        <v>56</v>
      </c>
      <c r="G524" s="8" t="s">
        <v>49</v>
      </c>
      <c r="H524" s="8" t="s">
        <v>50</v>
      </c>
      <c r="I524" s="22" t="s">
        <v>146</v>
      </c>
      <c r="J524" s="22" t="s">
        <v>52</v>
      </c>
      <c r="K524" s="11" t="s">
        <v>57</v>
      </c>
      <c r="L524" s="18">
        <v>0.026687</v>
      </c>
      <c r="M524" s="18">
        <v>0.031037</v>
      </c>
      <c r="N524" s="18">
        <v>0.033673</v>
      </c>
      <c r="O524" s="18">
        <v>0.034142</v>
      </c>
      <c r="P524" s="18">
        <v>0.033263</v>
      </c>
      <c r="Q524" s="18">
        <v>0.03122</v>
      </c>
      <c r="R524" s="18">
        <v>0.029923</v>
      </c>
      <c r="S524" s="18">
        <v>0.030958</v>
      </c>
      <c r="T524" s="18">
        <v>0.031736</v>
      </c>
      <c r="U524" s="18">
        <v>0.031851</v>
      </c>
      <c r="V524" s="18">
        <v>0.032161</v>
      </c>
      <c r="W524" s="18">
        <v>0.031944</v>
      </c>
      <c r="X524" s="18">
        <v>0.03156</v>
      </c>
      <c r="Y524" s="18">
        <v>0.031607</v>
      </c>
      <c r="Z524" s="18">
        <v>0.031856</v>
      </c>
      <c r="AA524" s="18">
        <v>0.031953</v>
      </c>
      <c r="AB524" s="18">
        <v>0.031384</v>
      </c>
      <c r="AC524" s="18">
        <v>0.02888</v>
      </c>
      <c r="AD524" s="18">
        <v>0.026476</v>
      </c>
      <c r="AE524" s="18">
        <v>0.024075</v>
      </c>
      <c r="AF524" s="18">
        <v>0.020837</v>
      </c>
      <c r="AG524" s="18">
        <v>0.019755</v>
      </c>
      <c r="AH524" s="18">
        <v>0.02233</v>
      </c>
      <c r="AI524" s="18">
        <v>0.021112</v>
      </c>
      <c r="AJ524" s="18">
        <v>0.011039</v>
      </c>
      <c r="AK524" s="18">
        <v>0.003796</v>
      </c>
      <c r="AL524" s="18">
        <v>0.007389</v>
      </c>
      <c r="AM524" s="18">
        <v>0.001825</v>
      </c>
      <c r="AN524" s="18">
        <v>0.004365</v>
      </c>
      <c r="AO524" s="2">
        <v>0.0</v>
      </c>
      <c r="AP524" s="20">
        <v>0.0</v>
      </c>
      <c r="AQ524" s="20">
        <v>0.0</v>
      </c>
      <c r="AR524" s="20">
        <v>0.0</v>
      </c>
      <c r="AS524" s="20">
        <v>0.0</v>
      </c>
      <c r="AT524" s="12">
        <f>AVERAGE(L524:AN524)</f>
        <v>0.0251322069</v>
      </c>
      <c r="AU524" s="12">
        <f t="shared" si="60"/>
        <v>0.0251322069</v>
      </c>
      <c r="AV524" s="14"/>
      <c r="AW524" s="15"/>
      <c r="AX524" s="15"/>
    </row>
    <row r="525" ht="15.75" customHeight="1">
      <c r="A525" s="7">
        <v>240221.0</v>
      </c>
      <c r="B525" s="7">
        <v>75.0</v>
      </c>
      <c r="C525" s="7">
        <v>1.0</v>
      </c>
      <c r="D525" s="8" t="s">
        <v>291</v>
      </c>
      <c r="E525" s="7">
        <v>13.0</v>
      </c>
      <c r="F525" s="8" t="s">
        <v>56</v>
      </c>
      <c r="G525" s="8" t="s">
        <v>49</v>
      </c>
      <c r="H525" s="8" t="s">
        <v>63</v>
      </c>
      <c r="I525" s="22" t="s">
        <v>146</v>
      </c>
      <c r="J525" s="22" t="s">
        <v>52</v>
      </c>
      <c r="K525" s="11" t="s">
        <v>57</v>
      </c>
      <c r="L525" s="18">
        <v>0.037237</v>
      </c>
      <c r="M525" s="18">
        <v>0.036851</v>
      </c>
      <c r="N525" s="18">
        <v>0.037803</v>
      </c>
      <c r="O525" s="18">
        <v>0.037218</v>
      </c>
      <c r="P525" s="18">
        <v>0.035836</v>
      </c>
      <c r="Q525" s="18">
        <v>0.036329</v>
      </c>
      <c r="R525" s="18">
        <v>0.036885</v>
      </c>
      <c r="S525" s="18">
        <v>0.037417</v>
      </c>
      <c r="T525" s="18">
        <v>0.038148</v>
      </c>
      <c r="U525" s="18">
        <v>0.038292</v>
      </c>
      <c r="V525" s="18">
        <v>0.038394</v>
      </c>
      <c r="W525" s="18">
        <v>0.037875</v>
      </c>
      <c r="X525" s="18">
        <v>0.037022</v>
      </c>
      <c r="Y525" s="18">
        <v>0.037252</v>
      </c>
      <c r="Z525" s="18">
        <v>0.037328</v>
      </c>
      <c r="AA525" s="18">
        <v>0.037494</v>
      </c>
      <c r="AB525" s="18">
        <v>0.036306</v>
      </c>
      <c r="AC525" s="18">
        <v>0.034661</v>
      </c>
      <c r="AD525" s="18">
        <v>0.032247</v>
      </c>
      <c r="AE525" s="18">
        <v>0.031538</v>
      </c>
      <c r="AF525" s="18">
        <v>0.033082</v>
      </c>
      <c r="AG525" s="18">
        <v>0.033096</v>
      </c>
      <c r="AH525" s="18">
        <v>0.033417</v>
      </c>
      <c r="AI525" s="18">
        <v>0.030618</v>
      </c>
      <c r="AJ525" s="18">
        <v>0.019404</v>
      </c>
      <c r="AK525" s="18">
        <v>0.008168</v>
      </c>
      <c r="AL525" s="18">
        <v>0.0</v>
      </c>
      <c r="AM525" s="2">
        <v>0.0</v>
      </c>
      <c r="AN525" s="2">
        <v>0.0</v>
      </c>
      <c r="AO525" s="2">
        <v>0.0</v>
      </c>
      <c r="AP525" s="20">
        <v>0.0</v>
      </c>
      <c r="AQ525" s="20">
        <v>0.0</v>
      </c>
      <c r="AR525" s="20">
        <v>0.0</v>
      </c>
      <c r="AS525" s="20">
        <v>0.0</v>
      </c>
      <c r="AT525" s="12">
        <f t="shared" ref="AT525:AT526" si="62">AVERAGE(L525:AK525)</f>
        <v>0.03422761538</v>
      </c>
      <c r="AU525" s="12">
        <f t="shared" si="60"/>
        <v>0.03422761538</v>
      </c>
      <c r="AV525" s="14"/>
      <c r="AW525" s="15"/>
      <c r="AX525" s="15"/>
    </row>
    <row r="526" ht="15.75" customHeight="1">
      <c r="A526" s="7">
        <v>240221.0</v>
      </c>
      <c r="B526" s="7">
        <v>75.0</v>
      </c>
      <c r="C526" s="7">
        <v>1.0</v>
      </c>
      <c r="D526" s="8" t="s">
        <v>292</v>
      </c>
      <c r="E526" s="7">
        <v>13.0</v>
      </c>
      <c r="F526" s="8" t="s">
        <v>56</v>
      </c>
      <c r="G526" s="8" t="s">
        <v>49</v>
      </c>
      <c r="H526" s="8" t="s">
        <v>65</v>
      </c>
      <c r="I526" s="22" t="s">
        <v>146</v>
      </c>
      <c r="J526" s="22" t="s">
        <v>52</v>
      </c>
      <c r="K526" s="11" t="s">
        <v>57</v>
      </c>
      <c r="L526" s="2">
        <v>0.0</v>
      </c>
      <c r="M526" s="2">
        <v>0.0</v>
      </c>
      <c r="N526" s="2">
        <v>0.0</v>
      </c>
      <c r="O526" s="18">
        <v>0.031053</v>
      </c>
      <c r="P526" s="18">
        <v>0.032808</v>
      </c>
      <c r="Q526" s="18">
        <v>0.036753</v>
      </c>
      <c r="R526" s="18">
        <v>0.036136</v>
      </c>
      <c r="S526" s="18">
        <v>0.032005</v>
      </c>
      <c r="T526" s="18">
        <v>0.033749</v>
      </c>
      <c r="U526" s="18">
        <v>0.034542</v>
      </c>
      <c r="V526" s="18">
        <v>0.034975</v>
      </c>
      <c r="W526" s="18">
        <v>0.03654</v>
      </c>
      <c r="X526" s="18">
        <v>0.035526</v>
      </c>
      <c r="Y526" s="18">
        <v>0.03407</v>
      </c>
      <c r="Z526" s="18">
        <v>0.03559</v>
      </c>
      <c r="AA526" s="18">
        <v>0.037177</v>
      </c>
      <c r="AB526" s="18">
        <v>0.035931</v>
      </c>
      <c r="AC526" s="18">
        <v>0.031816</v>
      </c>
      <c r="AD526" s="18">
        <v>0.031331</v>
      </c>
      <c r="AE526" s="18">
        <v>0.033341</v>
      </c>
      <c r="AF526" s="18">
        <v>0.03563</v>
      </c>
      <c r="AG526" s="18">
        <v>0.039252</v>
      </c>
      <c r="AH526" s="18">
        <v>0.031611</v>
      </c>
      <c r="AI526" s="18">
        <v>0.012009</v>
      </c>
      <c r="AJ526" s="18">
        <v>0.001041</v>
      </c>
      <c r="AK526" s="18">
        <v>0.00134</v>
      </c>
      <c r="AL526" s="2">
        <v>0.0</v>
      </c>
      <c r="AM526" s="2">
        <v>0.0</v>
      </c>
      <c r="AN526" s="2">
        <v>0.0</v>
      </c>
      <c r="AO526" s="2">
        <v>0.0</v>
      </c>
      <c r="AP526" s="20">
        <v>0.0</v>
      </c>
      <c r="AQ526" s="20">
        <v>0.0</v>
      </c>
      <c r="AR526" s="20">
        <v>0.0</v>
      </c>
      <c r="AS526" s="20">
        <v>0.0</v>
      </c>
      <c r="AT526" s="12">
        <f t="shared" si="62"/>
        <v>0.02708561538</v>
      </c>
      <c r="AU526" s="12">
        <f t="shared" si="60"/>
        <v>0.03061852174</v>
      </c>
      <c r="AV526" s="14"/>
      <c r="AW526" s="15"/>
      <c r="AX526" s="15"/>
    </row>
    <row r="527" ht="15.75" customHeight="1">
      <c r="A527" s="7">
        <v>240216.0</v>
      </c>
      <c r="B527" s="7">
        <v>75.0</v>
      </c>
      <c r="C527" s="7">
        <v>1.0</v>
      </c>
      <c r="D527" s="8" t="s">
        <v>280</v>
      </c>
      <c r="E527" s="7">
        <v>13.0</v>
      </c>
      <c r="F527" s="8" t="s">
        <v>48</v>
      </c>
      <c r="G527" s="8" t="s">
        <v>49</v>
      </c>
      <c r="H527" s="8" t="s">
        <v>50</v>
      </c>
      <c r="I527" s="22" t="s">
        <v>185</v>
      </c>
      <c r="J527" s="22" t="s">
        <v>52</v>
      </c>
      <c r="K527" s="11" t="s">
        <v>53</v>
      </c>
      <c r="L527" s="18">
        <v>0.018609</v>
      </c>
      <c r="M527" s="18">
        <v>0.017221</v>
      </c>
      <c r="N527" s="18">
        <v>0.017091</v>
      </c>
      <c r="O527" s="18">
        <v>0.01682</v>
      </c>
      <c r="P527" s="18">
        <v>0.0159</v>
      </c>
      <c r="Q527" s="18">
        <v>0.017</v>
      </c>
      <c r="R527" s="18">
        <v>0.017083</v>
      </c>
      <c r="S527" s="18">
        <v>0.016189</v>
      </c>
      <c r="T527" s="18">
        <v>0.016116</v>
      </c>
      <c r="U527" s="18">
        <v>0.015692</v>
      </c>
      <c r="V527" s="18">
        <v>0.015984</v>
      </c>
      <c r="W527" s="18">
        <v>0.016477</v>
      </c>
      <c r="X527" s="18">
        <v>0.017937</v>
      </c>
      <c r="Y527" s="18">
        <v>0.016391</v>
      </c>
      <c r="Z527" s="18">
        <v>0.015041</v>
      </c>
      <c r="AA527" s="18">
        <v>0.015601</v>
      </c>
      <c r="AB527" s="18">
        <v>0.014434</v>
      </c>
      <c r="AC527" s="18">
        <v>0.013968</v>
      </c>
      <c r="AD527" s="18">
        <v>0.013767</v>
      </c>
      <c r="AE527" s="18">
        <v>0.013523</v>
      </c>
      <c r="AF527" s="18">
        <v>0.012433</v>
      </c>
      <c r="AG527" s="18">
        <v>0.010233</v>
      </c>
      <c r="AH527" s="18">
        <v>0.01001</v>
      </c>
      <c r="AI527" s="18">
        <v>0.011784</v>
      </c>
      <c r="AJ527" s="18">
        <v>0.01194</v>
      </c>
      <c r="AK527" s="18">
        <v>0.009745</v>
      </c>
      <c r="AL527" s="18">
        <v>0.006081</v>
      </c>
      <c r="AM527" s="18">
        <v>6.59E-4</v>
      </c>
      <c r="AN527" s="2">
        <v>0.0</v>
      </c>
      <c r="AO527" s="2">
        <v>0.0</v>
      </c>
      <c r="AP527" s="20">
        <v>0.0</v>
      </c>
      <c r="AQ527" s="20">
        <v>0.0</v>
      </c>
      <c r="AR527" s="20">
        <v>0.0</v>
      </c>
      <c r="AS527" s="20">
        <v>0.0</v>
      </c>
      <c r="AT527" s="12">
        <f>AVERAGE(L527:AM527)</f>
        <v>0.01406175</v>
      </c>
      <c r="AU527" s="12">
        <f t="shared" si="60"/>
        <v>0.01406175</v>
      </c>
      <c r="AV527" s="14"/>
      <c r="AW527" s="15"/>
      <c r="AX527" s="15"/>
    </row>
    <row r="528" ht="15.75" customHeight="1">
      <c r="A528" s="7">
        <v>240216.0</v>
      </c>
      <c r="B528" s="7">
        <v>75.0</v>
      </c>
      <c r="C528" s="7">
        <v>1.0</v>
      </c>
      <c r="D528" s="8" t="s">
        <v>281</v>
      </c>
      <c r="E528" s="7">
        <v>13.0</v>
      </c>
      <c r="F528" s="8" t="s">
        <v>48</v>
      </c>
      <c r="G528" s="8" t="s">
        <v>49</v>
      </c>
      <c r="H528" s="8" t="s">
        <v>61</v>
      </c>
      <c r="I528" s="22" t="s">
        <v>185</v>
      </c>
      <c r="J528" s="22" t="s">
        <v>52</v>
      </c>
      <c r="K528" s="11" t="s">
        <v>53</v>
      </c>
      <c r="L528" s="18">
        <v>0.019797</v>
      </c>
      <c r="M528" s="18">
        <v>0.016332</v>
      </c>
      <c r="N528" s="18">
        <v>0.015172</v>
      </c>
      <c r="O528" s="18">
        <v>0.016079</v>
      </c>
      <c r="P528" s="18">
        <v>0.016803</v>
      </c>
      <c r="Q528" s="18">
        <v>0.015076</v>
      </c>
      <c r="R528" s="18">
        <v>0.012861</v>
      </c>
      <c r="S528" s="18">
        <v>0.013255</v>
      </c>
      <c r="T528" s="18">
        <v>0.013913</v>
      </c>
      <c r="U528" s="18">
        <v>0.014627</v>
      </c>
      <c r="V528" s="18">
        <v>0.016265</v>
      </c>
      <c r="W528" s="18">
        <v>0.015312</v>
      </c>
      <c r="X528" s="18">
        <v>0.014598</v>
      </c>
      <c r="Y528" s="18">
        <v>0.014536</v>
      </c>
      <c r="Z528" s="18">
        <v>0.013842</v>
      </c>
      <c r="AA528" s="18">
        <v>0.013508</v>
      </c>
      <c r="AB528" s="18">
        <v>0.012764</v>
      </c>
      <c r="AC528" s="18">
        <v>0.011743</v>
      </c>
      <c r="AD528" s="18">
        <v>0.011137</v>
      </c>
      <c r="AE528" s="18">
        <v>0.009637</v>
      </c>
      <c r="AF528" s="18">
        <v>0.007841</v>
      </c>
      <c r="AG528" s="18">
        <v>0.00631</v>
      </c>
      <c r="AH528" s="18">
        <v>0.004901</v>
      </c>
      <c r="AI528" s="18">
        <v>0.003365</v>
      </c>
      <c r="AJ528" s="18">
        <v>0.001578</v>
      </c>
      <c r="AK528" s="18">
        <v>0.001535</v>
      </c>
      <c r="AL528" s="2">
        <v>0.0</v>
      </c>
      <c r="AM528" s="2">
        <v>0.0</v>
      </c>
      <c r="AN528" s="2">
        <v>0.0</v>
      </c>
      <c r="AO528" s="2">
        <v>0.0</v>
      </c>
      <c r="AP528" s="20">
        <v>0.0</v>
      </c>
      <c r="AQ528" s="20">
        <v>0.0</v>
      </c>
      <c r="AR528" s="20">
        <v>0.0</v>
      </c>
      <c r="AS528" s="20">
        <v>0.0</v>
      </c>
      <c r="AT528" s="12">
        <f>AVERAGE(L528:AK528)</f>
        <v>0.01203026923</v>
      </c>
      <c r="AU528" s="12">
        <f t="shared" si="60"/>
        <v>0.01203026923</v>
      </c>
      <c r="AV528" s="14"/>
      <c r="AW528" s="15"/>
      <c r="AX528" s="15"/>
    </row>
    <row r="529" ht="15.75" customHeight="1">
      <c r="A529" s="7">
        <v>240216.0</v>
      </c>
      <c r="B529" s="7">
        <v>75.0</v>
      </c>
      <c r="C529" s="7">
        <v>1.0</v>
      </c>
      <c r="D529" s="8" t="s">
        <v>282</v>
      </c>
      <c r="E529" s="7">
        <v>13.0</v>
      </c>
      <c r="F529" s="8" t="s">
        <v>48</v>
      </c>
      <c r="G529" s="8" t="s">
        <v>49</v>
      </c>
      <c r="H529" s="8" t="s">
        <v>65</v>
      </c>
      <c r="I529" s="22" t="s">
        <v>185</v>
      </c>
      <c r="J529" s="22" t="s">
        <v>52</v>
      </c>
      <c r="K529" s="11" t="s">
        <v>53</v>
      </c>
      <c r="L529" s="18">
        <v>0.020549</v>
      </c>
      <c r="M529" s="18">
        <v>0.019384</v>
      </c>
      <c r="N529" s="18">
        <v>0.018851</v>
      </c>
      <c r="O529" s="18">
        <v>0.016873</v>
      </c>
      <c r="P529" s="18">
        <v>0.015721</v>
      </c>
      <c r="Q529" s="18">
        <v>0.015982</v>
      </c>
      <c r="R529" s="18">
        <v>0.014794</v>
      </c>
      <c r="S529" s="18">
        <v>0.014607</v>
      </c>
      <c r="T529" s="18">
        <v>0.015242</v>
      </c>
      <c r="U529" s="18">
        <v>0.013076</v>
      </c>
      <c r="V529" s="18">
        <v>0.011508</v>
      </c>
      <c r="W529" s="18">
        <v>0.01182</v>
      </c>
      <c r="X529" s="18">
        <v>0.010035</v>
      </c>
      <c r="Y529" s="18">
        <v>0.009157</v>
      </c>
      <c r="Z529" s="18">
        <v>0.009221</v>
      </c>
      <c r="AA529" s="18">
        <v>0.007828</v>
      </c>
      <c r="AB529" s="18">
        <v>0.005425</v>
      </c>
      <c r="AC529" s="18">
        <v>0.00476</v>
      </c>
      <c r="AD529" s="18">
        <v>0.005493</v>
      </c>
      <c r="AE529" s="18">
        <v>0.006494</v>
      </c>
      <c r="AF529" s="18">
        <v>0.009012</v>
      </c>
      <c r="AG529" s="18">
        <v>0.012745</v>
      </c>
      <c r="AH529" s="18">
        <v>0.014169</v>
      </c>
      <c r="AI529" s="18">
        <v>0.010572</v>
      </c>
      <c r="AJ529" s="18">
        <v>0.005309</v>
      </c>
      <c r="AK529" s="18">
        <v>0.003264</v>
      </c>
      <c r="AL529" s="18">
        <v>0.008979</v>
      </c>
      <c r="AM529" s="18">
        <v>0.019263</v>
      </c>
      <c r="AN529" s="18">
        <v>0.0</v>
      </c>
      <c r="AO529" s="2">
        <v>0.0</v>
      </c>
      <c r="AP529" s="20">
        <v>0.0</v>
      </c>
      <c r="AQ529" s="20">
        <v>0.0</v>
      </c>
      <c r="AR529" s="20">
        <v>0.0</v>
      </c>
      <c r="AS529" s="20">
        <v>0.0</v>
      </c>
      <c r="AT529" s="12">
        <f>AVERAGE(L529:AM529)</f>
        <v>0.01179046429</v>
      </c>
      <c r="AU529" s="12">
        <f t="shared" si="60"/>
        <v>0.01179046429</v>
      </c>
      <c r="AV529" s="14"/>
      <c r="AW529" s="15"/>
      <c r="AX529" s="15"/>
    </row>
    <row r="530" ht="15.75" customHeight="1">
      <c r="A530" s="7">
        <v>240216.0</v>
      </c>
      <c r="B530" s="7">
        <v>75.0</v>
      </c>
      <c r="C530" s="7">
        <v>1.0</v>
      </c>
      <c r="D530" s="8" t="s">
        <v>283</v>
      </c>
      <c r="E530" s="7">
        <v>13.0</v>
      </c>
      <c r="F530" s="8" t="s">
        <v>48</v>
      </c>
      <c r="G530" s="8" t="s">
        <v>49</v>
      </c>
      <c r="H530" s="8" t="s">
        <v>63</v>
      </c>
      <c r="I530" s="22" t="s">
        <v>185</v>
      </c>
      <c r="J530" s="22" t="s">
        <v>52</v>
      </c>
      <c r="K530" s="11" t="s">
        <v>53</v>
      </c>
      <c r="L530" s="18">
        <v>0.013801</v>
      </c>
      <c r="M530" s="18">
        <v>0.01434</v>
      </c>
      <c r="N530" s="18">
        <v>0.015444</v>
      </c>
      <c r="O530" s="18">
        <v>0.015275</v>
      </c>
      <c r="P530" s="18">
        <v>0.013785</v>
      </c>
      <c r="Q530" s="18">
        <v>0.014827</v>
      </c>
      <c r="R530" s="18">
        <v>0.015935</v>
      </c>
      <c r="S530" s="18">
        <v>0.015102</v>
      </c>
      <c r="T530" s="18">
        <v>0.014675</v>
      </c>
      <c r="U530" s="18">
        <v>0.013592</v>
      </c>
      <c r="V530" s="18">
        <v>0.013577</v>
      </c>
      <c r="W530" s="18">
        <v>0.015371</v>
      </c>
      <c r="X530" s="18">
        <v>0.016274</v>
      </c>
      <c r="Y530" s="18">
        <v>0.015985</v>
      </c>
      <c r="Z530" s="18">
        <v>0.014407</v>
      </c>
      <c r="AA530" s="18">
        <v>0.013342</v>
      </c>
      <c r="AB530" s="18">
        <v>0.013852</v>
      </c>
      <c r="AC530" s="18">
        <v>0.012358</v>
      </c>
      <c r="AD530" s="18">
        <v>0.01083</v>
      </c>
      <c r="AE530" s="18">
        <v>0.011023</v>
      </c>
      <c r="AF530" s="18">
        <v>0.010621</v>
      </c>
      <c r="AG530" s="18">
        <v>0.010418</v>
      </c>
      <c r="AH530" s="18">
        <v>0.011015</v>
      </c>
      <c r="AI530" s="18">
        <v>0.010858</v>
      </c>
      <c r="AJ530" s="18">
        <v>0.007139</v>
      </c>
      <c r="AK530" s="18">
        <v>0.003261</v>
      </c>
      <c r="AL530" s="18">
        <v>0.001914</v>
      </c>
      <c r="AM530" s="2">
        <v>0.0</v>
      </c>
      <c r="AN530" s="2">
        <v>0.0</v>
      </c>
      <c r="AO530" s="2">
        <v>0.0</v>
      </c>
      <c r="AP530" s="20">
        <v>0.0</v>
      </c>
      <c r="AQ530" s="20">
        <v>0.0</v>
      </c>
      <c r="AR530" s="20">
        <v>0.0</v>
      </c>
      <c r="AS530" s="20">
        <v>0.0</v>
      </c>
      <c r="AT530" s="12">
        <f t="shared" ref="AT530:AT531" si="63">AVERAGE(L530:AL530)</f>
        <v>0.01255633333</v>
      </c>
      <c r="AU530" s="12">
        <f t="shared" si="60"/>
        <v>0.01255633333</v>
      </c>
      <c r="AV530" s="14"/>
      <c r="AW530" s="15"/>
      <c r="AX530" s="15"/>
    </row>
    <row r="531" ht="15.75" customHeight="1">
      <c r="A531" s="7">
        <v>240216.0</v>
      </c>
      <c r="B531" s="7">
        <v>75.0</v>
      </c>
      <c r="C531" s="7">
        <v>1.0</v>
      </c>
      <c r="D531" s="8" t="s">
        <v>284</v>
      </c>
      <c r="E531" s="7">
        <v>13.0</v>
      </c>
      <c r="F531" s="8" t="s">
        <v>48</v>
      </c>
      <c r="G531" s="8" t="s">
        <v>67</v>
      </c>
      <c r="H531" s="8" t="s">
        <v>61</v>
      </c>
      <c r="I531" s="22" t="s">
        <v>185</v>
      </c>
      <c r="J531" s="22" t="s">
        <v>52</v>
      </c>
      <c r="K531" s="11" t="s">
        <v>53</v>
      </c>
      <c r="L531" s="18">
        <v>0.014553</v>
      </c>
      <c r="M531" s="18">
        <v>0.017115</v>
      </c>
      <c r="N531" s="18">
        <v>0.018014</v>
      </c>
      <c r="O531" s="18">
        <v>0.016606</v>
      </c>
      <c r="P531" s="18">
        <v>0.016341</v>
      </c>
      <c r="Q531" s="18">
        <v>0.017459</v>
      </c>
      <c r="R531" s="18">
        <v>0.019132</v>
      </c>
      <c r="S531" s="18">
        <v>0.018529</v>
      </c>
      <c r="T531" s="18">
        <v>0.017475</v>
      </c>
      <c r="U531" s="18">
        <v>0.01827</v>
      </c>
      <c r="V531" s="18">
        <v>0.017681</v>
      </c>
      <c r="W531" s="18">
        <v>0.017797</v>
      </c>
      <c r="X531" s="18">
        <v>0.019758</v>
      </c>
      <c r="Y531" s="18">
        <v>0.019169</v>
      </c>
      <c r="Z531" s="18">
        <v>0.016347</v>
      </c>
      <c r="AA531" s="18">
        <v>0.015624</v>
      </c>
      <c r="AB531" s="18">
        <v>0.015439</v>
      </c>
      <c r="AC531" s="18">
        <v>0.014344</v>
      </c>
      <c r="AD531" s="18">
        <v>0.012636</v>
      </c>
      <c r="AE531" s="18">
        <v>0.011326</v>
      </c>
      <c r="AF531" s="18">
        <v>0.010125</v>
      </c>
      <c r="AG531" s="18">
        <v>0.00888</v>
      </c>
      <c r="AH531" s="18">
        <v>0.009121</v>
      </c>
      <c r="AI531" s="18">
        <v>0.008914</v>
      </c>
      <c r="AJ531" s="18">
        <v>0.007026</v>
      </c>
      <c r="AK531" s="18">
        <v>0.005038</v>
      </c>
      <c r="AL531" s="18">
        <v>0.002537</v>
      </c>
      <c r="AM531" s="18">
        <v>0.0</v>
      </c>
      <c r="AN531" s="2">
        <v>0.0</v>
      </c>
      <c r="AO531" s="2">
        <v>0.0</v>
      </c>
      <c r="AP531" s="20">
        <v>0.0</v>
      </c>
      <c r="AQ531" s="20">
        <v>0.0</v>
      </c>
      <c r="AR531" s="20">
        <v>0.0</v>
      </c>
      <c r="AS531" s="20">
        <v>0.0</v>
      </c>
      <c r="AT531" s="12">
        <f t="shared" si="63"/>
        <v>0.01426874074</v>
      </c>
      <c r="AU531" s="12">
        <f t="shared" si="60"/>
        <v>0.01426874074</v>
      </c>
      <c r="AV531" s="14"/>
      <c r="AW531" s="15"/>
      <c r="AX531" s="15"/>
    </row>
    <row r="532" ht="15.75" customHeight="1">
      <c r="A532" s="7">
        <v>240216.0</v>
      </c>
      <c r="B532" s="7">
        <v>75.0</v>
      </c>
      <c r="C532" s="7">
        <v>1.0</v>
      </c>
      <c r="D532" s="8" t="s">
        <v>285</v>
      </c>
      <c r="E532" s="7">
        <v>13.0</v>
      </c>
      <c r="F532" s="8" t="s">
        <v>48</v>
      </c>
      <c r="G532" s="8" t="s">
        <v>67</v>
      </c>
      <c r="H532" s="8" t="s">
        <v>65</v>
      </c>
      <c r="I532" s="22" t="s">
        <v>185</v>
      </c>
      <c r="J532" s="22" t="s">
        <v>52</v>
      </c>
      <c r="K532" s="11" t="s">
        <v>53</v>
      </c>
      <c r="L532" s="18">
        <v>0.016529</v>
      </c>
      <c r="M532" s="18">
        <v>0.015862</v>
      </c>
      <c r="N532" s="18">
        <v>0.017244</v>
      </c>
      <c r="O532" s="18">
        <v>0.017489</v>
      </c>
      <c r="P532" s="18">
        <v>0.016673</v>
      </c>
      <c r="Q532" s="18">
        <v>0.016512</v>
      </c>
      <c r="R532" s="18">
        <v>0.015281</v>
      </c>
      <c r="S532" s="18">
        <v>0.015502</v>
      </c>
      <c r="T532" s="18">
        <v>0.014942</v>
      </c>
      <c r="U532" s="18">
        <v>0.012667</v>
      </c>
      <c r="V532" s="18">
        <v>0.010859</v>
      </c>
      <c r="W532" s="18">
        <v>0.008799</v>
      </c>
      <c r="X532" s="18">
        <v>0.007699</v>
      </c>
      <c r="Y532" s="18">
        <v>0.007605</v>
      </c>
      <c r="Z532" s="18">
        <v>0.006475</v>
      </c>
      <c r="AA532" s="18">
        <v>0.006566</v>
      </c>
      <c r="AB532" s="18">
        <v>0.008557</v>
      </c>
      <c r="AC532" s="18">
        <v>0.008578</v>
      </c>
      <c r="AD532" s="18">
        <v>0.008384</v>
      </c>
      <c r="AE532" s="18">
        <v>0.009489</v>
      </c>
      <c r="AF532" s="18">
        <v>0.009566</v>
      </c>
      <c r="AG532" s="18">
        <v>0.008268</v>
      </c>
      <c r="AH532" s="18">
        <v>0.007882</v>
      </c>
      <c r="AI532" s="18">
        <v>0.0093</v>
      </c>
      <c r="AJ532" s="18">
        <v>0.006505</v>
      </c>
      <c r="AK532" s="18">
        <v>0.001511</v>
      </c>
      <c r="AL532" s="18">
        <v>0.002367</v>
      </c>
      <c r="AM532" s="18">
        <v>0.006935</v>
      </c>
      <c r="AN532" s="18">
        <v>0.012141</v>
      </c>
      <c r="AO532" s="2">
        <v>0.0</v>
      </c>
      <c r="AP532" s="20">
        <v>0.0</v>
      </c>
      <c r="AQ532" s="20">
        <v>0.0</v>
      </c>
      <c r="AR532" s="20">
        <v>0.0</v>
      </c>
      <c r="AS532" s="20">
        <v>0.0</v>
      </c>
      <c r="AT532" s="12">
        <f t="shared" ref="AT532:AT533" si="64">AVERAGE(L532:AN532)</f>
        <v>0.01055817241</v>
      </c>
      <c r="AU532" s="12">
        <f t="shared" si="60"/>
        <v>0.01055817241</v>
      </c>
      <c r="AV532" s="14"/>
      <c r="AW532" s="15"/>
      <c r="AX532" s="15"/>
    </row>
    <row r="533" ht="15.75" customHeight="1">
      <c r="A533" s="7">
        <v>240221.0</v>
      </c>
      <c r="B533" s="7">
        <v>75.0</v>
      </c>
      <c r="C533" s="7">
        <v>1.0</v>
      </c>
      <c r="D533" s="8" t="s">
        <v>286</v>
      </c>
      <c r="E533" s="7">
        <v>13.0</v>
      </c>
      <c r="F533" s="8" t="s">
        <v>56</v>
      </c>
      <c r="G533" s="8" t="s">
        <v>67</v>
      </c>
      <c r="H533" s="8" t="s">
        <v>63</v>
      </c>
      <c r="I533" s="22" t="s">
        <v>185</v>
      </c>
      <c r="J533" s="22" t="s">
        <v>52</v>
      </c>
      <c r="K533" s="11" t="s">
        <v>57</v>
      </c>
      <c r="L533" s="18">
        <v>0.023194</v>
      </c>
      <c r="M533" s="18">
        <v>0.022034</v>
      </c>
      <c r="N533" s="18">
        <v>0.021145</v>
      </c>
      <c r="O533" s="18">
        <v>0.021576</v>
      </c>
      <c r="P533" s="18">
        <v>0.021516</v>
      </c>
      <c r="Q533" s="18">
        <v>0.021611</v>
      </c>
      <c r="R533" s="18">
        <v>0.022264</v>
      </c>
      <c r="S533" s="18">
        <v>0.021283</v>
      </c>
      <c r="T533" s="18">
        <v>0.020852</v>
      </c>
      <c r="U533" s="18">
        <v>0.018851</v>
      </c>
      <c r="V533" s="18">
        <v>0.017501</v>
      </c>
      <c r="W533" s="18">
        <v>0.019278</v>
      </c>
      <c r="X533" s="18">
        <v>0.019891</v>
      </c>
      <c r="Y533" s="18">
        <v>0.019591</v>
      </c>
      <c r="Z533" s="18">
        <v>0.018584</v>
      </c>
      <c r="AA533" s="18">
        <v>0.018947</v>
      </c>
      <c r="AB533" s="18">
        <v>0.018558</v>
      </c>
      <c r="AC533" s="18">
        <v>0.014337</v>
      </c>
      <c r="AD533" s="18">
        <v>0.012357</v>
      </c>
      <c r="AE533" s="18">
        <v>0.011499</v>
      </c>
      <c r="AF533" s="18">
        <v>0.009993</v>
      </c>
      <c r="AG533" s="18">
        <v>0.010554</v>
      </c>
      <c r="AH533" s="18">
        <v>0.010652</v>
      </c>
      <c r="AI533" s="18">
        <v>0.009749</v>
      </c>
      <c r="AJ533" s="18">
        <v>0.01107</v>
      </c>
      <c r="AK533" s="18">
        <v>0.009982</v>
      </c>
      <c r="AL533" s="18">
        <v>0.004338</v>
      </c>
      <c r="AM533" s="18">
        <v>0.00527</v>
      </c>
      <c r="AN533" s="18">
        <v>0.020355</v>
      </c>
      <c r="AO533" s="2">
        <v>0.0</v>
      </c>
      <c r="AP533" s="20">
        <v>0.0</v>
      </c>
      <c r="AQ533" s="20">
        <v>0.0</v>
      </c>
      <c r="AR533" s="20">
        <v>0.0</v>
      </c>
      <c r="AS533" s="20">
        <v>0.0</v>
      </c>
      <c r="AT533" s="12">
        <f t="shared" si="64"/>
        <v>0.01644248276</v>
      </c>
      <c r="AU533" s="12">
        <f t="shared" si="60"/>
        <v>0.01644248276</v>
      </c>
      <c r="AV533" s="14"/>
      <c r="AW533" s="15"/>
      <c r="AX533" s="15"/>
    </row>
    <row r="534" ht="15.75" customHeight="1">
      <c r="A534" s="7">
        <v>240221.0</v>
      </c>
      <c r="B534" s="7">
        <v>75.0</v>
      </c>
      <c r="C534" s="7">
        <v>1.0</v>
      </c>
      <c r="D534" s="8" t="s">
        <v>287</v>
      </c>
      <c r="E534" s="7">
        <v>13.0</v>
      </c>
      <c r="F534" s="8" t="s">
        <v>56</v>
      </c>
      <c r="G534" s="8" t="s">
        <v>67</v>
      </c>
      <c r="H534" s="8" t="s">
        <v>50</v>
      </c>
      <c r="I534" s="22" t="s">
        <v>185</v>
      </c>
      <c r="J534" s="22" t="s">
        <v>52</v>
      </c>
      <c r="K534" s="11" t="s">
        <v>57</v>
      </c>
      <c r="L534" s="18">
        <v>0.018355</v>
      </c>
      <c r="M534" s="18">
        <v>0.017826</v>
      </c>
      <c r="N534" s="18">
        <v>0.019435</v>
      </c>
      <c r="O534" s="18">
        <v>0.019596</v>
      </c>
      <c r="P534" s="18">
        <v>0.017209</v>
      </c>
      <c r="Q534" s="18">
        <v>0.015695</v>
      </c>
      <c r="R534" s="18">
        <v>0.016294</v>
      </c>
      <c r="S534" s="18">
        <v>0.018239</v>
      </c>
      <c r="T534" s="18">
        <v>0.018824</v>
      </c>
      <c r="U534" s="18">
        <v>0.018434</v>
      </c>
      <c r="V534" s="18">
        <v>0.017004</v>
      </c>
      <c r="W534" s="18">
        <v>0.01656</v>
      </c>
      <c r="X534" s="18">
        <v>0.017454</v>
      </c>
      <c r="Y534" s="18">
        <v>0.016967</v>
      </c>
      <c r="Z534" s="18">
        <v>0.014978</v>
      </c>
      <c r="AA534" s="18">
        <v>0.013149</v>
      </c>
      <c r="AB534" s="18">
        <v>0.014133</v>
      </c>
      <c r="AC534" s="18">
        <v>0.013537</v>
      </c>
      <c r="AD534" s="18">
        <v>0.01146</v>
      </c>
      <c r="AE534" s="18">
        <v>0.01079</v>
      </c>
      <c r="AF534" s="18">
        <v>0.010063</v>
      </c>
      <c r="AG534" s="18">
        <v>0.008823</v>
      </c>
      <c r="AH534" s="18">
        <v>0.00745</v>
      </c>
      <c r="AI534" s="18">
        <v>0.007301</v>
      </c>
      <c r="AJ534" s="18">
        <v>0.005933</v>
      </c>
      <c r="AK534" s="18">
        <v>0.001875</v>
      </c>
      <c r="AL534" s="18">
        <v>0.001189</v>
      </c>
      <c r="AM534" s="2">
        <v>0.0</v>
      </c>
      <c r="AN534" s="2">
        <v>0.0</v>
      </c>
      <c r="AO534" s="2">
        <v>0.0</v>
      </c>
      <c r="AP534" s="20">
        <v>0.0</v>
      </c>
      <c r="AQ534" s="20">
        <v>0.0</v>
      </c>
      <c r="AR534" s="20">
        <v>0.0</v>
      </c>
      <c r="AS534" s="20">
        <v>0.0</v>
      </c>
      <c r="AT534" s="12">
        <f>AVERAGE(L534:AL534)</f>
        <v>0.01365085185</v>
      </c>
      <c r="AU534" s="12">
        <f t="shared" si="60"/>
        <v>0.01365085185</v>
      </c>
      <c r="AV534" s="14"/>
      <c r="AW534" s="15"/>
      <c r="AX534" s="15"/>
    </row>
    <row r="535" ht="15.75" customHeight="1">
      <c r="A535" s="7">
        <v>240221.0</v>
      </c>
      <c r="B535" s="7">
        <v>75.0</v>
      </c>
      <c r="C535" s="7">
        <v>1.0</v>
      </c>
      <c r="D535" s="8" t="s">
        <v>288</v>
      </c>
      <c r="E535" s="7">
        <v>13.0</v>
      </c>
      <c r="F535" s="8" t="s">
        <v>56</v>
      </c>
      <c r="G535" s="8" t="s">
        <v>67</v>
      </c>
      <c r="H535" s="8" t="s">
        <v>61</v>
      </c>
      <c r="I535" s="22" t="s">
        <v>185</v>
      </c>
      <c r="J535" s="22" t="s">
        <v>52</v>
      </c>
      <c r="K535" s="11" t="s">
        <v>57</v>
      </c>
      <c r="L535" s="2">
        <v>0.0</v>
      </c>
      <c r="M535" s="2">
        <v>0.0</v>
      </c>
      <c r="N535" s="18">
        <v>0.014835</v>
      </c>
      <c r="O535" s="18">
        <v>0.018885</v>
      </c>
      <c r="P535" s="18">
        <v>0.020963</v>
      </c>
      <c r="Q535" s="18">
        <v>0.020313</v>
      </c>
      <c r="R535" s="18">
        <v>0.020438</v>
      </c>
      <c r="S535" s="18">
        <v>0.021998</v>
      </c>
      <c r="T535" s="18">
        <v>0.022123</v>
      </c>
      <c r="U535" s="18">
        <v>0.022079</v>
      </c>
      <c r="V535" s="18">
        <v>0.022425</v>
      </c>
      <c r="W535" s="18">
        <v>0.023002</v>
      </c>
      <c r="X535" s="18">
        <v>0.021745</v>
      </c>
      <c r="Y535" s="18">
        <v>0.021294</v>
      </c>
      <c r="Z535" s="18">
        <v>0.020325</v>
      </c>
      <c r="AA535" s="18">
        <v>0.019273</v>
      </c>
      <c r="AB535" s="18">
        <v>0.019292</v>
      </c>
      <c r="AC535" s="18">
        <v>0.018991</v>
      </c>
      <c r="AD535" s="18">
        <v>0.019092</v>
      </c>
      <c r="AE535" s="18">
        <v>0.017115</v>
      </c>
      <c r="AF535" s="18">
        <v>0.014445</v>
      </c>
      <c r="AG535" s="18">
        <v>0.013173</v>
      </c>
      <c r="AH535" s="18">
        <v>0.012406</v>
      </c>
      <c r="AI535" s="2">
        <v>0.0</v>
      </c>
      <c r="AJ535" s="2">
        <v>0.0</v>
      </c>
      <c r="AK535" s="2">
        <v>0.0</v>
      </c>
      <c r="AL535" s="2">
        <v>0.0</v>
      </c>
      <c r="AM535" s="2">
        <v>0.0</v>
      </c>
      <c r="AN535" s="2">
        <v>0.0</v>
      </c>
      <c r="AO535" s="2">
        <v>0.0</v>
      </c>
      <c r="AP535" s="20">
        <v>0.0</v>
      </c>
      <c r="AQ535" s="20">
        <v>0.0</v>
      </c>
      <c r="AR535" s="20">
        <v>0.0</v>
      </c>
      <c r="AS535" s="20">
        <v>0.0</v>
      </c>
      <c r="AT535" s="12">
        <f>AVERAGE(L535:AH535)</f>
        <v>0.01757443478</v>
      </c>
      <c r="AU535" s="12">
        <f t="shared" si="60"/>
        <v>0.01924819048</v>
      </c>
      <c r="AV535" s="14"/>
      <c r="AW535" s="15"/>
      <c r="AX535" s="15"/>
    </row>
    <row r="536" ht="15.75" customHeight="1">
      <c r="A536" s="7">
        <v>240221.0</v>
      </c>
      <c r="B536" s="7">
        <v>75.0</v>
      </c>
      <c r="C536" s="7">
        <v>1.0</v>
      </c>
      <c r="D536" s="8" t="s">
        <v>289</v>
      </c>
      <c r="E536" s="7">
        <v>13.0</v>
      </c>
      <c r="F536" s="8" t="s">
        <v>56</v>
      </c>
      <c r="G536" s="8" t="s">
        <v>67</v>
      </c>
      <c r="H536" s="8" t="s">
        <v>65</v>
      </c>
      <c r="I536" s="22" t="s">
        <v>185</v>
      </c>
      <c r="J536" s="22" t="s">
        <v>52</v>
      </c>
      <c r="K536" s="11" t="s">
        <v>57</v>
      </c>
      <c r="L536" s="18">
        <v>0.023448</v>
      </c>
      <c r="M536" s="18">
        <v>0.021703</v>
      </c>
      <c r="N536" s="18">
        <v>0.020107</v>
      </c>
      <c r="O536" s="18">
        <v>0.017598</v>
      </c>
      <c r="P536" s="18">
        <v>0.015565</v>
      </c>
      <c r="Q536" s="18">
        <v>0.015877</v>
      </c>
      <c r="R536" s="18">
        <v>0.016105</v>
      </c>
      <c r="S536" s="18">
        <v>0.015213</v>
      </c>
      <c r="T536" s="18">
        <v>0.012953</v>
      </c>
      <c r="U536" s="18">
        <v>0.010337</v>
      </c>
      <c r="V536" s="18">
        <v>0.010418</v>
      </c>
      <c r="W536" s="18">
        <v>0.010275</v>
      </c>
      <c r="X536" s="18">
        <v>0.009745</v>
      </c>
      <c r="Y536" s="18">
        <v>0.010848</v>
      </c>
      <c r="Z536" s="18">
        <v>0.010625</v>
      </c>
      <c r="AA536" s="18">
        <v>0.01136</v>
      </c>
      <c r="AB536" s="18">
        <v>0.011335</v>
      </c>
      <c r="AC536" s="18">
        <v>0.009149</v>
      </c>
      <c r="AD536" s="18">
        <v>0.008659</v>
      </c>
      <c r="AE536" s="18">
        <v>0.010597</v>
      </c>
      <c r="AF536" s="18">
        <v>0.011193</v>
      </c>
      <c r="AG536" s="18">
        <v>0.007802</v>
      </c>
      <c r="AH536" s="18">
        <v>0.004292</v>
      </c>
      <c r="AI536" s="18">
        <v>0.001947</v>
      </c>
      <c r="AJ536" s="18">
        <v>0.0</v>
      </c>
      <c r="AK536" s="2">
        <v>0.0</v>
      </c>
      <c r="AL536" s="2">
        <v>0.0</v>
      </c>
      <c r="AM536" s="2">
        <v>0.0</v>
      </c>
      <c r="AN536" s="2">
        <v>0.0</v>
      </c>
      <c r="AO536" s="2">
        <v>0.0</v>
      </c>
      <c r="AP536" s="20">
        <v>0.0</v>
      </c>
      <c r="AQ536" s="20">
        <v>0.0</v>
      </c>
      <c r="AR536" s="20">
        <v>0.0</v>
      </c>
      <c r="AS536" s="20">
        <v>0.0</v>
      </c>
      <c r="AT536" s="12">
        <f>AVERAGE(L536:AI536)</f>
        <v>0.01238129167</v>
      </c>
      <c r="AU536" s="12">
        <f t="shared" si="60"/>
        <v>0.01238129167</v>
      </c>
      <c r="AV536" s="14"/>
      <c r="AW536" s="15"/>
      <c r="AX536" s="15"/>
    </row>
    <row r="537" ht="15.75" customHeight="1">
      <c r="A537" s="7">
        <v>240221.0</v>
      </c>
      <c r="B537" s="7">
        <v>75.0</v>
      </c>
      <c r="C537" s="7">
        <v>1.0</v>
      </c>
      <c r="D537" s="8" t="s">
        <v>290</v>
      </c>
      <c r="E537" s="7">
        <v>13.0</v>
      </c>
      <c r="F537" s="8" t="s">
        <v>56</v>
      </c>
      <c r="G537" s="8" t="s">
        <v>49</v>
      </c>
      <c r="H537" s="8" t="s">
        <v>50</v>
      </c>
      <c r="I537" s="22" t="s">
        <v>185</v>
      </c>
      <c r="J537" s="22" t="s">
        <v>52</v>
      </c>
      <c r="K537" s="11" t="s">
        <v>57</v>
      </c>
      <c r="L537" s="18">
        <v>0.017798</v>
      </c>
      <c r="M537" s="18">
        <v>0.017973</v>
      </c>
      <c r="N537" s="18">
        <v>0.01788</v>
      </c>
      <c r="O537" s="18">
        <v>0.018456</v>
      </c>
      <c r="P537" s="18">
        <v>0.01909</v>
      </c>
      <c r="Q537" s="18">
        <v>0.016812</v>
      </c>
      <c r="R537" s="18">
        <v>0.015617</v>
      </c>
      <c r="S537" s="18">
        <v>0.01701</v>
      </c>
      <c r="T537" s="18">
        <v>0.017016</v>
      </c>
      <c r="U537" s="18">
        <v>0.016274</v>
      </c>
      <c r="V537" s="18">
        <v>0.016312</v>
      </c>
      <c r="W537" s="18">
        <v>0.016588</v>
      </c>
      <c r="X537" s="18">
        <v>0.015831</v>
      </c>
      <c r="Y537" s="18">
        <v>0.016386</v>
      </c>
      <c r="Z537" s="18">
        <v>0.016395</v>
      </c>
      <c r="AA537" s="18">
        <v>0.014525</v>
      </c>
      <c r="AB537" s="18">
        <v>0.013856</v>
      </c>
      <c r="AC537" s="18">
        <v>0.013638</v>
      </c>
      <c r="AD537" s="18">
        <v>0.012645</v>
      </c>
      <c r="AE537" s="18">
        <v>0.011357</v>
      </c>
      <c r="AF537" s="18">
        <v>0.009971</v>
      </c>
      <c r="AG537" s="18">
        <v>0.009453</v>
      </c>
      <c r="AH537" s="18">
        <v>0.009242</v>
      </c>
      <c r="AI537" s="18">
        <v>0.008198</v>
      </c>
      <c r="AJ537" s="18">
        <v>0.005371</v>
      </c>
      <c r="AK537" s="18">
        <v>0.005224</v>
      </c>
      <c r="AL537" s="18">
        <v>0.019777</v>
      </c>
      <c r="AM537" s="18">
        <v>0.015099</v>
      </c>
      <c r="AN537" s="18">
        <v>0.007388</v>
      </c>
      <c r="AO537" s="2">
        <v>0.0</v>
      </c>
      <c r="AP537" s="20">
        <v>0.0</v>
      </c>
      <c r="AQ537" s="20">
        <v>0.0</v>
      </c>
      <c r="AR537" s="20">
        <v>0.0</v>
      </c>
      <c r="AS537" s="20">
        <v>0.0</v>
      </c>
      <c r="AT537" s="12">
        <f>AVERAGE(L537:AN537)</f>
        <v>0.01417868966</v>
      </c>
      <c r="AU537" s="12">
        <f t="shared" si="60"/>
        <v>0.01417868966</v>
      </c>
      <c r="AV537" s="14"/>
      <c r="AW537" s="15"/>
      <c r="AX537" s="15"/>
    </row>
    <row r="538" ht="15.75" customHeight="1">
      <c r="A538" s="7">
        <v>240221.0</v>
      </c>
      <c r="B538" s="7">
        <v>75.0</v>
      </c>
      <c r="C538" s="7">
        <v>1.0</v>
      </c>
      <c r="D538" s="8" t="s">
        <v>292</v>
      </c>
      <c r="E538" s="7">
        <v>13.0</v>
      </c>
      <c r="F538" s="8" t="s">
        <v>56</v>
      </c>
      <c r="G538" s="8" t="s">
        <v>49</v>
      </c>
      <c r="H538" s="8" t="s">
        <v>65</v>
      </c>
      <c r="I538" s="22" t="s">
        <v>185</v>
      </c>
      <c r="J538" s="22" t="s">
        <v>52</v>
      </c>
      <c r="K538" s="11" t="s">
        <v>57</v>
      </c>
      <c r="L538" s="18">
        <v>0.015436</v>
      </c>
      <c r="M538" s="18">
        <v>0.015657</v>
      </c>
      <c r="N538" s="18">
        <v>0.017837</v>
      </c>
      <c r="O538" s="18">
        <v>0.018212</v>
      </c>
      <c r="P538" s="18">
        <v>0.015441</v>
      </c>
      <c r="Q538" s="18">
        <v>0.015228</v>
      </c>
      <c r="R538" s="18">
        <v>0.0157</v>
      </c>
      <c r="S538" s="18">
        <v>0.016521</v>
      </c>
      <c r="T538" s="18">
        <v>0.017457</v>
      </c>
      <c r="U538" s="18">
        <v>0.015771</v>
      </c>
      <c r="V538" s="18">
        <v>0.015695</v>
      </c>
      <c r="W538" s="18">
        <v>0.015816</v>
      </c>
      <c r="X538" s="18">
        <v>0.014729</v>
      </c>
      <c r="Y538" s="18">
        <v>0.01485</v>
      </c>
      <c r="Z538" s="18">
        <v>0.014355</v>
      </c>
      <c r="AA538" s="18">
        <v>0.014707</v>
      </c>
      <c r="AB538" s="18">
        <v>0.014197</v>
      </c>
      <c r="AC538" s="18">
        <v>0.010564</v>
      </c>
      <c r="AD538" s="18">
        <v>0.008781</v>
      </c>
      <c r="AE538" s="18">
        <v>0.009656</v>
      </c>
      <c r="AF538" s="18">
        <v>0.010086</v>
      </c>
      <c r="AG538" s="18">
        <v>0.009245</v>
      </c>
      <c r="AH538" s="18">
        <v>0.009073</v>
      </c>
      <c r="AI538" s="18">
        <v>0.009326</v>
      </c>
      <c r="AJ538" s="18">
        <v>0.005959</v>
      </c>
      <c r="AK538" s="18">
        <v>0.001272</v>
      </c>
      <c r="AL538" s="18">
        <v>0.0</v>
      </c>
      <c r="AM538" s="2">
        <v>0.0</v>
      </c>
      <c r="AN538" s="2">
        <v>0.0</v>
      </c>
      <c r="AO538" s="2">
        <v>0.0</v>
      </c>
      <c r="AP538" s="20">
        <v>0.0</v>
      </c>
      <c r="AQ538" s="20">
        <v>0.0</v>
      </c>
      <c r="AR538" s="20">
        <v>0.0</v>
      </c>
      <c r="AS538" s="20">
        <v>0.0</v>
      </c>
      <c r="AT538" s="12">
        <f t="shared" ref="AT538:AT539" si="65">AVERAGE(L538:AK538)</f>
        <v>0.01313734615</v>
      </c>
      <c r="AU538" s="12">
        <f t="shared" si="60"/>
        <v>0.01313734615</v>
      </c>
      <c r="AV538" s="14"/>
      <c r="AW538" s="15"/>
      <c r="AX538" s="15"/>
    </row>
    <row r="539" ht="15.75" customHeight="1">
      <c r="A539" s="7">
        <v>240221.0</v>
      </c>
      <c r="B539" s="7">
        <v>75.0</v>
      </c>
      <c r="C539" s="7">
        <v>1.0</v>
      </c>
      <c r="D539" s="8" t="s">
        <v>291</v>
      </c>
      <c r="E539" s="7">
        <v>13.0</v>
      </c>
      <c r="F539" s="8" t="s">
        <v>56</v>
      </c>
      <c r="G539" s="8" t="s">
        <v>49</v>
      </c>
      <c r="H539" s="8" t="s">
        <v>63</v>
      </c>
      <c r="I539" s="22" t="s">
        <v>185</v>
      </c>
      <c r="J539" s="22" t="s">
        <v>52</v>
      </c>
      <c r="K539" s="11" t="s">
        <v>57</v>
      </c>
      <c r="L539" s="2">
        <v>0.0</v>
      </c>
      <c r="M539" s="2">
        <v>0.0</v>
      </c>
      <c r="N539" s="2">
        <v>0.0</v>
      </c>
      <c r="O539" s="18">
        <v>0.015195</v>
      </c>
      <c r="P539" s="18">
        <v>0.01736</v>
      </c>
      <c r="Q539" s="18">
        <v>0.020553</v>
      </c>
      <c r="R539" s="18">
        <v>0.019295</v>
      </c>
      <c r="S539" s="18">
        <v>0.017106</v>
      </c>
      <c r="T539" s="18">
        <v>0.017166</v>
      </c>
      <c r="U539" s="18">
        <v>0.015589</v>
      </c>
      <c r="V539" s="18">
        <v>0.013584</v>
      </c>
      <c r="W539" s="18">
        <v>0.013156</v>
      </c>
      <c r="X539" s="18">
        <v>0.012192</v>
      </c>
      <c r="Y539" s="18">
        <v>0.010985</v>
      </c>
      <c r="Z539" s="18">
        <v>0.010721</v>
      </c>
      <c r="AA539" s="18">
        <v>0.011781</v>
      </c>
      <c r="AB539" s="18">
        <v>0.0118</v>
      </c>
      <c r="AC539" s="18">
        <v>0.009592</v>
      </c>
      <c r="AD539" s="18">
        <v>0.007463</v>
      </c>
      <c r="AE539" s="18">
        <v>0.007188</v>
      </c>
      <c r="AF539" s="18">
        <v>0.007861</v>
      </c>
      <c r="AG539" s="18">
        <v>0.009934</v>
      </c>
      <c r="AH539" s="18">
        <v>0.011277</v>
      </c>
      <c r="AI539" s="18">
        <v>0.005843</v>
      </c>
      <c r="AJ539" s="18">
        <v>0.001739</v>
      </c>
      <c r="AK539" s="18">
        <v>0.003715</v>
      </c>
      <c r="AL539" s="2">
        <v>0.0</v>
      </c>
      <c r="AM539" s="2">
        <v>0.0</v>
      </c>
      <c r="AN539" s="2">
        <v>0.0</v>
      </c>
      <c r="AO539" s="2">
        <v>0.0</v>
      </c>
      <c r="AP539" s="20">
        <v>0.0</v>
      </c>
      <c r="AQ539" s="20">
        <v>0.0</v>
      </c>
      <c r="AR539" s="20">
        <v>0.0</v>
      </c>
      <c r="AS539" s="20">
        <v>0.0</v>
      </c>
      <c r="AT539" s="12">
        <f t="shared" si="65"/>
        <v>0.01042673077</v>
      </c>
      <c r="AU539" s="12">
        <f t="shared" si="60"/>
        <v>0.01178673913</v>
      </c>
      <c r="AV539" s="14"/>
      <c r="AW539" s="15"/>
      <c r="AX539" s="15"/>
    </row>
    <row r="540" ht="15.75" customHeight="1">
      <c r="A540" s="7">
        <v>240216.0</v>
      </c>
      <c r="B540" s="7">
        <v>75.0</v>
      </c>
      <c r="C540" s="7">
        <v>1.0</v>
      </c>
      <c r="D540" s="8" t="s">
        <v>280</v>
      </c>
      <c r="E540" s="7">
        <v>13.0</v>
      </c>
      <c r="F540" s="8" t="s">
        <v>48</v>
      </c>
      <c r="G540" s="8" t="s">
        <v>49</v>
      </c>
      <c r="H540" s="8" t="s">
        <v>50</v>
      </c>
      <c r="I540" s="22" t="s">
        <v>51</v>
      </c>
      <c r="J540" s="22" t="s">
        <v>52</v>
      </c>
      <c r="K540" s="11" t="s">
        <v>53</v>
      </c>
      <c r="L540" s="18">
        <v>0.01292</v>
      </c>
      <c r="M540" s="18">
        <v>0.016407</v>
      </c>
      <c r="N540" s="18">
        <v>0.014821</v>
      </c>
      <c r="O540" s="18">
        <v>0.012447</v>
      </c>
      <c r="P540" s="18">
        <v>0.013496</v>
      </c>
      <c r="Q540" s="18">
        <v>0.014364</v>
      </c>
      <c r="R540" s="18">
        <v>0.014141</v>
      </c>
      <c r="S540" s="18">
        <v>0.014185</v>
      </c>
      <c r="T540" s="18">
        <v>0.014091</v>
      </c>
      <c r="U540" s="18">
        <v>0.014184</v>
      </c>
      <c r="V540" s="18">
        <v>0.013652</v>
      </c>
      <c r="W540" s="18">
        <v>0.012777</v>
      </c>
      <c r="X540" s="18">
        <v>0.012998</v>
      </c>
      <c r="Y540" s="18">
        <v>0.014995</v>
      </c>
      <c r="Z540" s="18">
        <v>0.015943</v>
      </c>
      <c r="AA540" s="18">
        <v>0.015081</v>
      </c>
      <c r="AB540" s="18">
        <v>0.015412</v>
      </c>
      <c r="AC540" s="18">
        <v>0.015966</v>
      </c>
      <c r="AD540" s="18">
        <v>0.016376</v>
      </c>
      <c r="AE540" s="18">
        <v>0.016889</v>
      </c>
      <c r="AF540" s="18">
        <v>0.015848</v>
      </c>
      <c r="AG540" s="18">
        <v>0.015574</v>
      </c>
      <c r="AH540" s="18">
        <v>0.017313</v>
      </c>
      <c r="AI540" s="18">
        <v>0.021382</v>
      </c>
      <c r="AJ540" s="18">
        <v>0.023529</v>
      </c>
      <c r="AK540" s="18">
        <v>0.019316</v>
      </c>
      <c r="AL540" s="18">
        <v>0.01487</v>
      </c>
      <c r="AM540" s="18">
        <v>0.017167</v>
      </c>
      <c r="AN540" s="2">
        <v>0.0</v>
      </c>
      <c r="AO540" s="2">
        <v>0.0</v>
      </c>
      <c r="AP540" s="20">
        <v>0.0</v>
      </c>
      <c r="AQ540" s="20">
        <v>0.0</v>
      </c>
      <c r="AR540" s="20">
        <v>0.0</v>
      </c>
      <c r="AS540" s="20">
        <v>0.0</v>
      </c>
      <c r="AT540" s="12">
        <f>AVERAGE(L540:AM540)</f>
        <v>0.01557657143</v>
      </c>
      <c r="AU540" s="12">
        <f t="shared" si="60"/>
        <v>0.01557657143</v>
      </c>
      <c r="AV540" s="14"/>
      <c r="AW540" s="15"/>
      <c r="AX540" s="15"/>
    </row>
    <row r="541" ht="15.75" customHeight="1">
      <c r="A541" s="7">
        <v>240216.0</v>
      </c>
      <c r="B541" s="7">
        <v>75.0</v>
      </c>
      <c r="C541" s="7">
        <v>1.0</v>
      </c>
      <c r="D541" s="8" t="s">
        <v>281</v>
      </c>
      <c r="E541" s="7">
        <v>13.0</v>
      </c>
      <c r="F541" s="8" t="s">
        <v>48</v>
      </c>
      <c r="G541" s="8" t="s">
        <v>49</v>
      </c>
      <c r="H541" s="8" t="s">
        <v>61</v>
      </c>
      <c r="I541" s="22" t="s">
        <v>51</v>
      </c>
      <c r="J541" s="22" t="s">
        <v>52</v>
      </c>
      <c r="K541" s="11" t="s">
        <v>53</v>
      </c>
      <c r="L541" s="18">
        <v>0.015535</v>
      </c>
      <c r="M541" s="18">
        <v>0.015585</v>
      </c>
      <c r="N541" s="18">
        <v>0.016319</v>
      </c>
      <c r="O541" s="18">
        <v>0.017758</v>
      </c>
      <c r="P541" s="18">
        <v>0.016719</v>
      </c>
      <c r="Q541" s="18">
        <v>0.015831</v>
      </c>
      <c r="R541" s="18">
        <v>0.015889</v>
      </c>
      <c r="S541" s="18">
        <v>0.014599</v>
      </c>
      <c r="T541" s="18">
        <v>0.014375</v>
      </c>
      <c r="U541" s="18">
        <v>0.015527</v>
      </c>
      <c r="V541" s="18">
        <v>0.016719</v>
      </c>
      <c r="W541" s="18">
        <v>0.017856</v>
      </c>
      <c r="X541" s="18">
        <v>0.019604</v>
      </c>
      <c r="Y541" s="18">
        <v>0.019918</v>
      </c>
      <c r="Z541" s="18">
        <v>0.019425</v>
      </c>
      <c r="AA541" s="18">
        <v>0.020396</v>
      </c>
      <c r="AB541" s="18">
        <v>0.019878</v>
      </c>
      <c r="AC541" s="18">
        <v>0.018475</v>
      </c>
      <c r="AD541" s="18">
        <v>0.018671</v>
      </c>
      <c r="AE541" s="18">
        <v>0.019805</v>
      </c>
      <c r="AF541" s="18">
        <v>0.021841</v>
      </c>
      <c r="AG541" s="18">
        <v>0.024204</v>
      </c>
      <c r="AH541" s="18">
        <v>0.025465</v>
      </c>
      <c r="AI541" s="18">
        <v>0.025649</v>
      </c>
      <c r="AJ541" s="18">
        <v>0.024242</v>
      </c>
      <c r="AK541" s="18">
        <v>0.020709</v>
      </c>
      <c r="AL541" s="2">
        <v>0.0</v>
      </c>
      <c r="AM541" s="2">
        <v>0.0</v>
      </c>
      <c r="AN541" s="2">
        <v>0.0</v>
      </c>
      <c r="AO541" s="2">
        <v>0.0</v>
      </c>
      <c r="AP541" s="20">
        <v>0.0</v>
      </c>
      <c r="AQ541" s="20">
        <v>0.0</v>
      </c>
      <c r="AR541" s="20">
        <v>0.0</v>
      </c>
      <c r="AS541" s="20">
        <v>0.0</v>
      </c>
      <c r="AT541" s="12">
        <f>AVERAGE(L541:AK541)</f>
        <v>0.01888438462</v>
      </c>
      <c r="AU541" s="12">
        <f t="shared" si="60"/>
        <v>0.01888438462</v>
      </c>
      <c r="AV541" s="14"/>
      <c r="AW541" s="15"/>
      <c r="AX541" s="15"/>
    </row>
    <row r="542" ht="15.75" customHeight="1">
      <c r="A542" s="7">
        <v>240216.0</v>
      </c>
      <c r="B542" s="7">
        <v>75.0</v>
      </c>
      <c r="C542" s="7">
        <v>1.0</v>
      </c>
      <c r="D542" s="8" t="s">
        <v>282</v>
      </c>
      <c r="E542" s="7">
        <v>13.0</v>
      </c>
      <c r="F542" s="8" t="s">
        <v>48</v>
      </c>
      <c r="G542" s="8" t="s">
        <v>49</v>
      </c>
      <c r="H542" s="8" t="s">
        <v>65</v>
      </c>
      <c r="I542" s="22" t="s">
        <v>51</v>
      </c>
      <c r="J542" s="22" t="s">
        <v>52</v>
      </c>
      <c r="K542" s="11" t="s">
        <v>53</v>
      </c>
      <c r="L542" s="18">
        <v>0.017441</v>
      </c>
      <c r="M542" s="18">
        <v>0.018313</v>
      </c>
      <c r="N542" s="18">
        <v>0.017786</v>
      </c>
      <c r="O542" s="18">
        <v>0.017293</v>
      </c>
      <c r="P542" s="18">
        <v>0.017247</v>
      </c>
      <c r="Q542" s="18">
        <v>0.016129</v>
      </c>
      <c r="R542" s="18">
        <v>0.01531</v>
      </c>
      <c r="S542" s="18">
        <v>0.015676</v>
      </c>
      <c r="T542" s="18">
        <v>0.017039</v>
      </c>
      <c r="U542" s="18">
        <v>0.017485</v>
      </c>
      <c r="V542" s="18">
        <v>0.018573</v>
      </c>
      <c r="W542" s="18">
        <v>0.020875</v>
      </c>
      <c r="X542" s="18">
        <v>0.022599</v>
      </c>
      <c r="Y542" s="18">
        <v>0.024814</v>
      </c>
      <c r="Z542" s="18">
        <v>0.023939</v>
      </c>
      <c r="AA542" s="18">
        <v>0.022904</v>
      </c>
      <c r="AB542" s="18">
        <v>0.023575</v>
      </c>
      <c r="AC542" s="18">
        <v>0.02338</v>
      </c>
      <c r="AD542" s="18">
        <v>0.024431</v>
      </c>
      <c r="AE542" s="18">
        <v>0.027569</v>
      </c>
      <c r="AF542" s="18">
        <v>0.030797</v>
      </c>
      <c r="AG542" s="18">
        <v>0.034389</v>
      </c>
      <c r="AH542" s="18">
        <v>0.036232</v>
      </c>
      <c r="AI542" s="18">
        <v>0.033673</v>
      </c>
      <c r="AJ542" s="18">
        <v>0.031313</v>
      </c>
      <c r="AK542" s="18">
        <v>0.022169</v>
      </c>
      <c r="AL542" s="18">
        <v>0.005461</v>
      </c>
      <c r="AM542" s="18">
        <v>0.0</v>
      </c>
      <c r="AN542" s="18">
        <v>0.0</v>
      </c>
      <c r="AO542" s="2">
        <v>0.0</v>
      </c>
      <c r="AP542" s="20">
        <v>0.0</v>
      </c>
      <c r="AQ542" s="20">
        <v>0.0</v>
      </c>
      <c r="AR542" s="20">
        <v>0.0</v>
      </c>
      <c r="AS542" s="20">
        <v>0.0</v>
      </c>
      <c r="AT542" s="12">
        <f t="shared" ref="AT542:AT543" si="66">AVERAGE(L542:AL542)</f>
        <v>0.02208933333</v>
      </c>
      <c r="AU542" s="12">
        <f t="shared" si="60"/>
        <v>0.02208933333</v>
      </c>
      <c r="AV542" s="14"/>
      <c r="AW542" s="15"/>
      <c r="AX542" s="15"/>
    </row>
    <row r="543" ht="15.75" customHeight="1">
      <c r="A543" s="7">
        <v>240216.0</v>
      </c>
      <c r="B543" s="7">
        <v>75.0</v>
      </c>
      <c r="C543" s="7">
        <v>1.0</v>
      </c>
      <c r="D543" s="8" t="s">
        <v>283</v>
      </c>
      <c r="E543" s="7">
        <v>13.0</v>
      </c>
      <c r="F543" s="8" t="s">
        <v>48</v>
      </c>
      <c r="G543" s="8" t="s">
        <v>49</v>
      </c>
      <c r="H543" s="8" t="s">
        <v>63</v>
      </c>
      <c r="I543" s="22" t="s">
        <v>51</v>
      </c>
      <c r="J543" s="22" t="s">
        <v>52</v>
      </c>
      <c r="K543" s="11" t="s">
        <v>53</v>
      </c>
      <c r="L543" s="18">
        <v>0.019037</v>
      </c>
      <c r="M543" s="18">
        <v>0.018385</v>
      </c>
      <c r="N543" s="18">
        <v>0.016544</v>
      </c>
      <c r="O543" s="18">
        <v>0.016102</v>
      </c>
      <c r="P543" s="18">
        <v>0.017153</v>
      </c>
      <c r="Q543" s="18">
        <v>0.018114</v>
      </c>
      <c r="R543" s="18">
        <v>0.019349</v>
      </c>
      <c r="S543" s="18">
        <v>0.018969</v>
      </c>
      <c r="T543" s="18">
        <v>0.018213</v>
      </c>
      <c r="U543" s="18">
        <v>0.018864</v>
      </c>
      <c r="V543" s="18">
        <v>0.018605</v>
      </c>
      <c r="W543" s="18">
        <v>0.017692</v>
      </c>
      <c r="X543" s="18">
        <v>0.018791</v>
      </c>
      <c r="Y543" s="18">
        <v>0.018413</v>
      </c>
      <c r="Z543" s="18">
        <v>0.017214</v>
      </c>
      <c r="AA543" s="18">
        <v>0.017884</v>
      </c>
      <c r="AB543" s="18">
        <v>0.019326</v>
      </c>
      <c r="AC543" s="18">
        <v>0.019899</v>
      </c>
      <c r="AD543" s="18">
        <v>0.021191</v>
      </c>
      <c r="AE543" s="18">
        <v>0.021645</v>
      </c>
      <c r="AF543" s="18">
        <v>0.021514</v>
      </c>
      <c r="AG543" s="18">
        <v>0.024215</v>
      </c>
      <c r="AH543" s="18">
        <v>0.025972</v>
      </c>
      <c r="AI543" s="18">
        <v>0.025955</v>
      </c>
      <c r="AJ543" s="18">
        <v>0.023752</v>
      </c>
      <c r="AK543" s="18">
        <v>0.019291</v>
      </c>
      <c r="AL543" s="18">
        <v>0.005054</v>
      </c>
      <c r="AM543" s="2">
        <v>0.0</v>
      </c>
      <c r="AN543" s="2">
        <v>0.0</v>
      </c>
      <c r="AO543" s="2">
        <v>0.0</v>
      </c>
      <c r="AP543" s="20">
        <v>0.0</v>
      </c>
      <c r="AQ543" s="20">
        <v>0.0</v>
      </c>
      <c r="AR543" s="20">
        <v>0.0</v>
      </c>
      <c r="AS543" s="20">
        <v>0.0</v>
      </c>
      <c r="AT543" s="12">
        <f t="shared" si="66"/>
        <v>0.01915344444</v>
      </c>
      <c r="AU543" s="12">
        <f t="shared" si="60"/>
        <v>0.01915344444</v>
      </c>
      <c r="AV543" s="14"/>
      <c r="AW543" s="15"/>
      <c r="AX543" s="15"/>
    </row>
    <row r="544" ht="15.75" customHeight="1">
      <c r="A544" s="7">
        <v>240216.0</v>
      </c>
      <c r="B544" s="7">
        <v>75.0</v>
      </c>
      <c r="C544" s="7">
        <v>1.0</v>
      </c>
      <c r="D544" s="8" t="s">
        <v>284</v>
      </c>
      <c r="E544" s="7">
        <v>13.0</v>
      </c>
      <c r="F544" s="8" t="s">
        <v>48</v>
      </c>
      <c r="G544" s="8" t="s">
        <v>67</v>
      </c>
      <c r="H544" s="8" t="s">
        <v>61</v>
      </c>
      <c r="I544" s="22" t="s">
        <v>51</v>
      </c>
      <c r="J544" s="22" t="s">
        <v>52</v>
      </c>
      <c r="K544" s="11" t="s">
        <v>53</v>
      </c>
      <c r="L544" s="18">
        <v>0.016427</v>
      </c>
      <c r="M544" s="18">
        <v>0.015129</v>
      </c>
      <c r="N544" s="18">
        <v>0.015825</v>
      </c>
      <c r="O544" s="18">
        <v>0.016793</v>
      </c>
      <c r="P544" s="18">
        <v>0.016268</v>
      </c>
      <c r="Q544" s="18">
        <v>0.015771</v>
      </c>
      <c r="R544" s="18">
        <v>0.01647</v>
      </c>
      <c r="S544" s="18">
        <v>0.018047</v>
      </c>
      <c r="T544" s="18">
        <v>0.018464</v>
      </c>
      <c r="U544" s="18">
        <v>0.018482</v>
      </c>
      <c r="V544" s="18">
        <v>0.018848</v>
      </c>
      <c r="W544" s="18">
        <v>0.019289</v>
      </c>
      <c r="X544" s="18">
        <v>0.019021</v>
      </c>
      <c r="Y544" s="18">
        <v>0.019387</v>
      </c>
      <c r="Z544" s="18">
        <v>0.019179</v>
      </c>
      <c r="AA544" s="18">
        <v>0.018798</v>
      </c>
      <c r="AB544" s="18">
        <v>0.020089</v>
      </c>
      <c r="AC544" s="18">
        <v>0.020434</v>
      </c>
      <c r="AD544" s="18">
        <v>0.020564</v>
      </c>
      <c r="AE544" s="18">
        <v>0.022093</v>
      </c>
      <c r="AF544" s="18">
        <v>0.024394</v>
      </c>
      <c r="AG544" s="18">
        <v>0.025288</v>
      </c>
      <c r="AH544" s="18">
        <v>0.02664</v>
      </c>
      <c r="AI544" s="18">
        <v>0.028757</v>
      </c>
      <c r="AJ544" s="18">
        <v>0.031332</v>
      </c>
      <c r="AK544" s="18">
        <v>0.031477</v>
      </c>
      <c r="AL544" s="18">
        <v>0.026774</v>
      </c>
      <c r="AM544" s="18">
        <v>0.007568</v>
      </c>
      <c r="AN544" s="2">
        <v>0.0</v>
      </c>
      <c r="AO544" s="2">
        <v>0.0</v>
      </c>
      <c r="AP544" s="20">
        <v>0.0</v>
      </c>
      <c r="AQ544" s="20">
        <v>0.0</v>
      </c>
      <c r="AR544" s="20">
        <v>0.0</v>
      </c>
      <c r="AS544" s="20">
        <v>0.0</v>
      </c>
      <c r="AT544" s="12">
        <f>AVERAGE(L544:AM544)</f>
        <v>0.02027171429</v>
      </c>
      <c r="AU544" s="12">
        <f t="shared" si="60"/>
        <v>0.02027171429</v>
      </c>
      <c r="AV544" s="14"/>
      <c r="AW544" s="15"/>
      <c r="AX544" s="15"/>
    </row>
    <row r="545" ht="15.75" customHeight="1">
      <c r="A545" s="7">
        <v>240216.0</v>
      </c>
      <c r="B545" s="7">
        <v>75.0</v>
      </c>
      <c r="C545" s="7">
        <v>1.0</v>
      </c>
      <c r="D545" s="8" t="s">
        <v>285</v>
      </c>
      <c r="E545" s="7">
        <v>13.0</v>
      </c>
      <c r="F545" s="8" t="s">
        <v>48</v>
      </c>
      <c r="G545" s="8" t="s">
        <v>67</v>
      </c>
      <c r="H545" s="8" t="s">
        <v>65</v>
      </c>
      <c r="I545" s="22" t="s">
        <v>51</v>
      </c>
      <c r="J545" s="22" t="s">
        <v>52</v>
      </c>
      <c r="K545" s="11" t="s">
        <v>53</v>
      </c>
      <c r="L545" s="18">
        <v>0.020756</v>
      </c>
      <c r="M545" s="18">
        <v>0.019601</v>
      </c>
      <c r="N545" s="18">
        <v>0.018307</v>
      </c>
      <c r="O545" s="18">
        <v>0.016978</v>
      </c>
      <c r="P545" s="18">
        <v>0.016921</v>
      </c>
      <c r="Q545" s="18">
        <v>0.017882</v>
      </c>
      <c r="R545" s="18">
        <v>0.0179</v>
      </c>
      <c r="S545" s="18">
        <v>0.017628</v>
      </c>
      <c r="T545" s="18">
        <v>0.017141</v>
      </c>
      <c r="U545" s="18">
        <v>0.017505</v>
      </c>
      <c r="V545" s="18">
        <v>0.018622</v>
      </c>
      <c r="W545" s="18">
        <v>0.02012</v>
      </c>
      <c r="X545" s="18">
        <v>0.021551</v>
      </c>
      <c r="Y545" s="18">
        <v>0.021859</v>
      </c>
      <c r="Z545" s="18">
        <v>0.022662</v>
      </c>
      <c r="AA545" s="18">
        <v>0.023653</v>
      </c>
      <c r="AB545" s="18">
        <v>0.024502</v>
      </c>
      <c r="AC545" s="18">
        <v>0.024962</v>
      </c>
      <c r="AD545" s="18">
        <v>0.026442</v>
      </c>
      <c r="AE545" s="18">
        <v>0.02836</v>
      </c>
      <c r="AF545" s="18">
        <v>0.029853</v>
      </c>
      <c r="AG545" s="18">
        <v>0.030769</v>
      </c>
      <c r="AH545" s="18">
        <v>0.031983</v>
      </c>
      <c r="AI545" s="18">
        <v>0.032756</v>
      </c>
      <c r="AJ545" s="18">
        <v>0.032694</v>
      </c>
      <c r="AK545" s="18">
        <v>0.030288</v>
      </c>
      <c r="AL545" s="18">
        <v>0.020693</v>
      </c>
      <c r="AM545" s="18">
        <v>0.008058</v>
      </c>
      <c r="AN545" s="18">
        <v>0.001897</v>
      </c>
      <c r="AO545" s="2">
        <v>0.0</v>
      </c>
      <c r="AP545" s="20">
        <v>0.0</v>
      </c>
      <c r="AQ545" s="20">
        <v>0.0</v>
      </c>
      <c r="AR545" s="20">
        <v>0.0</v>
      </c>
      <c r="AS545" s="20">
        <v>0.0</v>
      </c>
      <c r="AT545" s="12">
        <f t="shared" ref="AT545:AT546" si="67">AVERAGE(L545:AN545)</f>
        <v>0.02180493103</v>
      </c>
      <c r="AU545" s="12">
        <f t="shared" si="60"/>
        <v>0.02180493103</v>
      </c>
      <c r="AV545" s="14"/>
      <c r="AW545" s="15"/>
      <c r="AX545" s="15"/>
    </row>
    <row r="546" ht="15.75" customHeight="1">
      <c r="A546" s="7">
        <v>240221.0</v>
      </c>
      <c r="B546" s="7">
        <v>75.0</v>
      </c>
      <c r="C546" s="7">
        <v>1.0</v>
      </c>
      <c r="D546" s="8" t="s">
        <v>286</v>
      </c>
      <c r="E546" s="7">
        <v>13.0</v>
      </c>
      <c r="F546" s="8" t="s">
        <v>56</v>
      </c>
      <c r="G546" s="8" t="s">
        <v>67</v>
      </c>
      <c r="H546" s="8" t="s">
        <v>63</v>
      </c>
      <c r="I546" s="22" t="s">
        <v>51</v>
      </c>
      <c r="J546" s="22" t="s">
        <v>52</v>
      </c>
      <c r="K546" s="11" t="s">
        <v>57</v>
      </c>
      <c r="L546" s="18">
        <v>0.016482</v>
      </c>
      <c r="M546" s="18">
        <v>0.019177</v>
      </c>
      <c r="N546" s="18">
        <v>0.018832</v>
      </c>
      <c r="O546" s="18">
        <v>0.017261</v>
      </c>
      <c r="P546" s="18">
        <v>0.01798</v>
      </c>
      <c r="Q546" s="18">
        <v>0.018192</v>
      </c>
      <c r="R546" s="18">
        <v>0.017814</v>
      </c>
      <c r="S546" s="18">
        <v>0.019186</v>
      </c>
      <c r="T546" s="18">
        <v>0.019785</v>
      </c>
      <c r="U546" s="18">
        <v>0.019178</v>
      </c>
      <c r="V546" s="18">
        <v>0.019982</v>
      </c>
      <c r="W546" s="18">
        <v>0.021063</v>
      </c>
      <c r="X546" s="18">
        <v>0.021522</v>
      </c>
      <c r="Y546" s="18">
        <v>0.020727</v>
      </c>
      <c r="Z546" s="18">
        <v>0.02095</v>
      </c>
      <c r="AA546" s="18">
        <v>0.02153</v>
      </c>
      <c r="AB546" s="18">
        <v>0.022079</v>
      </c>
      <c r="AC546" s="18">
        <v>0.023515</v>
      </c>
      <c r="AD546" s="18">
        <v>0.023893</v>
      </c>
      <c r="AE546" s="18">
        <v>0.023117</v>
      </c>
      <c r="AF546" s="18">
        <v>0.023745</v>
      </c>
      <c r="AG546" s="18">
        <v>0.024757</v>
      </c>
      <c r="AH546" s="18">
        <v>0.02479</v>
      </c>
      <c r="AI546" s="18">
        <v>0.026594</v>
      </c>
      <c r="AJ546" s="18">
        <v>0.028931</v>
      </c>
      <c r="AK546" s="18">
        <v>0.029606</v>
      </c>
      <c r="AL546" s="18">
        <v>0.026436</v>
      </c>
      <c r="AM546" s="18">
        <v>0.017369</v>
      </c>
      <c r="AN546" s="18">
        <v>4.73E-4</v>
      </c>
      <c r="AO546" s="2">
        <v>0.0</v>
      </c>
      <c r="AP546" s="20">
        <v>0.0</v>
      </c>
      <c r="AQ546" s="20">
        <v>0.0</v>
      </c>
      <c r="AR546" s="20">
        <v>0.0</v>
      </c>
      <c r="AS546" s="20">
        <v>0.0</v>
      </c>
      <c r="AT546" s="12">
        <f t="shared" si="67"/>
        <v>0.02086089655</v>
      </c>
      <c r="AU546" s="12">
        <f t="shared" si="60"/>
        <v>0.02086089655</v>
      </c>
      <c r="AV546" s="14"/>
      <c r="AW546" s="15"/>
      <c r="AX546" s="15"/>
    </row>
    <row r="547" ht="15.75" customHeight="1">
      <c r="A547" s="7">
        <v>240221.0</v>
      </c>
      <c r="B547" s="7">
        <v>75.0</v>
      </c>
      <c r="C547" s="7">
        <v>1.0</v>
      </c>
      <c r="D547" s="8" t="s">
        <v>287</v>
      </c>
      <c r="E547" s="7">
        <v>13.0</v>
      </c>
      <c r="F547" s="8" t="s">
        <v>56</v>
      </c>
      <c r="G547" s="8" t="s">
        <v>67</v>
      </c>
      <c r="H547" s="8" t="s">
        <v>50</v>
      </c>
      <c r="I547" s="22" t="s">
        <v>51</v>
      </c>
      <c r="J547" s="22" t="s">
        <v>52</v>
      </c>
      <c r="K547" s="11" t="s">
        <v>57</v>
      </c>
      <c r="L547" s="18">
        <v>0.020917</v>
      </c>
      <c r="M547" s="18">
        <v>0.020791</v>
      </c>
      <c r="N547" s="18">
        <v>0.021382</v>
      </c>
      <c r="O547" s="18">
        <v>0.020596</v>
      </c>
      <c r="P547" s="18">
        <v>0.019182</v>
      </c>
      <c r="Q547" s="18">
        <v>0.018198</v>
      </c>
      <c r="R547" s="18">
        <v>0.017464</v>
      </c>
      <c r="S547" s="18">
        <v>0.019049</v>
      </c>
      <c r="T547" s="18">
        <v>0.020716</v>
      </c>
      <c r="U547" s="18">
        <v>0.020374</v>
      </c>
      <c r="V547" s="18">
        <v>0.020434</v>
      </c>
      <c r="W547" s="18">
        <v>0.021609</v>
      </c>
      <c r="X547" s="18">
        <v>0.020856</v>
      </c>
      <c r="Y547" s="18">
        <v>0.019163</v>
      </c>
      <c r="Z547" s="18">
        <v>0.018734</v>
      </c>
      <c r="AA547" s="18">
        <v>0.018507</v>
      </c>
      <c r="AB547" s="18">
        <v>0.020342</v>
      </c>
      <c r="AC547" s="18">
        <v>0.022298</v>
      </c>
      <c r="AD547" s="18">
        <v>0.022193</v>
      </c>
      <c r="AE547" s="18">
        <v>0.023642</v>
      </c>
      <c r="AF547" s="18">
        <v>0.026604</v>
      </c>
      <c r="AG547" s="18">
        <v>0.029823</v>
      </c>
      <c r="AH547" s="18">
        <v>0.03126</v>
      </c>
      <c r="AI547" s="18">
        <v>0.027726</v>
      </c>
      <c r="AJ547" s="18">
        <v>0.023221</v>
      </c>
      <c r="AK547" s="18">
        <v>0.019731</v>
      </c>
      <c r="AL547" s="18">
        <v>0.004247</v>
      </c>
      <c r="AM547" s="2">
        <v>0.0</v>
      </c>
      <c r="AN547" s="2">
        <v>0.0</v>
      </c>
      <c r="AO547" s="2">
        <v>0.0</v>
      </c>
      <c r="AP547" s="20">
        <v>0.0</v>
      </c>
      <c r="AQ547" s="20">
        <v>0.0</v>
      </c>
      <c r="AR547" s="20">
        <v>0.0</v>
      </c>
      <c r="AS547" s="20">
        <v>0.0</v>
      </c>
      <c r="AT547" s="12">
        <f>AVERAGE(L547:AL547)</f>
        <v>0.02107625926</v>
      </c>
      <c r="AU547" s="12">
        <f t="shared" si="60"/>
        <v>0.02107625926</v>
      </c>
      <c r="AV547" s="14"/>
      <c r="AW547" s="15"/>
      <c r="AX547" s="15"/>
    </row>
    <row r="548" ht="15.75" customHeight="1">
      <c r="A548" s="7">
        <v>240221.0</v>
      </c>
      <c r="B548" s="7">
        <v>75.0</v>
      </c>
      <c r="C548" s="7">
        <v>1.0</v>
      </c>
      <c r="D548" s="8" t="s">
        <v>288</v>
      </c>
      <c r="E548" s="7">
        <v>13.0</v>
      </c>
      <c r="F548" s="8" t="s">
        <v>56</v>
      </c>
      <c r="G548" s="8" t="s">
        <v>67</v>
      </c>
      <c r="H548" s="8" t="s">
        <v>61</v>
      </c>
      <c r="I548" s="22" t="s">
        <v>51</v>
      </c>
      <c r="J548" s="22" t="s">
        <v>52</v>
      </c>
      <c r="K548" s="11" t="s">
        <v>57</v>
      </c>
      <c r="L548" s="2">
        <v>0.0</v>
      </c>
      <c r="M548" s="2">
        <v>0.0</v>
      </c>
      <c r="N548" s="18">
        <v>0.02159</v>
      </c>
      <c r="O548" s="18">
        <v>0.018887</v>
      </c>
      <c r="P548" s="18">
        <v>0.017216</v>
      </c>
      <c r="Q548" s="18">
        <v>0.016837</v>
      </c>
      <c r="R548" s="18">
        <v>0.018233</v>
      </c>
      <c r="S548" s="18">
        <v>0.019086</v>
      </c>
      <c r="T548" s="18">
        <v>0.019106</v>
      </c>
      <c r="U548" s="18">
        <v>0.019859</v>
      </c>
      <c r="V548" s="18">
        <v>0.01939</v>
      </c>
      <c r="W548" s="18">
        <v>0.018584</v>
      </c>
      <c r="X548" s="18">
        <v>0.018259</v>
      </c>
      <c r="Y548" s="18">
        <v>0.018096</v>
      </c>
      <c r="Z548" s="18">
        <v>0.019646</v>
      </c>
      <c r="AA548" s="18">
        <v>0.021146</v>
      </c>
      <c r="AB548" s="18">
        <v>0.022062</v>
      </c>
      <c r="AC548" s="18">
        <v>0.023575</v>
      </c>
      <c r="AD548" s="18">
        <v>0.02289</v>
      </c>
      <c r="AE548" s="18">
        <v>0.022031</v>
      </c>
      <c r="AF548" s="18">
        <v>0.02221</v>
      </c>
      <c r="AG548" s="18">
        <v>0.021271</v>
      </c>
      <c r="AH548" s="18">
        <v>0.020594</v>
      </c>
      <c r="AI548" s="2">
        <v>0.0</v>
      </c>
      <c r="AJ548" s="2">
        <v>0.0</v>
      </c>
      <c r="AK548" s="2">
        <v>0.0</v>
      </c>
      <c r="AL548" s="2">
        <v>0.0</v>
      </c>
      <c r="AM548" s="2">
        <v>0.0</v>
      </c>
      <c r="AN548" s="2">
        <v>0.0</v>
      </c>
      <c r="AO548" s="2">
        <v>0.0</v>
      </c>
      <c r="AP548" s="20">
        <v>0.0</v>
      </c>
      <c r="AQ548" s="20">
        <v>0.0</v>
      </c>
      <c r="AR548" s="20">
        <v>0.0</v>
      </c>
      <c r="AS548" s="20">
        <v>0.0</v>
      </c>
      <c r="AT548" s="12">
        <f>AVERAGE(L548:AH548)</f>
        <v>0.01828556522</v>
      </c>
      <c r="AU548" s="12">
        <f t="shared" si="60"/>
        <v>0.02002704762</v>
      </c>
      <c r="AV548" s="14"/>
      <c r="AW548" s="15"/>
      <c r="AX548" s="15"/>
    </row>
    <row r="549" ht="15.75" customHeight="1">
      <c r="A549" s="7">
        <v>240221.0</v>
      </c>
      <c r="B549" s="7">
        <v>75.0</v>
      </c>
      <c r="C549" s="7">
        <v>1.0</v>
      </c>
      <c r="D549" s="8" t="s">
        <v>289</v>
      </c>
      <c r="E549" s="7">
        <v>13.0</v>
      </c>
      <c r="F549" s="8" t="s">
        <v>56</v>
      </c>
      <c r="G549" s="8" t="s">
        <v>67</v>
      </c>
      <c r="H549" s="8" t="s">
        <v>65</v>
      </c>
      <c r="I549" s="22" t="s">
        <v>51</v>
      </c>
      <c r="J549" s="22" t="s">
        <v>52</v>
      </c>
      <c r="K549" s="11" t="s">
        <v>57</v>
      </c>
      <c r="L549" s="18">
        <v>0.020851</v>
      </c>
      <c r="M549" s="18">
        <v>0.01916</v>
      </c>
      <c r="N549" s="18">
        <v>0.017572</v>
      </c>
      <c r="O549" s="18">
        <v>0.017795</v>
      </c>
      <c r="P549" s="18">
        <v>0.017859</v>
      </c>
      <c r="Q549" s="18">
        <v>0.018088</v>
      </c>
      <c r="R549" s="18">
        <v>0.020673</v>
      </c>
      <c r="S549" s="18">
        <v>0.022473</v>
      </c>
      <c r="T549" s="18">
        <v>0.021759</v>
      </c>
      <c r="U549" s="18">
        <v>0.02015</v>
      </c>
      <c r="V549" s="18">
        <v>0.021998</v>
      </c>
      <c r="W549" s="18">
        <v>0.023219</v>
      </c>
      <c r="X549" s="18">
        <v>0.02408</v>
      </c>
      <c r="Y549" s="18">
        <v>0.028043</v>
      </c>
      <c r="Z549" s="18">
        <v>0.029174</v>
      </c>
      <c r="AA549" s="18">
        <v>0.028807</v>
      </c>
      <c r="AB549" s="18">
        <v>0.029156</v>
      </c>
      <c r="AC549" s="18">
        <v>0.030975</v>
      </c>
      <c r="AD549" s="18">
        <v>0.032836</v>
      </c>
      <c r="AE549" s="18">
        <v>0.032826</v>
      </c>
      <c r="AF549" s="18">
        <v>0.034875</v>
      </c>
      <c r="AG549" s="18">
        <v>0.037079</v>
      </c>
      <c r="AH549" s="18">
        <v>0.034874</v>
      </c>
      <c r="AI549" s="18">
        <v>0.027789</v>
      </c>
      <c r="AJ549" s="18">
        <v>0.012513</v>
      </c>
      <c r="AK549" s="2">
        <v>0.0</v>
      </c>
      <c r="AL549" s="2">
        <v>0.0</v>
      </c>
      <c r="AM549" s="2">
        <v>0.0</v>
      </c>
      <c r="AN549" s="2">
        <v>0.0</v>
      </c>
      <c r="AO549" s="2">
        <v>0.0</v>
      </c>
      <c r="AP549" s="20">
        <v>0.0</v>
      </c>
      <c r="AQ549" s="20">
        <v>0.0</v>
      </c>
      <c r="AR549" s="20">
        <v>0.0</v>
      </c>
      <c r="AS549" s="20">
        <v>0.0</v>
      </c>
      <c r="AT549" s="12">
        <f>AVERAGE(L549:AJ549)</f>
        <v>0.02498496</v>
      </c>
      <c r="AU549" s="12">
        <f t="shared" si="60"/>
        <v>0.02498496</v>
      </c>
      <c r="AV549" s="14"/>
      <c r="AW549" s="15"/>
      <c r="AX549" s="15"/>
    </row>
    <row r="550" ht="15.75" customHeight="1">
      <c r="A550" s="7">
        <v>240221.0</v>
      </c>
      <c r="B550" s="7">
        <v>75.0</v>
      </c>
      <c r="C550" s="7">
        <v>1.0</v>
      </c>
      <c r="D550" s="8" t="s">
        <v>290</v>
      </c>
      <c r="E550" s="7">
        <v>13.0</v>
      </c>
      <c r="F550" s="8" t="s">
        <v>56</v>
      </c>
      <c r="G550" s="8" t="s">
        <v>49</v>
      </c>
      <c r="H550" s="8" t="s">
        <v>50</v>
      </c>
      <c r="I550" s="22" t="s">
        <v>51</v>
      </c>
      <c r="J550" s="22" t="s">
        <v>52</v>
      </c>
      <c r="K550" s="11" t="s">
        <v>57</v>
      </c>
      <c r="L550" s="18">
        <v>0.015597</v>
      </c>
      <c r="M550" s="18">
        <v>0.01586</v>
      </c>
      <c r="N550" s="18">
        <v>0.016089</v>
      </c>
      <c r="O550" s="18">
        <v>0.016137</v>
      </c>
      <c r="P550" s="18">
        <v>0.017198</v>
      </c>
      <c r="Q550" s="18">
        <v>0.016598</v>
      </c>
      <c r="R550" s="18">
        <v>0.014742</v>
      </c>
      <c r="S550" s="18">
        <v>0.015577</v>
      </c>
      <c r="T550" s="18">
        <v>0.016922</v>
      </c>
      <c r="U550" s="18">
        <v>0.017645</v>
      </c>
      <c r="V550" s="18">
        <v>0.018237</v>
      </c>
      <c r="W550" s="18">
        <v>0.01861</v>
      </c>
      <c r="X550" s="18">
        <v>0.0187</v>
      </c>
      <c r="Y550" s="18">
        <v>0.01878</v>
      </c>
      <c r="Z550" s="18">
        <v>0.018669</v>
      </c>
      <c r="AA550" s="18">
        <v>0.018759</v>
      </c>
      <c r="AB550" s="18">
        <v>0.020087</v>
      </c>
      <c r="AC550" s="18">
        <v>0.020824</v>
      </c>
      <c r="AD550" s="18">
        <v>0.021524</v>
      </c>
      <c r="AE550" s="18">
        <v>0.022277</v>
      </c>
      <c r="AF550" s="18">
        <v>0.022279</v>
      </c>
      <c r="AG550" s="18">
        <v>0.024899</v>
      </c>
      <c r="AH550" s="18">
        <v>0.028544</v>
      </c>
      <c r="AI550" s="18">
        <v>0.028079</v>
      </c>
      <c r="AJ550" s="18">
        <v>0.021664</v>
      </c>
      <c r="AK550" s="18">
        <v>0.013229</v>
      </c>
      <c r="AL550" s="18">
        <v>3.86E-4</v>
      </c>
      <c r="AM550" s="18">
        <v>0.0</v>
      </c>
      <c r="AN550" s="18">
        <v>0.0</v>
      </c>
      <c r="AO550" s="2">
        <v>0.0</v>
      </c>
      <c r="AP550" s="20">
        <v>0.0</v>
      </c>
      <c r="AQ550" s="20">
        <v>0.0</v>
      </c>
      <c r="AR550" s="20">
        <v>0.0</v>
      </c>
      <c r="AS550" s="20">
        <v>0.0</v>
      </c>
      <c r="AT550" s="12">
        <f>AVERAGE(L550:AL550)</f>
        <v>0.01844118519</v>
      </c>
      <c r="AU550" s="12">
        <f t="shared" si="60"/>
        <v>0.01844118519</v>
      </c>
      <c r="AV550" s="14"/>
      <c r="AW550" s="15"/>
      <c r="AX550" s="15"/>
    </row>
    <row r="551" ht="15.75" customHeight="1">
      <c r="A551" s="7">
        <v>240221.0</v>
      </c>
      <c r="B551" s="7">
        <v>75.0</v>
      </c>
      <c r="C551" s="7">
        <v>1.0</v>
      </c>
      <c r="D551" s="8" t="s">
        <v>291</v>
      </c>
      <c r="E551" s="7">
        <v>13.0</v>
      </c>
      <c r="F551" s="8" t="s">
        <v>56</v>
      </c>
      <c r="G551" s="8" t="s">
        <v>49</v>
      </c>
      <c r="H551" s="8" t="s">
        <v>63</v>
      </c>
      <c r="I551" s="22" t="s">
        <v>51</v>
      </c>
      <c r="J551" s="22" t="s">
        <v>52</v>
      </c>
      <c r="K551" s="11" t="s">
        <v>57</v>
      </c>
      <c r="L551" s="18">
        <v>0.018137</v>
      </c>
      <c r="M551" s="18">
        <v>0.018843</v>
      </c>
      <c r="N551" s="18">
        <v>0.020052</v>
      </c>
      <c r="O551" s="18">
        <v>0.01949</v>
      </c>
      <c r="P551" s="18">
        <v>0.017514</v>
      </c>
      <c r="Q551" s="18">
        <v>0.016631</v>
      </c>
      <c r="R551" s="18">
        <v>0.016939</v>
      </c>
      <c r="S551" s="18">
        <v>0.016602</v>
      </c>
      <c r="T551" s="18">
        <v>0.016886</v>
      </c>
      <c r="U551" s="18">
        <v>0.018804</v>
      </c>
      <c r="V551" s="18">
        <v>0.019334</v>
      </c>
      <c r="W551" s="18">
        <v>0.020258</v>
      </c>
      <c r="X551" s="18">
        <v>0.02081</v>
      </c>
      <c r="Y551" s="18">
        <v>0.020124</v>
      </c>
      <c r="Z551" s="18">
        <v>0.019879</v>
      </c>
      <c r="AA551" s="18">
        <v>0.019464</v>
      </c>
      <c r="AB551" s="18">
        <v>0.01751</v>
      </c>
      <c r="AC551" s="18">
        <v>0.015849</v>
      </c>
      <c r="AD551" s="18">
        <v>0.017232</v>
      </c>
      <c r="AE551" s="18">
        <v>0.018735</v>
      </c>
      <c r="AF551" s="18">
        <v>0.019428</v>
      </c>
      <c r="AG551" s="18">
        <v>0.020678</v>
      </c>
      <c r="AH551" s="18">
        <v>0.023601</v>
      </c>
      <c r="AI551" s="18">
        <v>0.026531</v>
      </c>
      <c r="AJ551" s="18">
        <v>0.024254</v>
      </c>
      <c r="AK551" s="18">
        <v>0.020318</v>
      </c>
      <c r="AL551" s="18">
        <v>0.0</v>
      </c>
      <c r="AM551" s="2">
        <v>0.0</v>
      </c>
      <c r="AN551" s="2">
        <v>0.0</v>
      </c>
      <c r="AO551" s="2">
        <v>0.0</v>
      </c>
      <c r="AP551" s="20">
        <v>0.0</v>
      </c>
      <c r="AQ551" s="20">
        <v>0.0</v>
      </c>
      <c r="AR551" s="20">
        <v>0.0</v>
      </c>
      <c r="AS551" s="20">
        <v>0.0</v>
      </c>
      <c r="AT551" s="12">
        <f t="shared" ref="AT551:AT552" si="68">AVERAGE(L551:AK551)</f>
        <v>0.01938088462</v>
      </c>
      <c r="AU551" s="12">
        <f t="shared" si="60"/>
        <v>0.01938088462</v>
      </c>
      <c r="AV551" s="14"/>
      <c r="AW551" s="15"/>
      <c r="AX551" s="15"/>
    </row>
    <row r="552" ht="15.75" customHeight="1">
      <c r="A552" s="7">
        <v>240221.0</v>
      </c>
      <c r="B552" s="7">
        <v>75.0</v>
      </c>
      <c r="C552" s="7">
        <v>1.0</v>
      </c>
      <c r="D552" s="8" t="s">
        <v>292</v>
      </c>
      <c r="E552" s="7">
        <v>13.0</v>
      </c>
      <c r="F552" s="8" t="s">
        <v>56</v>
      </c>
      <c r="G552" s="8" t="s">
        <v>49</v>
      </c>
      <c r="H552" s="8" t="s">
        <v>65</v>
      </c>
      <c r="I552" s="22" t="s">
        <v>51</v>
      </c>
      <c r="J552" s="22" t="s">
        <v>52</v>
      </c>
      <c r="K552" s="11" t="s">
        <v>57</v>
      </c>
      <c r="L552" s="2">
        <v>0.0</v>
      </c>
      <c r="M552" s="2">
        <v>0.0</v>
      </c>
      <c r="N552" s="2">
        <v>0.0</v>
      </c>
      <c r="O552" s="18">
        <v>0.00911</v>
      </c>
      <c r="P552" s="18">
        <v>0.010847</v>
      </c>
      <c r="Q552" s="18">
        <v>0.010728</v>
      </c>
      <c r="R552" s="18">
        <v>0.008147</v>
      </c>
      <c r="S552" s="18">
        <v>0.010259</v>
      </c>
      <c r="T552" s="18">
        <v>0.016896</v>
      </c>
      <c r="U552" s="18">
        <v>0.019985</v>
      </c>
      <c r="V552" s="18">
        <v>0.020037</v>
      </c>
      <c r="W552" s="18">
        <v>0.021022</v>
      </c>
      <c r="X552" s="18">
        <v>0.021316</v>
      </c>
      <c r="Y552" s="18">
        <v>0.021389</v>
      </c>
      <c r="Z552" s="18">
        <v>0.022921</v>
      </c>
      <c r="AA552" s="18">
        <v>0.025909</v>
      </c>
      <c r="AB552" s="18">
        <v>0.027241</v>
      </c>
      <c r="AC552" s="18">
        <v>0.025902</v>
      </c>
      <c r="AD552" s="18">
        <v>0.02558</v>
      </c>
      <c r="AE552" s="18">
        <v>0.026456</v>
      </c>
      <c r="AF552" s="18">
        <v>0.029439</v>
      </c>
      <c r="AG552" s="18">
        <v>0.032502</v>
      </c>
      <c r="AH552" s="18">
        <v>0.034114</v>
      </c>
      <c r="AI552" s="18">
        <v>0.03237</v>
      </c>
      <c r="AJ552" s="18">
        <v>0.026129</v>
      </c>
      <c r="AK552" s="18">
        <v>0.015098</v>
      </c>
      <c r="AL552" s="2">
        <v>0.0</v>
      </c>
      <c r="AM552" s="2">
        <v>0.0</v>
      </c>
      <c r="AN552" s="2">
        <v>0.0</v>
      </c>
      <c r="AO552" s="2">
        <v>0.0</v>
      </c>
      <c r="AP552" s="20">
        <v>0.0</v>
      </c>
      <c r="AQ552" s="20">
        <v>0.0</v>
      </c>
      <c r="AR552" s="20">
        <v>0.0</v>
      </c>
      <c r="AS552" s="20">
        <v>0.0</v>
      </c>
      <c r="AT552" s="12">
        <f t="shared" si="68"/>
        <v>0.01897680769</v>
      </c>
      <c r="AU552" s="12">
        <f t="shared" si="60"/>
        <v>0.02145204348</v>
      </c>
      <c r="AV552" s="14"/>
      <c r="AW552" s="15"/>
      <c r="AX552" s="15"/>
    </row>
    <row r="553" ht="15.75" customHeight="1"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3"/>
      <c r="AQ553" s="13"/>
      <c r="AR553" s="13"/>
      <c r="AS553" s="13"/>
      <c r="AT553" s="12"/>
      <c r="AU553" s="12"/>
      <c r="AV553" s="14"/>
      <c r="AW553" s="15"/>
      <c r="AX553" s="15"/>
    </row>
    <row r="554" ht="15.75" customHeight="1">
      <c r="A554" s="7">
        <v>240124.0</v>
      </c>
      <c r="B554" s="7">
        <v>74.0</v>
      </c>
      <c r="C554" s="7">
        <v>1.0</v>
      </c>
      <c r="D554" s="8" t="s">
        <v>293</v>
      </c>
      <c r="E554" s="7">
        <v>14.0</v>
      </c>
      <c r="F554" s="8" t="s">
        <v>48</v>
      </c>
      <c r="G554" s="8" t="s">
        <v>67</v>
      </c>
      <c r="H554" s="8" t="s">
        <v>50</v>
      </c>
      <c r="I554" s="22" t="s">
        <v>146</v>
      </c>
      <c r="J554" s="22" t="s">
        <v>52</v>
      </c>
      <c r="K554" s="11" t="s">
        <v>53</v>
      </c>
      <c r="L554" s="18">
        <v>0.03838</v>
      </c>
      <c r="M554" s="18">
        <v>0.038824</v>
      </c>
      <c r="N554" s="18">
        <v>0.038191</v>
      </c>
      <c r="O554" s="18">
        <v>0.036997</v>
      </c>
      <c r="P554" s="18">
        <v>0.035048</v>
      </c>
      <c r="Q554" s="18">
        <v>0.033765</v>
      </c>
      <c r="R554" s="18">
        <v>0.03206</v>
      </c>
      <c r="S554" s="18">
        <v>0.029543</v>
      </c>
      <c r="T554" s="18">
        <v>0.029452</v>
      </c>
      <c r="U554" s="18">
        <v>0.031658</v>
      </c>
      <c r="V554" s="18">
        <v>0.033004</v>
      </c>
      <c r="W554" s="18">
        <v>0.033607</v>
      </c>
      <c r="X554" s="18">
        <v>0.03484</v>
      </c>
      <c r="Y554" s="18">
        <v>0.034434</v>
      </c>
      <c r="Z554" s="18">
        <v>0.034056</v>
      </c>
      <c r="AA554" s="18">
        <v>0.035061</v>
      </c>
      <c r="AB554" s="18">
        <v>0.036185</v>
      </c>
      <c r="AC554" s="18">
        <v>0.037185</v>
      </c>
      <c r="AD554" s="18">
        <v>0.037136</v>
      </c>
      <c r="AE554" s="18">
        <v>0.036381</v>
      </c>
      <c r="AF554" s="18">
        <v>0.035963</v>
      </c>
      <c r="AG554" s="18">
        <v>0.03483</v>
      </c>
      <c r="AH554" s="18">
        <v>0.034426</v>
      </c>
      <c r="AI554" s="18">
        <v>0.03373</v>
      </c>
      <c r="AJ554" s="18">
        <v>0.030938</v>
      </c>
      <c r="AK554" s="18">
        <v>0.031286</v>
      </c>
      <c r="AL554" s="18">
        <v>0.030252</v>
      </c>
      <c r="AM554" s="18">
        <v>0.028454</v>
      </c>
      <c r="AN554" s="18">
        <v>0.025066</v>
      </c>
      <c r="AO554" s="18">
        <v>0.002422</v>
      </c>
      <c r="AP554" s="3">
        <v>0.0</v>
      </c>
      <c r="AQ554" s="3">
        <v>0.0</v>
      </c>
      <c r="AR554" s="3">
        <v>0.0</v>
      </c>
      <c r="AS554" s="3">
        <v>0.0</v>
      </c>
      <c r="AT554" s="2">
        <f>AVERAGE(L554:AO554)</f>
        <v>0.03277246667</v>
      </c>
      <c r="AU554" s="12">
        <f t="shared" ref="AU554:AU637" si="69">AVERAGEIF(L554:AS554, "&gt;0")
</f>
        <v>0.03277246667</v>
      </c>
      <c r="AV554" s="14"/>
      <c r="AW554" s="15"/>
      <c r="AX554" s="15"/>
    </row>
    <row r="555" ht="15.75" customHeight="1">
      <c r="A555" s="7">
        <v>240124.0</v>
      </c>
      <c r="B555" s="7">
        <v>74.0</v>
      </c>
      <c r="C555" s="7">
        <v>1.0</v>
      </c>
      <c r="D555" s="8" t="s">
        <v>294</v>
      </c>
      <c r="E555" s="7">
        <v>14.0</v>
      </c>
      <c r="F555" s="8" t="s">
        <v>48</v>
      </c>
      <c r="G555" s="8" t="s">
        <v>67</v>
      </c>
      <c r="H555" s="8" t="s">
        <v>61</v>
      </c>
      <c r="I555" s="22" t="s">
        <v>146</v>
      </c>
      <c r="J555" s="22" t="s">
        <v>52</v>
      </c>
      <c r="K555" s="11" t="s">
        <v>53</v>
      </c>
      <c r="L555" s="18">
        <v>0.035701</v>
      </c>
      <c r="M555" s="18">
        <v>0.03935</v>
      </c>
      <c r="N555" s="18">
        <v>0.039873</v>
      </c>
      <c r="O555" s="18">
        <v>0.038337</v>
      </c>
      <c r="P555" s="18">
        <v>0.037255</v>
      </c>
      <c r="Q555" s="18">
        <v>0.036674</v>
      </c>
      <c r="R555" s="18">
        <v>0.035675</v>
      </c>
      <c r="S555" s="18">
        <v>0.035844</v>
      </c>
      <c r="T555" s="18">
        <v>0.036436</v>
      </c>
      <c r="U555" s="18">
        <v>0.036486</v>
      </c>
      <c r="V555" s="18">
        <v>0.037339</v>
      </c>
      <c r="W555" s="18">
        <v>0.037564</v>
      </c>
      <c r="X555" s="18">
        <v>0.037416</v>
      </c>
      <c r="Y555" s="18">
        <v>0.037241</v>
      </c>
      <c r="Z555" s="18">
        <v>0.037243</v>
      </c>
      <c r="AA555" s="18">
        <v>0.037675</v>
      </c>
      <c r="AB555" s="18">
        <v>0.03719</v>
      </c>
      <c r="AC555" s="18">
        <v>0.036117</v>
      </c>
      <c r="AD555" s="18">
        <v>0.035292</v>
      </c>
      <c r="AE555" s="18">
        <v>0.03565</v>
      </c>
      <c r="AF555" s="18">
        <v>0.035689</v>
      </c>
      <c r="AG555" s="18">
        <v>0.034227</v>
      </c>
      <c r="AH555" s="18">
        <v>0.032885</v>
      </c>
      <c r="AI555" s="18">
        <v>0.031913</v>
      </c>
      <c r="AJ555" s="18">
        <v>0.03116</v>
      </c>
      <c r="AK555" s="18">
        <v>0.024299</v>
      </c>
      <c r="AL555" s="18">
        <v>0.014256</v>
      </c>
      <c r="AM555" s="18">
        <v>0.003201</v>
      </c>
      <c r="AN555" s="2">
        <v>0.0</v>
      </c>
      <c r="AO555" s="2">
        <v>0.0</v>
      </c>
      <c r="AP555" s="20">
        <v>0.0</v>
      </c>
      <c r="AQ555" s="20">
        <v>0.0</v>
      </c>
      <c r="AR555" s="20">
        <v>0.0</v>
      </c>
      <c r="AS555" s="20">
        <v>0.0</v>
      </c>
      <c r="AT555" s="2">
        <f t="shared" ref="AT555:AT556" si="70">AVERAGE(L555:AM555)</f>
        <v>0.03385671429</v>
      </c>
      <c r="AU555" s="12">
        <f t="shared" si="69"/>
        <v>0.03385671429</v>
      </c>
      <c r="AV555" s="14"/>
      <c r="AW555" s="15"/>
      <c r="AX555" s="15"/>
    </row>
    <row r="556" ht="15.75" customHeight="1">
      <c r="A556" s="7">
        <v>240125.0</v>
      </c>
      <c r="B556" s="7">
        <v>74.0</v>
      </c>
      <c r="C556" s="7">
        <v>1.0</v>
      </c>
      <c r="D556" s="8" t="s">
        <v>295</v>
      </c>
      <c r="E556" s="7">
        <v>14.0</v>
      </c>
      <c r="F556" s="8" t="s">
        <v>48</v>
      </c>
      <c r="G556" s="8" t="s">
        <v>67</v>
      </c>
      <c r="H556" s="8" t="s">
        <v>65</v>
      </c>
      <c r="I556" s="22" t="s">
        <v>146</v>
      </c>
      <c r="J556" s="22" t="s">
        <v>52</v>
      </c>
      <c r="K556" s="11" t="s">
        <v>53</v>
      </c>
      <c r="L556" s="18">
        <v>0.035404</v>
      </c>
      <c r="M556" s="18">
        <v>0.035236</v>
      </c>
      <c r="N556" s="18">
        <v>0.035424</v>
      </c>
      <c r="O556" s="18">
        <v>0.035847</v>
      </c>
      <c r="P556" s="18">
        <v>0.038248</v>
      </c>
      <c r="Q556" s="18">
        <v>0.039172</v>
      </c>
      <c r="R556" s="18">
        <v>0.036934</v>
      </c>
      <c r="S556" s="18">
        <v>0.038125</v>
      </c>
      <c r="T556" s="18">
        <v>0.039304</v>
      </c>
      <c r="U556" s="18">
        <v>0.036538</v>
      </c>
      <c r="V556" s="18">
        <v>0.036019</v>
      </c>
      <c r="W556" s="18">
        <v>0.038</v>
      </c>
      <c r="X556" s="18">
        <v>0.037986</v>
      </c>
      <c r="Y556" s="18">
        <v>0.036237</v>
      </c>
      <c r="Z556" s="18">
        <v>0.03627</v>
      </c>
      <c r="AA556" s="18">
        <v>0.037104</v>
      </c>
      <c r="AB556" s="18">
        <v>0.035942</v>
      </c>
      <c r="AC556" s="18">
        <v>0.035184</v>
      </c>
      <c r="AD556" s="18">
        <v>0.034189</v>
      </c>
      <c r="AE556" s="18">
        <v>0.032039</v>
      </c>
      <c r="AF556" s="18">
        <v>0.031682</v>
      </c>
      <c r="AG556" s="18">
        <v>0.032664</v>
      </c>
      <c r="AH556" s="18">
        <v>0.031832</v>
      </c>
      <c r="AI556" s="18">
        <v>0.029883</v>
      </c>
      <c r="AJ556" s="18">
        <v>0.029658</v>
      </c>
      <c r="AK556" s="18">
        <v>0.032842</v>
      </c>
      <c r="AL556" s="18">
        <v>0.026747</v>
      </c>
      <c r="AM556" s="18">
        <v>0.011723</v>
      </c>
      <c r="AN556" s="18">
        <v>0.0</v>
      </c>
      <c r="AO556" s="2">
        <v>0.0</v>
      </c>
      <c r="AP556" s="20">
        <v>0.0</v>
      </c>
      <c r="AQ556" s="20">
        <v>0.0</v>
      </c>
      <c r="AR556" s="20">
        <v>0.0</v>
      </c>
      <c r="AS556" s="20">
        <v>0.0</v>
      </c>
      <c r="AT556" s="2">
        <f t="shared" si="70"/>
        <v>0.03415117857</v>
      </c>
      <c r="AU556" s="12">
        <f t="shared" si="69"/>
        <v>0.03415117857</v>
      </c>
      <c r="AV556" s="14"/>
      <c r="AW556" s="15"/>
      <c r="AX556" s="15"/>
    </row>
    <row r="557" ht="15.75" customHeight="1">
      <c r="A557" s="7">
        <v>240125.0</v>
      </c>
      <c r="B557" s="7">
        <v>74.0</v>
      </c>
      <c r="C557" s="7">
        <v>1.0</v>
      </c>
      <c r="D557" s="8" t="s">
        <v>296</v>
      </c>
      <c r="E557" s="7">
        <v>14.0</v>
      </c>
      <c r="F557" s="8" t="s">
        <v>48</v>
      </c>
      <c r="G557" s="8" t="s">
        <v>67</v>
      </c>
      <c r="H557" s="8" t="s">
        <v>63</v>
      </c>
      <c r="I557" s="22" t="s">
        <v>146</v>
      </c>
      <c r="J557" s="22" t="s">
        <v>52</v>
      </c>
      <c r="K557" s="11" t="s">
        <v>53</v>
      </c>
      <c r="L557" s="18">
        <v>0.031453</v>
      </c>
      <c r="M557" s="18">
        <v>0.035661</v>
      </c>
      <c r="N557" s="18">
        <v>0.037219</v>
      </c>
      <c r="O557" s="18">
        <v>0.037053</v>
      </c>
      <c r="P557" s="18">
        <v>0.037309</v>
      </c>
      <c r="Q557" s="18">
        <v>0.036804</v>
      </c>
      <c r="R557" s="18">
        <v>0.034938</v>
      </c>
      <c r="S557" s="18">
        <v>0.034091</v>
      </c>
      <c r="T557" s="18">
        <v>0.034208</v>
      </c>
      <c r="U557" s="18">
        <v>0.034237</v>
      </c>
      <c r="V557" s="18">
        <v>0.034515</v>
      </c>
      <c r="W557" s="18">
        <v>0.035319</v>
      </c>
      <c r="X557" s="18">
        <v>0.036937</v>
      </c>
      <c r="Y557" s="18">
        <v>0.037638</v>
      </c>
      <c r="Z557" s="18">
        <v>0.036055</v>
      </c>
      <c r="AA557" s="18">
        <v>0.034465</v>
      </c>
      <c r="AB557" s="18">
        <v>0.03565</v>
      </c>
      <c r="AC557" s="18">
        <v>0.034343</v>
      </c>
      <c r="AD557" s="18">
        <v>0.031367</v>
      </c>
      <c r="AE557" s="18">
        <v>0.031097</v>
      </c>
      <c r="AF557" s="18">
        <v>0.030077</v>
      </c>
      <c r="AG557" s="18">
        <v>0.027928</v>
      </c>
      <c r="AH557" s="18">
        <v>0.02909</v>
      </c>
      <c r="AI557" s="18">
        <v>0.032962</v>
      </c>
      <c r="AJ557" s="18">
        <v>0.037103</v>
      </c>
      <c r="AK557" s="18">
        <v>0.03423</v>
      </c>
      <c r="AL557" s="18">
        <v>0.018765</v>
      </c>
      <c r="AM557" s="18">
        <v>0.005253</v>
      </c>
      <c r="AN557" s="18">
        <v>0.001972</v>
      </c>
      <c r="AO557" s="2">
        <v>0.0</v>
      </c>
      <c r="AP557" s="20">
        <v>0.0</v>
      </c>
      <c r="AQ557" s="20">
        <v>0.0</v>
      </c>
      <c r="AR557" s="20">
        <v>0.0</v>
      </c>
      <c r="AS557" s="20">
        <v>0.0</v>
      </c>
      <c r="AT557" s="2">
        <f>AVERAGE(L557:AN557)</f>
        <v>0.03164617241</v>
      </c>
      <c r="AU557" s="12">
        <f t="shared" si="69"/>
        <v>0.03164617241</v>
      </c>
      <c r="AV557" s="14"/>
      <c r="AW557" s="15"/>
      <c r="AX557" s="15"/>
    </row>
    <row r="558" ht="15.75" customHeight="1">
      <c r="A558" s="7">
        <v>240205.0</v>
      </c>
      <c r="B558" s="7">
        <v>74.0</v>
      </c>
      <c r="C558" s="7">
        <v>1.0</v>
      </c>
      <c r="D558" s="8" t="s">
        <v>297</v>
      </c>
      <c r="E558" s="7">
        <v>14.0</v>
      </c>
      <c r="F558" s="8" t="s">
        <v>56</v>
      </c>
      <c r="G558" s="8" t="s">
        <v>67</v>
      </c>
      <c r="H558" s="8" t="s">
        <v>65</v>
      </c>
      <c r="I558" s="22" t="s">
        <v>146</v>
      </c>
      <c r="J558" s="22" t="s">
        <v>52</v>
      </c>
      <c r="K558" s="11" t="s">
        <v>57</v>
      </c>
      <c r="L558" s="18">
        <v>0.031793</v>
      </c>
      <c r="M558" s="18">
        <v>0.029093</v>
      </c>
      <c r="N558" s="18">
        <v>0.026942</v>
      </c>
      <c r="O558" s="18">
        <v>0.02557</v>
      </c>
      <c r="P558" s="18">
        <v>0.026453</v>
      </c>
      <c r="Q558" s="18">
        <v>0.02866</v>
      </c>
      <c r="R558" s="18">
        <v>0.028978</v>
      </c>
      <c r="S558" s="18">
        <v>0.02789</v>
      </c>
      <c r="T558" s="18">
        <v>0.027131</v>
      </c>
      <c r="U558" s="18">
        <v>0.027187</v>
      </c>
      <c r="V558" s="18">
        <v>0.027444</v>
      </c>
      <c r="W558" s="18">
        <v>0.025844</v>
      </c>
      <c r="X558" s="18">
        <v>0.025616</v>
      </c>
      <c r="Y558" s="18">
        <v>0.02628</v>
      </c>
      <c r="Z558" s="18">
        <v>0.02635</v>
      </c>
      <c r="AA558" s="18">
        <v>0.026076</v>
      </c>
      <c r="AB558" s="18">
        <v>0.025856</v>
      </c>
      <c r="AC558" s="18">
        <v>0.026909</v>
      </c>
      <c r="AD558" s="18">
        <v>0.02582</v>
      </c>
      <c r="AE558" s="18">
        <v>0.024036</v>
      </c>
      <c r="AF558" s="18">
        <v>0.022127</v>
      </c>
      <c r="AG558" s="18">
        <v>0.021438</v>
      </c>
      <c r="AH558" s="18">
        <v>0.022799</v>
      </c>
      <c r="AI558" s="18">
        <v>0.02313</v>
      </c>
      <c r="AJ558" s="18">
        <v>0.022056</v>
      </c>
      <c r="AK558" s="18">
        <v>0.021516</v>
      </c>
      <c r="AL558" s="18">
        <v>0.02221</v>
      </c>
      <c r="AM558" s="18">
        <v>0.021295</v>
      </c>
      <c r="AN558" s="18">
        <v>0.017976</v>
      </c>
      <c r="AO558" s="18">
        <v>0.013871</v>
      </c>
      <c r="AP558" s="20">
        <v>0.0</v>
      </c>
      <c r="AQ558" s="20">
        <v>0.0</v>
      </c>
      <c r="AR558" s="20">
        <v>0.0</v>
      </c>
      <c r="AS558" s="20">
        <v>0.0</v>
      </c>
      <c r="AT558" s="2">
        <f>AVERAGE(L558:AO558)</f>
        <v>0.02494486667</v>
      </c>
      <c r="AU558" s="12">
        <f t="shared" si="69"/>
        <v>0.02494486667</v>
      </c>
      <c r="AV558" s="14"/>
      <c r="AW558" s="15"/>
      <c r="AX558" s="15"/>
    </row>
    <row r="559" ht="15.75" customHeight="1">
      <c r="A559" s="7">
        <v>240205.0</v>
      </c>
      <c r="B559" s="7">
        <v>74.0</v>
      </c>
      <c r="C559" s="7">
        <v>1.0</v>
      </c>
      <c r="D559" s="8" t="s">
        <v>298</v>
      </c>
      <c r="E559" s="7">
        <v>14.0</v>
      </c>
      <c r="F559" s="8" t="s">
        <v>56</v>
      </c>
      <c r="G559" s="8" t="s">
        <v>67</v>
      </c>
      <c r="H559" s="8" t="s">
        <v>63</v>
      </c>
      <c r="I559" s="22" t="s">
        <v>146</v>
      </c>
      <c r="J559" s="22" t="s">
        <v>52</v>
      </c>
      <c r="K559" s="11" t="s">
        <v>57</v>
      </c>
      <c r="L559" s="18">
        <v>0.023865</v>
      </c>
      <c r="M559" s="18">
        <v>0.027871</v>
      </c>
      <c r="N559" s="18">
        <v>0.027852</v>
      </c>
      <c r="O559" s="18">
        <v>0.026558</v>
      </c>
      <c r="P559" s="18">
        <v>0.027714</v>
      </c>
      <c r="Q559" s="18">
        <v>0.027882</v>
      </c>
      <c r="R559" s="18">
        <v>0.028215</v>
      </c>
      <c r="S559" s="18">
        <v>0.028745</v>
      </c>
      <c r="T559" s="18">
        <v>0.029805</v>
      </c>
      <c r="U559" s="18">
        <v>0.030445</v>
      </c>
      <c r="V559" s="18">
        <v>0.028066</v>
      </c>
      <c r="W559" s="18">
        <v>0.027034</v>
      </c>
      <c r="X559" s="18">
        <v>0.026677</v>
      </c>
      <c r="Y559" s="18">
        <v>0.025784</v>
      </c>
      <c r="Z559" s="18">
        <v>0.025273</v>
      </c>
      <c r="AA559" s="18">
        <v>0.024746</v>
      </c>
      <c r="AB559" s="18">
        <v>0.024905</v>
      </c>
      <c r="AC559" s="18">
        <v>0.024386</v>
      </c>
      <c r="AD559" s="18">
        <v>0.023628</v>
      </c>
      <c r="AE559" s="18">
        <v>0.023231</v>
      </c>
      <c r="AF559" s="18">
        <v>0.023146</v>
      </c>
      <c r="AG559" s="18">
        <v>0.024715</v>
      </c>
      <c r="AH559" s="18">
        <v>0.022137</v>
      </c>
      <c r="AI559" s="18">
        <v>0.013058</v>
      </c>
      <c r="AJ559" s="18">
        <v>0.005258</v>
      </c>
      <c r="AK559" s="18">
        <v>0.0</v>
      </c>
      <c r="AL559" s="18">
        <v>0.0</v>
      </c>
      <c r="AM559" s="2">
        <v>0.0</v>
      </c>
      <c r="AN559" s="2">
        <v>0.0</v>
      </c>
      <c r="AO559" s="2">
        <v>0.0</v>
      </c>
      <c r="AP559" s="20">
        <v>0.0</v>
      </c>
      <c r="AQ559" s="20">
        <v>0.0</v>
      </c>
      <c r="AR559" s="20">
        <v>0.0</v>
      </c>
      <c r="AS559" s="20">
        <v>0.0</v>
      </c>
      <c r="AT559" s="2">
        <f>AVERAGE(L559:AJ559)</f>
        <v>0.02483984</v>
      </c>
      <c r="AU559" s="12">
        <f t="shared" si="69"/>
        <v>0.02483984</v>
      </c>
      <c r="AV559" s="14"/>
      <c r="AW559" s="15"/>
      <c r="AX559" s="15"/>
    </row>
    <row r="560" ht="15.75" customHeight="1">
      <c r="A560" s="7">
        <v>240205.0</v>
      </c>
      <c r="B560" s="7">
        <v>74.0</v>
      </c>
      <c r="C560" s="7">
        <v>1.0</v>
      </c>
      <c r="D560" s="8" t="s">
        <v>299</v>
      </c>
      <c r="E560" s="7">
        <v>14.0</v>
      </c>
      <c r="F560" s="8" t="s">
        <v>56</v>
      </c>
      <c r="G560" s="8" t="s">
        <v>67</v>
      </c>
      <c r="H560" s="8" t="s">
        <v>61</v>
      </c>
      <c r="I560" s="22" t="s">
        <v>146</v>
      </c>
      <c r="J560" s="22" t="s">
        <v>52</v>
      </c>
      <c r="K560" s="11" t="s">
        <v>57</v>
      </c>
      <c r="L560" s="18">
        <v>0.030295</v>
      </c>
      <c r="M560" s="18">
        <v>0.030154</v>
      </c>
      <c r="N560" s="18">
        <v>0.029668</v>
      </c>
      <c r="O560" s="18">
        <v>0.030349</v>
      </c>
      <c r="P560" s="18">
        <v>0.031937</v>
      </c>
      <c r="Q560" s="18">
        <v>0.031217</v>
      </c>
      <c r="R560" s="18">
        <v>0.029731</v>
      </c>
      <c r="S560" s="18">
        <v>0.030251</v>
      </c>
      <c r="T560" s="18">
        <v>0.032242</v>
      </c>
      <c r="U560" s="18">
        <v>0.03135</v>
      </c>
      <c r="V560" s="18">
        <v>0.03184</v>
      </c>
      <c r="W560" s="18">
        <v>0.033311</v>
      </c>
      <c r="X560" s="18">
        <v>0.032419</v>
      </c>
      <c r="Y560" s="18">
        <v>0.030934</v>
      </c>
      <c r="Z560" s="18">
        <v>0.030074</v>
      </c>
      <c r="AA560" s="18">
        <v>0.030239</v>
      </c>
      <c r="AB560" s="18">
        <v>0.027898</v>
      </c>
      <c r="AC560" s="18">
        <v>0.026722</v>
      </c>
      <c r="AD560" s="18">
        <v>0.025885</v>
      </c>
      <c r="AE560" s="18">
        <v>0.027277</v>
      </c>
      <c r="AF560" s="18">
        <v>0.031862</v>
      </c>
      <c r="AG560" s="18">
        <v>0.032892</v>
      </c>
      <c r="AH560" s="18">
        <v>0.03289</v>
      </c>
      <c r="AI560" s="18">
        <v>0.033868</v>
      </c>
      <c r="AJ560" s="18">
        <v>0.028725</v>
      </c>
      <c r="AK560" s="18">
        <v>0.015617</v>
      </c>
      <c r="AL560" s="18">
        <v>0.003984</v>
      </c>
      <c r="AM560" s="18">
        <v>0.0</v>
      </c>
      <c r="AN560" s="2">
        <v>0.0</v>
      </c>
      <c r="AO560" s="2">
        <v>0.0</v>
      </c>
      <c r="AP560" s="20">
        <v>0.0</v>
      </c>
      <c r="AQ560" s="20">
        <v>0.0</v>
      </c>
      <c r="AR560" s="20">
        <v>0.0</v>
      </c>
      <c r="AS560" s="20">
        <v>0.0</v>
      </c>
      <c r="AT560" s="2">
        <f>AVERAGE(L560:AL560)</f>
        <v>0.02902337037</v>
      </c>
      <c r="AU560" s="12">
        <f t="shared" si="69"/>
        <v>0.02902337037</v>
      </c>
      <c r="AV560" s="14"/>
      <c r="AW560" s="15"/>
      <c r="AX560" s="15"/>
    </row>
    <row r="561" ht="15.75" customHeight="1">
      <c r="A561" s="7">
        <v>240205.0</v>
      </c>
      <c r="B561" s="7">
        <v>74.0</v>
      </c>
      <c r="C561" s="7">
        <v>1.0</v>
      </c>
      <c r="D561" s="8" t="s">
        <v>300</v>
      </c>
      <c r="E561" s="7">
        <v>14.0</v>
      </c>
      <c r="F561" s="8" t="s">
        <v>56</v>
      </c>
      <c r="G561" s="8" t="s">
        <v>67</v>
      </c>
      <c r="H561" s="8" t="s">
        <v>50</v>
      </c>
      <c r="I561" s="22" t="s">
        <v>146</v>
      </c>
      <c r="J561" s="22" t="s">
        <v>52</v>
      </c>
      <c r="K561" s="11" t="s">
        <v>57</v>
      </c>
      <c r="L561" s="18">
        <v>0.030821</v>
      </c>
      <c r="M561" s="18">
        <v>0.029714</v>
      </c>
      <c r="N561" s="18">
        <v>0.028482</v>
      </c>
      <c r="O561" s="18">
        <v>0.028925</v>
      </c>
      <c r="P561" s="18">
        <v>0.032192</v>
      </c>
      <c r="Q561" s="18">
        <v>0.034644</v>
      </c>
      <c r="R561" s="18">
        <v>0.03465</v>
      </c>
      <c r="S561" s="18">
        <v>0.034482</v>
      </c>
      <c r="T561" s="18">
        <v>0.033766</v>
      </c>
      <c r="U561" s="18">
        <v>0.034371</v>
      </c>
      <c r="V561" s="18">
        <v>0.032679</v>
      </c>
      <c r="W561" s="18">
        <v>0.031294</v>
      </c>
      <c r="X561" s="18">
        <v>0.031093</v>
      </c>
      <c r="Y561" s="18">
        <v>0.030153</v>
      </c>
      <c r="Z561" s="18">
        <v>0.030508</v>
      </c>
      <c r="AA561" s="18">
        <v>0.029985</v>
      </c>
      <c r="AB561" s="18">
        <v>0.029782</v>
      </c>
      <c r="AC561" s="18">
        <v>0.030297</v>
      </c>
      <c r="AD561" s="18">
        <v>0.028263</v>
      </c>
      <c r="AE561" s="18">
        <v>0.027003</v>
      </c>
      <c r="AF561" s="18">
        <v>0.028001</v>
      </c>
      <c r="AG561" s="18">
        <v>0.030258</v>
      </c>
      <c r="AH561" s="18">
        <v>0.031039</v>
      </c>
      <c r="AI561" s="18">
        <v>0.032572</v>
      </c>
      <c r="AJ561" s="18">
        <v>0.035679</v>
      </c>
      <c r="AK561" s="18">
        <v>0.026574</v>
      </c>
      <c r="AL561" s="18">
        <v>0.01274</v>
      </c>
      <c r="AM561" s="18">
        <v>0.009404</v>
      </c>
      <c r="AN561" s="18">
        <v>0.02634</v>
      </c>
      <c r="AO561" s="18">
        <v>0.073684</v>
      </c>
      <c r="AP561" s="3">
        <v>0.0</v>
      </c>
      <c r="AQ561" s="3">
        <v>0.0</v>
      </c>
      <c r="AR561" s="3">
        <v>0.0</v>
      </c>
      <c r="AS561" s="3">
        <v>0.0</v>
      </c>
      <c r="AT561" s="2">
        <f>AVERAGE(L561:AO561)</f>
        <v>0.03097983333</v>
      </c>
      <c r="AU561" s="12">
        <f t="shared" si="69"/>
        <v>0.03097983333</v>
      </c>
      <c r="AV561" s="14"/>
      <c r="AW561" s="15"/>
      <c r="AX561" s="15"/>
    </row>
    <row r="562" ht="15.75" customHeight="1">
      <c r="A562" s="7">
        <v>240207.0</v>
      </c>
      <c r="B562" s="7">
        <v>74.0</v>
      </c>
      <c r="C562" s="7">
        <v>1.0</v>
      </c>
      <c r="D562" s="8" t="s">
        <v>301</v>
      </c>
      <c r="E562" s="7">
        <v>14.0</v>
      </c>
      <c r="F562" s="8" t="s">
        <v>48</v>
      </c>
      <c r="G562" s="8" t="s">
        <v>49</v>
      </c>
      <c r="H562" s="8" t="s">
        <v>50</v>
      </c>
      <c r="I562" s="22" t="s">
        <v>146</v>
      </c>
      <c r="J562" s="22" t="s">
        <v>52</v>
      </c>
      <c r="K562" s="11" t="s">
        <v>53</v>
      </c>
      <c r="L562" s="18">
        <v>0.034077</v>
      </c>
      <c r="M562" s="18">
        <v>0.035038</v>
      </c>
      <c r="N562" s="18">
        <v>0.035148</v>
      </c>
      <c r="O562" s="18">
        <v>0.035691</v>
      </c>
      <c r="P562" s="18">
        <v>0.035159</v>
      </c>
      <c r="Q562" s="18">
        <v>0.034011</v>
      </c>
      <c r="R562" s="18">
        <v>0.034788</v>
      </c>
      <c r="S562" s="18">
        <v>0.035938</v>
      </c>
      <c r="T562" s="18">
        <v>0.037187</v>
      </c>
      <c r="U562" s="18">
        <v>0.036647</v>
      </c>
      <c r="V562" s="18">
        <v>0.036771</v>
      </c>
      <c r="W562" s="18">
        <v>0.038277</v>
      </c>
      <c r="X562" s="18">
        <v>0.036696</v>
      </c>
      <c r="Y562" s="18">
        <v>0.036481</v>
      </c>
      <c r="Z562" s="18">
        <v>0.037554</v>
      </c>
      <c r="AA562" s="18">
        <v>0.038139</v>
      </c>
      <c r="AB562" s="18">
        <v>0.037891</v>
      </c>
      <c r="AC562" s="18">
        <v>0.036374</v>
      </c>
      <c r="AD562" s="18">
        <v>0.035935</v>
      </c>
      <c r="AE562" s="18">
        <v>0.035055</v>
      </c>
      <c r="AF562" s="18">
        <v>0.032918</v>
      </c>
      <c r="AG562" s="18">
        <v>0.032353</v>
      </c>
      <c r="AH562" s="18">
        <v>0.032373</v>
      </c>
      <c r="AI562" s="18">
        <v>0.031852</v>
      </c>
      <c r="AJ562" s="18">
        <v>0.031929</v>
      </c>
      <c r="AK562" s="18">
        <v>0.029846</v>
      </c>
      <c r="AL562" s="18">
        <v>0.028013</v>
      </c>
      <c r="AM562" s="18">
        <v>0.032351</v>
      </c>
      <c r="AN562" s="18">
        <v>0.057725</v>
      </c>
      <c r="AO562" s="2">
        <v>0.0</v>
      </c>
      <c r="AP562" s="20">
        <v>0.0</v>
      </c>
      <c r="AQ562" s="20">
        <v>0.0</v>
      </c>
      <c r="AR562" s="20">
        <v>0.0</v>
      </c>
      <c r="AS562" s="20">
        <v>0.0</v>
      </c>
      <c r="AT562" s="2">
        <f>AVERAGE(L562:AN562)</f>
        <v>0.03559368966</v>
      </c>
      <c r="AU562" s="12">
        <f t="shared" si="69"/>
        <v>0.03559368966</v>
      </c>
      <c r="AV562" s="14"/>
      <c r="AW562" s="15"/>
      <c r="AX562" s="15"/>
    </row>
    <row r="563" ht="15.75" customHeight="1">
      <c r="A563" s="7">
        <v>240207.0</v>
      </c>
      <c r="B563" s="7">
        <v>74.0</v>
      </c>
      <c r="C563" s="7">
        <v>1.0</v>
      </c>
      <c r="D563" s="8" t="s">
        <v>302</v>
      </c>
      <c r="E563" s="7">
        <v>14.0</v>
      </c>
      <c r="F563" s="8" t="s">
        <v>48</v>
      </c>
      <c r="G563" s="8" t="s">
        <v>49</v>
      </c>
      <c r="H563" s="8" t="s">
        <v>63</v>
      </c>
      <c r="I563" s="22" t="s">
        <v>146</v>
      </c>
      <c r="J563" s="22" t="s">
        <v>52</v>
      </c>
      <c r="K563" s="11" t="s">
        <v>53</v>
      </c>
      <c r="L563" s="18">
        <v>0.038544</v>
      </c>
      <c r="M563" s="18">
        <v>0.037382</v>
      </c>
      <c r="N563" s="18">
        <v>0.035715</v>
      </c>
      <c r="O563" s="18">
        <v>0.034503</v>
      </c>
      <c r="P563" s="18">
        <v>0.034712</v>
      </c>
      <c r="Q563" s="18">
        <v>0.034993</v>
      </c>
      <c r="R563" s="18">
        <v>0.034799</v>
      </c>
      <c r="S563" s="18">
        <v>0.035432</v>
      </c>
      <c r="T563" s="18">
        <v>0.036258</v>
      </c>
      <c r="U563" s="18">
        <v>0.036425</v>
      </c>
      <c r="V563" s="18">
        <v>0.035863</v>
      </c>
      <c r="W563" s="18">
        <v>0.034923</v>
      </c>
      <c r="X563" s="18">
        <v>0.034905</v>
      </c>
      <c r="Y563" s="18">
        <v>0.034692</v>
      </c>
      <c r="Z563" s="18">
        <v>0.034182</v>
      </c>
      <c r="AA563" s="18">
        <v>0.03441</v>
      </c>
      <c r="AB563" s="18">
        <v>0.033757</v>
      </c>
      <c r="AC563" s="18">
        <v>0.033158</v>
      </c>
      <c r="AD563" s="18">
        <v>0.033049</v>
      </c>
      <c r="AE563" s="18">
        <v>0.033473</v>
      </c>
      <c r="AF563" s="18">
        <v>0.033464</v>
      </c>
      <c r="AG563" s="18">
        <v>0.033567</v>
      </c>
      <c r="AH563" s="18">
        <v>0.034586</v>
      </c>
      <c r="AI563" s="18">
        <v>0.033325</v>
      </c>
      <c r="AJ563" s="18">
        <v>0.024856</v>
      </c>
      <c r="AK563" s="18">
        <v>0.009736</v>
      </c>
      <c r="AL563" s="18">
        <v>0.03125</v>
      </c>
      <c r="AM563" s="2">
        <v>0.0</v>
      </c>
      <c r="AN563" s="2">
        <v>0.0</v>
      </c>
      <c r="AO563" s="2">
        <v>0.0</v>
      </c>
      <c r="AP563" s="20">
        <v>0.0</v>
      </c>
      <c r="AQ563" s="20">
        <v>0.0</v>
      </c>
      <c r="AR563" s="20">
        <v>0.0</v>
      </c>
      <c r="AS563" s="20">
        <v>0.0</v>
      </c>
      <c r="AT563" s="2">
        <f>AVERAGE(L563:AL563)</f>
        <v>0.03340588889</v>
      </c>
      <c r="AU563" s="12">
        <f t="shared" si="69"/>
        <v>0.03340588889</v>
      </c>
      <c r="AV563" s="14"/>
      <c r="AW563" s="15"/>
      <c r="AX563" s="15"/>
    </row>
    <row r="564" ht="15.75" customHeight="1">
      <c r="A564" s="7">
        <v>240207.0</v>
      </c>
      <c r="B564" s="7">
        <v>74.0</v>
      </c>
      <c r="C564" s="7">
        <v>1.0</v>
      </c>
      <c r="D564" s="8" t="s">
        <v>303</v>
      </c>
      <c r="E564" s="7">
        <v>14.0</v>
      </c>
      <c r="F564" s="8" t="s">
        <v>48</v>
      </c>
      <c r="G564" s="8" t="s">
        <v>49</v>
      </c>
      <c r="H564" s="8" t="s">
        <v>65</v>
      </c>
      <c r="I564" s="22" t="s">
        <v>146</v>
      </c>
      <c r="J564" s="22" t="s">
        <v>52</v>
      </c>
      <c r="K564" s="11" t="s">
        <v>53</v>
      </c>
      <c r="L564" s="18">
        <v>0.037405</v>
      </c>
      <c r="M564" s="18">
        <v>0.038272</v>
      </c>
      <c r="N564" s="18">
        <v>0.037434</v>
      </c>
      <c r="O564" s="18">
        <v>0.037044</v>
      </c>
      <c r="P564" s="18">
        <v>0.037807</v>
      </c>
      <c r="Q564" s="18">
        <v>0.038745</v>
      </c>
      <c r="R564" s="18">
        <v>0.038409</v>
      </c>
      <c r="S564" s="18">
        <v>0.037057</v>
      </c>
      <c r="T564" s="18">
        <v>0.036461</v>
      </c>
      <c r="U564" s="18">
        <v>0.035656</v>
      </c>
      <c r="V564" s="18">
        <v>0.036273</v>
      </c>
      <c r="W564" s="18">
        <v>0.035686</v>
      </c>
      <c r="X564" s="18">
        <v>0.034578</v>
      </c>
      <c r="Y564" s="18">
        <v>0.034621</v>
      </c>
      <c r="Z564" s="18">
        <v>0.034938</v>
      </c>
      <c r="AA564" s="18">
        <v>0.035491</v>
      </c>
      <c r="AB564" s="18">
        <v>0.034782</v>
      </c>
      <c r="AC564" s="18">
        <v>0.034748</v>
      </c>
      <c r="AD564" s="18">
        <v>0.034486</v>
      </c>
      <c r="AE564" s="18">
        <v>0.035476</v>
      </c>
      <c r="AF564" s="18">
        <v>0.035161</v>
      </c>
      <c r="AG564" s="18">
        <v>0.033876</v>
      </c>
      <c r="AH564" s="18">
        <v>0.032529</v>
      </c>
      <c r="AI564" s="18">
        <v>0.029951</v>
      </c>
      <c r="AJ564" s="18">
        <v>0.031916</v>
      </c>
      <c r="AK564" s="18">
        <v>0.036071</v>
      </c>
      <c r="AL564" s="18">
        <v>0.034796</v>
      </c>
      <c r="AM564" s="18">
        <v>0.027061</v>
      </c>
      <c r="AN564" s="18">
        <v>0.005221</v>
      </c>
      <c r="AO564" s="18">
        <v>0.0</v>
      </c>
      <c r="AP564" s="20">
        <v>0.0</v>
      </c>
      <c r="AQ564" s="20">
        <v>0.0</v>
      </c>
      <c r="AR564" s="20">
        <v>0.0</v>
      </c>
      <c r="AS564" s="20">
        <v>0.0</v>
      </c>
      <c r="AT564" s="2">
        <f>AVERAGE(L564:AN564)</f>
        <v>0.0342052069</v>
      </c>
      <c r="AU564" s="12">
        <f t="shared" si="69"/>
        <v>0.0342052069</v>
      </c>
      <c r="AV564" s="14"/>
      <c r="AW564" s="15"/>
      <c r="AX564" s="15"/>
    </row>
    <row r="565" ht="15.75" customHeight="1">
      <c r="A565" s="7">
        <v>240207.0</v>
      </c>
      <c r="B565" s="7">
        <v>74.0</v>
      </c>
      <c r="C565" s="7">
        <v>1.0</v>
      </c>
      <c r="D565" s="8" t="s">
        <v>304</v>
      </c>
      <c r="E565" s="7">
        <v>14.0</v>
      </c>
      <c r="F565" s="8" t="s">
        <v>48</v>
      </c>
      <c r="G565" s="8" t="s">
        <v>49</v>
      </c>
      <c r="H565" s="8" t="s">
        <v>61</v>
      </c>
      <c r="I565" s="22" t="s">
        <v>146</v>
      </c>
      <c r="J565" s="22" t="s">
        <v>52</v>
      </c>
      <c r="K565" s="11" t="s">
        <v>53</v>
      </c>
      <c r="L565" s="18">
        <v>0.036473</v>
      </c>
      <c r="M565" s="18">
        <v>0.03625</v>
      </c>
      <c r="N565" s="18">
        <v>0.036403</v>
      </c>
      <c r="O565" s="18">
        <v>0.036549</v>
      </c>
      <c r="P565" s="18">
        <v>0.035168</v>
      </c>
      <c r="Q565" s="18">
        <v>0.03499</v>
      </c>
      <c r="R565" s="18">
        <v>0.034787</v>
      </c>
      <c r="S565" s="18">
        <v>0.033414</v>
      </c>
      <c r="T565" s="18">
        <v>0.034339</v>
      </c>
      <c r="U565" s="18">
        <v>0.034734</v>
      </c>
      <c r="V565" s="18">
        <v>0.034138</v>
      </c>
      <c r="W565" s="18">
        <v>0.03453</v>
      </c>
      <c r="X565" s="18">
        <v>0.035807</v>
      </c>
      <c r="Y565" s="18">
        <v>0.036057</v>
      </c>
      <c r="Z565" s="18">
        <v>0.035328</v>
      </c>
      <c r="AA565" s="18">
        <v>0.035715</v>
      </c>
      <c r="AB565" s="18">
        <v>0.035416</v>
      </c>
      <c r="AC565" s="18">
        <v>0.035029</v>
      </c>
      <c r="AD565" s="18">
        <v>0.033609</v>
      </c>
      <c r="AE565" s="18">
        <v>0.033006</v>
      </c>
      <c r="AF565" s="18">
        <v>0.033224</v>
      </c>
      <c r="AG565" s="18">
        <v>0.031797</v>
      </c>
      <c r="AH565" s="18">
        <v>0.031222</v>
      </c>
      <c r="AI565" s="18">
        <v>0.033181</v>
      </c>
      <c r="AJ565" s="18">
        <v>0.032566</v>
      </c>
      <c r="AK565" s="18">
        <v>0.023772</v>
      </c>
      <c r="AL565" s="18">
        <v>0.014094</v>
      </c>
      <c r="AM565" s="18">
        <v>0.0</v>
      </c>
      <c r="AN565" s="2">
        <v>0.0</v>
      </c>
      <c r="AO565" s="2">
        <v>0.0</v>
      </c>
      <c r="AP565" s="20">
        <v>0.0</v>
      </c>
      <c r="AQ565" s="20">
        <v>0.0</v>
      </c>
      <c r="AR565" s="20">
        <v>0.0</v>
      </c>
      <c r="AS565" s="20">
        <v>0.0</v>
      </c>
      <c r="AT565" s="2">
        <f t="shared" ref="AT565:AT566" si="71">AVERAGE(L565:AL565)</f>
        <v>0.03339251852</v>
      </c>
      <c r="AU565" s="12">
        <f t="shared" si="69"/>
        <v>0.03339251852</v>
      </c>
      <c r="AV565" s="14"/>
      <c r="AW565" s="15"/>
      <c r="AX565" s="15"/>
    </row>
    <row r="566" ht="15.75" customHeight="1">
      <c r="A566" s="7">
        <v>240425.0</v>
      </c>
      <c r="B566" s="7">
        <v>74.0</v>
      </c>
      <c r="C566" s="7">
        <v>1.0</v>
      </c>
      <c r="D566" s="8" t="s">
        <v>305</v>
      </c>
      <c r="E566" s="7">
        <v>14.0</v>
      </c>
      <c r="F566" s="8" t="s">
        <v>56</v>
      </c>
      <c r="G566" s="8" t="s">
        <v>49</v>
      </c>
      <c r="H566" s="8" t="s">
        <v>61</v>
      </c>
      <c r="I566" s="22" t="s">
        <v>146</v>
      </c>
      <c r="J566" s="22" t="s">
        <v>52</v>
      </c>
      <c r="K566" s="11" t="s">
        <v>57</v>
      </c>
      <c r="L566" s="18">
        <v>0.037927</v>
      </c>
      <c r="M566" s="18">
        <v>0.037223</v>
      </c>
      <c r="N566" s="18">
        <v>0.036943</v>
      </c>
      <c r="O566" s="18">
        <v>0.036844</v>
      </c>
      <c r="P566" s="18">
        <v>0.037176</v>
      </c>
      <c r="Q566" s="18">
        <v>0.037083</v>
      </c>
      <c r="R566" s="18">
        <v>0.035897</v>
      </c>
      <c r="S566" s="18">
        <v>0.035332</v>
      </c>
      <c r="T566" s="18">
        <v>0.035363</v>
      </c>
      <c r="U566" s="18">
        <v>0.035509</v>
      </c>
      <c r="V566" s="18">
        <v>0.0361</v>
      </c>
      <c r="W566" s="18">
        <v>0.036104</v>
      </c>
      <c r="X566" s="18">
        <v>0.037108</v>
      </c>
      <c r="Y566" s="18">
        <v>0.037112</v>
      </c>
      <c r="Z566" s="18">
        <v>0.035027</v>
      </c>
      <c r="AA566" s="18">
        <v>0.034816</v>
      </c>
      <c r="AB566" s="18">
        <v>0.034242</v>
      </c>
      <c r="AC566" s="18">
        <v>0.033262</v>
      </c>
      <c r="AD566" s="18">
        <v>0.033875</v>
      </c>
      <c r="AE566" s="18">
        <v>0.033897</v>
      </c>
      <c r="AF566" s="18">
        <v>0.03274</v>
      </c>
      <c r="AG566" s="18">
        <v>0.032257</v>
      </c>
      <c r="AH566" s="18">
        <v>0.032579</v>
      </c>
      <c r="AI566" s="18">
        <v>0.029538</v>
      </c>
      <c r="AJ566" s="18">
        <v>0.023342</v>
      </c>
      <c r="AK566" s="18">
        <v>0.01934</v>
      </c>
      <c r="AL566" s="18">
        <v>0.018097</v>
      </c>
      <c r="AM566" s="2">
        <v>0.0</v>
      </c>
      <c r="AN566" s="2">
        <v>0.0</v>
      </c>
      <c r="AO566" s="2">
        <v>0.0</v>
      </c>
      <c r="AP566" s="20">
        <v>0.0</v>
      </c>
      <c r="AQ566" s="20">
        <v>0.0</v>
      </c>
      <c r="AR566" s="20">
        <v>0.0</v>
      </c>
      <c r="AS566" s="20">
        <v>0.0</v>
      </c>
      <c r="AT566" s="2">
        <f t="shared" si="71"/>
        <v>0.03350862963</v>
      </c>
      <c r="AU566" s="12">
        <f t="shared" si="69"/>
        <v>0.03350862963</v>
      </c>
      <c r="AV566" s="14"/>
      <c r="AW566" s="15"/>
      <c r="AX566" s="15"/>
    </row>
    <row r="567" ht="15.75" customHeight="1">
      <c r="A567" s="7">
        <v>240425.0</v>
      </c>
      <c r="B567" s="7">
        <v>74.0</v>
      </c>
      <c r="C567" s="7">
        <v>1.0</v>
      </c>
      <c r="D567" s="8" t="s">
        <v>306</v>
      </c>
      <c r="E567" s="7">
        <v>14.0</v>
      </c>
      <c r="F567" s="8" t="s">
        <v>56</v>
      </c>
      <c r="G567" s="8" t="s">
        <v>49</v>
      </c>
      <c r="H567" s="8" t="s">
        <v>50</v>
      </c>
      <c r="I567" s="22" t="s">
        <v>146</v>
      </c>
      <c r="J567" s="22" t="s">
        <v>52</v>
      </c>
      <c r="K567" s="11" t="s">
        <v>57</v>
      </c>
      <c r="L567" s="18">
        <v>0.038131</v>
      </c>
      <c r="M567" s="18">
        <v>0.037317</v>
      </c>
      <c r="N567" s="18">
        <v>0.036209</v>
      </c>
      <c r="O567" s="18">
        <v>0.035341</v>
      </c>
      <c r="P567" s="18">
        <v>0.034784</v>
      </c>
      <c r="Q567" s="18">
        <v>0.035646</v>
      </c>
      <c r="R567" s="18">
        <v>0.03515</v>
      </c>
      <c r="S567" s="18">
        <v>0.033977</v>
      </c>
      <c r="T567" s="18">
        <v>0.033472</v>
      </c>
      <c r="U567" s="18">
        <v>0.034159</v>
      </c>
      <c r="V567" s="18">
        <v>0.035428</v>
      </c>
      <c r="W567" s="18">
        <v>0.03496</v>
      </c>
      <c r="X567" s="18">
        <v>0.035812</v>
      </c>
      <c r="Y567" s="18">
        <v>0.035864</v>
      </c>
      <c r="Z567" s="18">
        <v>0.035509</v>
      </c>
      <c r="AA567" s="18">
        <v>0.036837</v>
      </c>
      <c r="AB567" s="18">
        <v>0.036074</v>
      </c>
      <c r="AC567" s="18">
        <v>0.033762</v>
      </c>
      <c r="AD567" s="18">
        <v>0.033959</v>
      </c>
      <c r="AE567" s="18">
        <v>0.034604</v>
      </c>
      <c r="AF567" s="18">
        <v>0.033472</v>
      </c>
      <c r="AG567" s="18">
        <v>0.031862</v>
      </c>
      <c r="AH567" s="18">
        <v>0.031535</v>
      </c>
      <c r="AI567" s="18">
        <v>0.029788</v>
      </c>
      <c r="AJ567" s="18">
        <v>0.026114</v>
      </c>
      <c r="AK567" s="18">
        <v>0.017087</v>
      </c>
      <c r="AL567" s="18">
        <v>0.006815</v>
      </c>
      <c r="AM567" s="18">
        <v>0.007916</v>
      </c>
      <c r="AN567" s="2">
        <v>0.0</v>
      </c>
      <c r="AO567" s="2">
        <v>0.0</v>
      </c>
      <c r="AP567" s="20">
        <v>0.0</v>
      </c>
      <c r="AQ567" s="20">
        <v>0.0</v>
      </c>
      <c r="AR567" s="20">
        <v>0.0</v>
      </c>
      <c r="AS567" s="20">
        <v>0.0</v>
      </c>
      <c r="AT567" s="2">
        <f>AVERAGE(L567:AM567)</f>
        <v>0.03184228571</v>
      </c>
      <c r="AU567" s="12">
        <f t="shared" si="69"/>
        <v>0.03184228571</v>
      </c>
      <c r="AV567" s="14"/>
      <c r="AW567" s="15"/>
      <c r="AX567" s="15"/>
    </row>
    <row r="568" ht="15.75" customHeight="1">
      <c r="A568" s="7">
        <v>240425.0</v>
      </c>
      <c r="B568" s="7">
        <v>74.0</v>
      </c>
      <c r="C568" s="7">
        <v>1.0</v>
      </c>
      <c r="D568" s="8" t="s">
        <v>307</v>
      </c>
      <c r="E568" s="7">
        <v>14.0</v>
      </c>
      <c r="F568" s="8" t="s">
        <v>56</v>
      </c>
      <c r="G568" s="8" t="s">
        <v>49</v>
      </c>
      <c r="H568" s="8" t="s">
        <v>63</v>
      </c>
      <c r="I568" s="22" t="s">
        <v>146</v>
      </c>
      <c r="J568" s="22" t="s">
        <v>52</v>
      </c>
      <c r="K568" s="11" t="s">
        <v>57</v>
      </c>
      <c r="L568" s="18">
        <v>0.024226</v>
      </c>
      <c r="M568" s="18">
        <v>0.029239</v>
      </c>
      <c r="N568" s="18">
        <v>0.032281</v>
      </c>
      <c r="O568" s="18">
        <v>0.03243</v>
      </c>
      <c r="P568" s="18">
        <v>0.03079</v>
      </c>
      <c r="Q568" s="18">
        <v>0.031078</v>
      </c>
      <c r="R568" s="18">
        <v>0.03366</v>
      </c>
      <c r="S568" s="18">
        <v>0.033671</v>
      </c>
      <c r="T568" s="18">
        <v>0.033998</v>
      </c>
      <c r="U568" s="18">
        <v>0.034797</v>
      </c>
      <c r="V568" s="18">
        <v>0.034651</v>
      </c>
      <c r="W568" s="18">
        <v>0.032952</v>
      </c>
      <c r="X568" s="18">
        <v>0.03209</v>
      </c>
      <c r="Y568" s="18">
        <v>0.031624</v>
      </c>
      <c r="Z568" s="18">
        <v>0.032826</v>
      </c>
      <c r="AA568" s="18">
        <v>0.034004</v>
      </c>
      <c r="AB568" s="18">
        <v>0.032964</v>
      </c>
      <c r="AC568" s="18">
        <v>0.030622</v>
      </c>
      <c r="AD568" s="18">
        <v>0.029055</v>
      </c>
      <c r="AE568" s="18">
        <v>0.029815</v>
      </c>
      <c r="AF568" s="18">
        <v>0.03151</v>
      </c>
      <c r="AG568" s="18">
        <v>0.032978</v>
      </c>
      <c r="AH568" s="18">
        <v>0.032812</v>
      </c>
      <c r="AI568" s="18">
        <v>0.02818</v>
      </c>
      <c r="AJ568" s="18">
        <v>0.015814</v>
      </c>
      <c r="AK568" s="18">
        <v>0.005209</v>
      </c>
      <c r="AL568" s="18">
        <v>0.0</v>
      </c>
      <c r="AM568" s="2">
        <v>0.0</v>
      </c>
      <c r="AN568" s="2">
        <v>0.0</v>
      </c>
      <c r="AO568" s="2">
        <v>0.0</v>
      </c>
      <c r="AP568" s="20">
        <v>0.0</v>
      </c>
      <c r="AQ568" s="20">
        <v>0.0</v>
      </c>
      <c r="AR568" s="20">
        <v>0.0</v>
      </c>
      <c r="AS568" s="20">
        <v>0.0</v>
      </c>
      <c r="AT568" s="2">
        <f>AVERAGE(L568:AK568)</f>
        <v>0.030126</v>
      </c>
      <c r="AU568" s="12">
        <f t="shared" si="69"/>
        <v>0.030126</v>
      </c>
      <c r="AV568" s="14"/>
      <c r="AW568" s="15"/>
      <c r="AX568" s="15"/>
    </row>
    <row r="569" ht="15.75" customHeight="1">
      <c r="A569" s="7">
        <v>240425.0</v>
      </c>
      <c r="B569" s="7">
        <v>74.0</v>
      </c>
      <c r="C569" s="7">
        <v>1.0</v>
      </c>
      <c r="D569" s="8" t="s">
        <v>308</v>
      </c>
      <c r="E569" s="7">
        <v>14.0</v>
      </c>
      <c r="F569" s="8" t="s">
        <v>56</v>
      </c>
      <c r="G569" s="8" t="s">
        <v>49</v>
      </c>
      <c r="H569" s="8" t="s">
        <v>65</v>
      </c>
      <c r="I569" s="22" t="s">
        <v>146</v>
      </c>
      <c r="J569" s="22" t="s">
        <v>52</v>
      </c>
      <c r="K569" s="11" t="s">
        <v>57</v>
      </c>
      <c r="L569" s="18">
        <v>0.036638</v>
      </c>
      <c r="M569" s="18">
        <v>0.033883</v>
      </c>
      <c r="N569" s="18">
        <v>0.033264</v>
      </c>
      <c r="O569" s="18">
        <v>0.03451</v>
      </c>
      <c r="P569" s="18">
        <v>0.034529</v>
      </c>
      <c r="Q569" s="18">
        <v>0.035584</v>
      </c>
      <c r="R569" s="18">
        <v>0.036121</v>
      </c>
      <c r="S569" s="18">
        <v>0.035705</v>
      </c>
      <c r="T569" s="18">
        <v>0.03607</v>
      </c>
      <c r="U569" s="18">
        <v>0.036183</v>
      </c>
      <c r="V569" s="18">
        <v>0.037024</v>
      </c>
      <c r="W569" s="18">
        <v>0.036419</v>
      </c>
      <c r="X569" s="18">
        <v>0.03701</v>
      </c>
      <c r="Y569" s="18">
        <v>0.036855</v>
      </c>
      <c r="Z569" s="18">
        <v>0.035949</v>
      </c>
      <c r="AA569" s="18">
        <v>0.035866</v>
      </c>
      <c r="AB569" s="18">
        <v>0.035275</v>
      </c>
      <c r="AC569" s="18">
        <v>0.035241</v>
      </c>
      <c r="AD569" s="18">
        <v>0.032606</v>
      </c>
      <c r="AE569" s="18">
        <v>0.031336</v>
      </c>
      <c r="AF569" s="18">
        <v>0.032476</v>
      </c>
      <c r="AG569" s="18">
        <v>0.034004</v>
      </c>
      <c r="AH569" s="18">
        <v>0.036428</v>
      </c>
      <c r="AI569" s="18">
        <v>0.03519</v>
      </c>
      <c r="AJ569" s="18">
        <v>0.032121</v>
      </c>
      <c r="AK569" s="18">
        <v>0.028371</v>
      </c>
      <c r="AL569" s="18">
        <v>0.023789</v>
      </c>
      <c r="AM569" s="18">
        <v>0.021742</v>
      </c>
      <c r="AN569" s="18">
        <v>0.016361</v>
      </c>
      <c r="AO569" s="18">
        <v>0.0</v>
      </c>
      <c r="AP569" s="20">
        <v>0.0</v>
      </c>
      <c r="AQ569" s="20">
        <v>0.0</v>
      </c>
      <c r="AR569" s="20">
        <v>0.0</v>
      </c>
      <c r="AS569" s="20">
        <v>0.0</v>
      </c>
      <c r="AT569" s="2">
        <f>AVERAGE(L569:AN569)</f>
        <v>0.03332931034</v>
      </c>
      <c r="AU569" s="12">
        <f t="shared" si="69"/>
        <v>0.03332931034</v>
      </c>
      <c r="AV569" s="14"/>
      <c r="AW569" s="15"/>
      <c r="AX569" s="15"/>
    </row>
    <row r="570" ht="15.75" customHeight="1">
      <c r="A570" s="7">
        <v>240515.0</v>
      </c>
      <c r="B570" s="7">
        <v>80.0</v>
      </c>
      <c r="C570" s="7">
        <v>2.0</v>
      </c>
      <c r="D570" s="8" t="s">
        <v>309</v>
      </c>
      <c r="E570" s="7">
        <v>14.0</v>
      </c>
      <c r="F570" s="8" t="s">
        <v>56</v>
      </c>
      <c r="G570" s="8" t="s">
        <v>67</v>
      </c>
      <c r="H570" s="8" t="s">
        <v>63</v>
      </c>
      <c r="I570" s="22" t="s">
        <v>146</v>
      </c>
      <c r="J570" s="22" t="s">
        <v>52</v>
      </c>
      <c r="K570" s="11" t="s">
        <v>59</v>
      </c>
      <c r="L570" s="18">
        <v>0.029082</v>
      </c>
      <c r="M570" s="18">
        <v>0.032388</v>
      </c>
      <c r="N570" s="18">
        <v>0.034223</v>
      </c>
      <c r="O570" s="18">
        <v>0.033788</v>
      </c>
      <c r="P570" s="18">
        <v>0.035036</v>
      </c>
      <c r="Q570" s="18">
        <v>0.034144</v>
      </c>
      <c r="R570" s="18">
        <v>0.033988</v>
      </c>
      <c r="S570" s="18">
        <v>0.034993</v>
      </c>
      <c r="T570" s="18">
        <v>0.033824</v>
      </c>
      <c r="U570" s="18">
        <v>0.03307</v>
      </c>
      <c r="V570" s="18">
        <v>0.031558</v>
      </c>
      <c r="W570" s="18">
        <v>0.031753</v>
      </c>
      <c r="X570" s="18">
        <v>0.0345</v>
      </c>
      <c r="Y570" s="18">
        <v>0.035979</v>
      </c>
      <c r="Z570" s="18">
        <v>0.033407</v>
      </c>
      <c r="AA570" s="18">
        <v>0.032398</v>
      </c>
      <c r="AB570" s="18">
        <v>0.034617</v>
      </c>
      <c r="AC570" s="18">
        <v>0.036412</v>
      </c>
      <c r="AD570" s="18">
        <v>0.034232</v>
      </c>
      <c r="AE570" s="18">
        <v>0.034053</v>
      </c>
      <c r="AF570" s="18">
        <v>0.040102</v>
      </c>
      <c r="AG570" s="18">
        <v>0.047061</v>
      </c>
      <c r="AH570" s="18">
        <v>0.042817</v>
      </c>
      <c r="AI570" s="18">
        <v>0.01962</v>
      </c>
      <c r="AJ570" s="18">
        <v>0.002796</v>
      </c>
      <c r="AK570" s="18">
        <v>0.004734</v>
      </c>
      <c r="AL570" s="18">
        <v>0.017177</v>
      </c>
      <c r="AM570" s="2">
        <v>0.0</v>
      </c>
      <c r="AN570" s="2">
        <v>0.0</v>
      </c>
      <c r="AO570" s="2">
        <v>0.0</v>
      </c>
      <c r="AP570" s="20">
        <v>0.0</v>
      </c>
      <c r="AQ570" s="20">
        <v>0.0</v>
      </c>
      <c r="AR570" s="20">
        <v>0.0</v>
      </c>
      <c r="AS570" s="20">
        <v>0.0</v>
      </c>
      <c r="AT570" s="2">
        <f>AVERAGE(L570:AL570)</f>
        <v>0.03139822222</v>
      </c>
      <c r="AU570" s="12">
        <f t="shared" si="69"/>
        <v>0.03139822222</v>
      </c>
      <c r="AV570" s="14"/>
      <c r="AW570" s="15"/>
      <c r="AX570" s="15"/>
    </row>
    <row r="571" ht="15.75" customHeight="1">
      <c r="A571" s="7">
        <v>240515.0</v>
      </c>
      <c r="B571" s="7">
        <v>80.0</v>
      </c>
      <c r="C571" s="7">
        <v>2.0</v>
      </c>
      <c r="D571" s="8" t="s">
        <v>310</v>
      </c>
      <c r="E571" s="7">
        <v>14.0</v>
      </c>
      <c r="F571" s="8" t="s">
        <v>56</v>
      </c>
      <c r="G571" s="8" t="s">
        <v>67</v>
      </c>
      <c r="H571" s="8" t="s">
        <v>50</v>
      </c>
      <c r="I571" s="22" t="s">
        <v>146</v>
      </c>
      <c r="J571" s="22" t="s">
        <v>52</v>
      </c>
      <c r="K571" s="11" t="s">
        <v>59</v>
      </c>
      <c r="L571" s="18">
        <v>0.028775</v>
      </c>
      <c r="M571" s="18">
        <v>0.029486</v>
      </c>
      <c r="N571" s="18">
        <v>0.030931</v>
      </c>
      <c r="O571" s="18">
        <v>0.033205</v>
      </c>
      <c r="P571" s="18">
        <v>0.034865</v>
      </c>
      <c r="Q571" s="18">
        <v>0.034474</v>
      </c>
      <c r="R571" s="18">
        <v>0.033865</v>
      </c>
      <c r="S571" s="18">
        <v>0.034503</v>
      </c>
      <c r="T571" s="18">
        <v>0.035246</v>
      </c>
      <c r="U571" s="18">
        <v>0.034505</v>
      </c>
      <c r="V571" s="18">
        <v>0.034866</v>
      </c>
      <c r="W571" s="18">
        <v>0.035436</v>
      </c>
      <c r="X571" s="18">
        <v>0.034794</v>
      </c>
      <c r="Y571" s="18">
        <v>0.036206</v>
      </c>
      <c r="Z571" s="18">
        <v>0.037136</v>
      </c>
      <c r="AA571" s="18">
        <v>0.037501</v>
      </c>
      <c r="AB571" s="18">
        <v>0.036978</v>
      </c>
      <c r="AC571" s="18">
        <v>0.035553</v>
      </c>
      <c r="AD571" s="18">
        <v>0.034716</v>
      </c>
      <c r="AE571" s="18">
        <v>0.035317</v>
      </c>
      <c r="AF571" s="18">
        <v>0.034604</v>
      </c>
      <c r="AG571" s="18">
        <v>0.034699</v>
      </c>
      <c r="AH571" s="18">
        <v>0.037241</v>
      </c>
      <c r="AI571" s="18">
        <v>0.035943</v>
      </c>
      <c r="AJ571" s="18">
        <v>0.032753</v>
      </c>
      <c r="AK571" s="18">
        <v>0.030206</v>
      </c>
      <c r="AL571" s="18">
        <v>0.029355</v>
      </c>
      <c r="AM571" s="18">
        <v>0.022098</v>
      </c>
      <c r="AN571" s="18">
        <v>0.011642</v>
      </c>
      <c r="AO571" s="18">
        <v>0.012746</v>
      </c>
      <c r="AP571" s="20">
        <v>0.025115</v>
      </c>
      <c r="AQ571" s="20">
        <v>0.020936</v>
      </c>
      <c r="AR571" s="3">
        <v>0.0</v>
      </c>
      <c r="AS571" s="3">
        <v>0.0</v>
      </c>
      <c r="AT571" s="2">
        <f>AVERAGE(L571:AQ571)</f>
        <v>0.0317405</v>
      </c>
      <c r="AU571" s="12">
        <f t="shared" si="69"/>
        <v>0.0317405</v>
      </c>
      <c r="AV571" s="14"/>
      <c r="AW571" s="15"/>
      <c r="AX571" s="15"/>
    </row>
    <row r="572" ht="15.75" customHeight="1">
      <c r="A572" s="7">
        <v>240515.0</v>
      </c>
      <c r="B572" s="7">
        <v>80.0</v>
      </c>
      <c r="C572" s="7">
        <v>2.0</v>
      </c>
      <c r="D572" s="8" t="s">
        <v>311</v>
      </c>
      <c r="E572" s="7">
        <v>14.0</v>
      </c>
      <c r="F572" s="8" t="s">
        <v>56</v>
      </c>
      <c r="G572" s="8" t="s">
        <v>67</v>
      </c>
      <c r="H572" s="8" t="s">
        <v>61</v>
      </c>
      <c r="I572" s="22" t="s">
        <v>146</v>
      </c>
      <c r="J572" s="22" t="s">
        <v>52</v>
      </c>
      <c r="K572" s="11" t="s">
        <v>59</v>
      </c>
      <c r="L572" s="18">
        <v>0.037516</v>
      </c>
      <c r="M572" s="18">
        <v>0.036412</v>
      </c>
      <c r="N572" s="18">
        <v>0.036521</v>
      </c>
      <c r="O572" s="18">
        <v>0.03709</v>
      </c>
      <c r="P572" s="18">
        <v>0.037953</v>
      </c>
      <c r="Q572" s="18">
        <v>0.038147</v>
      </c>
      <c r="R572" s="18">
        <v>0.037501</v>
      </c>
      <c r="S572" s="18">
        <v>0.037754</v>
      </c>
      <c r="T572" s="18">
        <v>0.037793</v>
      </c>
      <c r="U572" s="18">
        <v>0.0382</v>
      </c>
      <c r="V572" s="18">
        <v>0.038511</v>
      </c>
      <c r="W572" s="18">
        <v>0.038405</v>
      </c>
      <c r="X572" s="18">
        <v>0.037933</v>
      </c>
      <c r="Y572" s="18">
        <v>0.036928</v>
      </c>
      <c r="Z572" s="18">
        <v>0.037469</v>
      </c>
      <c r="AA572" s="18">
        <v>0.038504</v>
      </c>
      <c r="AB572" s="18">
        <v>0.038967</v>
      </c>
      <c r="AC572" s="18">
        <v>0.037132</v>
      </c>
      <c r="AD572" s="18">
        <v>0.035008</v>
      </c>
      <c r="AE572" s="18">
        <v>0.033414</v>
      </c>
      <c r="AF572" s="18">
        <v>0.032729</v>
      </c>
      <c r="AG572" s="18">
        <v>0.030869</v>
      </c>
      <c r="AH572" s="18">
        <v>0.031124</v>
      </c>
      <c r="AI572" s="18">
        <v>0.034644</v>
      </c>
      <c r="AJ572" s="18">
        <v>0.030241</v>
      </c>
      <c r="AK572" s="18">
        <v>0.022342</v>
      </c>
      <c r="AL572" s="18">
        <v>0.018875</v>
      </c>
      <c r="AM572" s="18">
        <v>0.138889</v>
      </c>
      <c r="AN572" s="2">
        <v>0.0</v>
      </c>
      <c r="AO572" s="2">
        <v>0.0</v>
      </c>
      <c r="AP572" s="20">
        <v>0.0</v>
      </c>
      <c r="AQ572" s="20">
        <v>0.0</v>
      </c>
      <c r="AR572" s="20">
        <v>0.0</v>
      </c>
      <c r="AS572" s="20">
        <v>0.0</v>
      </c>
      <c r="AT572" s="2">
        <f>AVERAGE(L572:AM572)</f>
        <v>0.03881682143</v>
      </c>
      <c r="AU572" s="12">
        <f t="shared" si="69"/>
        <v>0.03881682143</v>
      </c>
      <c r="AV572" s="14"/>
      <c r="AW572" s="15"/>
      <c r="AX572" s="15"/>
    </row>
    <row r="573" ht="15.75" customHeight="1">
      <c r="A573" s="7">
        <v>240515.0</v>
      </c>
      <c r="B573" s="7">
        <v>80.0</v>
      </c>
      <c r="C573" s="7">
        <v>2.0</v>
      </c>
      <c r="D573" s="8" t="s">
        <v>312</v>
      </c>
      <c r="E573" s="7">
        <v>14.0</v>
      </c>
      <c r="F573" s="8" t="s">
        <v>56</v>
      </c>
      <c r="G573" s="8" t="s">
        <v>67</v>
      </c>
      <c r="H573" s="8" t="s">
        <v>65</v>
      </c>
      <c r="I573" s="22" t="s">
        <v>146</v>
      </c>
      <c r="J573" s="22" t="s">
        <v>52</v>
      </c>
      <c r="K573" s="11" t="s">
        <v>59</v>
      </c>
      <c r="L573" s="18">
        <v>0.032252</v>
      </c>
      <c r="M573" s="18">
        <v>0.03569</v>
      </c>
      <c r="N573" s="18">
        <v>0.03572</v>
      </c>
      <c r="O573" s="18">
        <v>0.03568</v>
      </c>
      <c r="P573" s="18">
        <v>0.037459</v>
      </c>
      <c r="Q573" s="18">
        <v>0.036904</v>
      </c>
      <c r="R573" s="18">
        <v>0.037539</v>
      </c>
      <c r="S573" s="18">
        <v>0.037204</v>
      </c>
      <c r="T573" s="18">
        <v>0.036313</v>
      </c>
      <c r="U573" s="18">
        <v>0.037844</v>
      </c>
      <c r="V573" s="18">
        <v>0.037657</v>
      </c>
      <c r="W573" s="18">
        <v>0.036172</v>
      </c>
      <c r="X573" s="18">
        <v>0.035966</v>
      </c>
      <c r="Y573" s="18">
        <v>0.037323</v>
      </c>
      <c r="Z573" s="18">
        <v>0.037466</v>
      </c>
      <c r="AA573" s="18">
        <v>0.037173</v>
      </c>
      <c r="AB573" s="18">
        <v>0.036185</v>
      </c>
      <c r="AC573" s="18">
        <v>0.036315</v>
      </c>
      <c r="AD573" s="18">
        <v>0.035999</v>
      </c>
      <c r="AE573" s="18">
        <v>0.035169</v>
      </c>
      <c r="AF573" s="18">
        <v>0.03826</v>
      </c>
      <c r="AG573" s="18">
        <v>0.038625</v>
      </c>
      <c r="AH573" s="18">
        <v>0.031614</v>
      </c>
      <c r="AI573" s="18">
        <v>0.018359</v>
      </c>
      <c r="AJ573" s="18">
        <v>0.006374</v>
      </c>
      <c r="AK573" s="18">
        <v>6.9E-5</v>
      </c>
      <c r="AL573" s="2">
        <v>0.0</v>
      </c>
      <c r="AM573" s="2">
        <v>0.0</v>
      </c>
      <c r="AN573" s="2">
        <v>0.0</v>
      </c>
      <c r="AO573" s="2">
        <v>0.0</v>
      </c>
      <c r="AP573" s="20">
        <v>0.0</v>
      </c>
      <c r="AQ573" s="20">
        <v>0.0</v>
      </c>
      <c r="AR573" s="20">
        <v>0.0</v>
      </c>
      <c r="AS573" s="20">
        <v>0.0</v>
      </c>
      <c r="AT573" s="2">
        <f>AVERAGE(L573:AK573)</f>
        <v>0.03312811538</v>
      </c>
      <c r="AU573" s="12">
        <f t="shared" si="69"/>
        <v>0.03312811538</v>
      </c>
      <c r="AV573" s="14"/>
      <c r="AW573" s="15"/>
      <c r="AX573" s="15"/>
    </row>
    <row r="574" ht="15.75" customHeight="1">
      <c r="A574" s="7">
        <v>240124.0</v>
      </c>
      <c r="B574" s="7">
        <v>74.0</v>
      </c>
      <c r="C574" s="7">
        <v>1.0</v>
      </c>
      <c r="D574" s="8" t="s">
        <v>293</v>
      </c>
      <c r="E574" s="7">
        <v>14.0</v>
      </c>
      <c r="F574" s="8" t="s">
        <v>48</v>
      </c>
      <c r="G574" s="8" t="s">
        <v>67</v>
      </c>
      <c r="H574" s="8" t="s">
        <v>50</v>
      </c>
      <c r="I574" s="22" t="s">
        <v>185</v>
      </c>
      <c r="J574" s="22" t="s">
        <v>52</v>
      </c>
      <c r="K574" s="11" t="s">
        <v>53</v>
      </c>
      <c r="L574" s="18">
        <v>0.021865</v>
      </c>
      <c r="M574" s="18">
        <v>0.022196</v>
      </c>
      <c r="N574" s="18">
        <v>0.023925</v>
      </c>
      <c r="O574" s="18">
        <v>0.025791</v>
      </c>
      <c r="P574" s="18">
        <v>0.024505</v>
      </c>
      <c r="Q574" s="18">
        <v>0.02257</v>
      </c>
      <c r="R574" s="18">
        <v>0.021115</v>
      </c>
      <c r="S574" s="18">
        <v>0.019653</v>
      </c>
      <c r="T574" s="18">
        <v>0.019448</v>
      </c>
      <c r="U574" s="18">
        <v>0.021002</v>
      </c>
      <c r="V574" s="18">
        <v>0.023194</v>
      </c>
      <c r="W574" s="18">
        <v>0.023603</v>
      </c>
      <c r="X574" s="18">
        <v>0.022901</v>
      </c>
      <c r="Y574" s="18">
        <v>0.021496</v>
      </c>
      <c r="Z574" s="18">
        <v>0.022237</v>
      </c>
      <c r="AA574" s="18">
        <v>0.022795</v>
      </c>
      <c r="AB574" s="18">
        <v>0.022479</v>
      </c>
      <c r="AC574" s="18">
        <v>0.02268</v>
      </c>
      <c r="AD574" s="18">
        <v>0.022195</v>
      </c>
      <c r="AE574" s="18">
        <v>0.021742</v>
      </c>
      <c r="AF574" s="18">
        <v>0.019417</v>
      </c>
      <c r="AG574" s="18">
        <v>0.017629</v>
      </c>
      <c r="AH574" s="18">
        <v>0.019294</v>
      </c>
      <c r="AI574" s="18">
        <v>0.020929</v>
      </c>
      <c r="AJ574" s="18">
        <v>0.021053</v>
      </c>
      <c r="AK574" s="18">
        <v>0.021848</v>
      </c>
      <c r="AL574" s="18">
        <v>0.021693</v>
      </c>
      <c r="AM574" s="18">
        <v>0.018382</v>
      </c>
      <c r="AN574" s="18">
        <v>0.012123</v>
      </c>
      <c r="AO574" s="18">
        <v>0.001387</v>
      </c>
      <c r="AP574" s="3">
        <v>0.0</v>
      </c>
      <c r="AQ574" s="3">
        <v>0.0</v>
      </c>
      <c r="AR574" s="3">
        <v>0.0</v>
      </c>
      <c r="AS574" s="3">
        <v>0.0</v>
      </c>
      <c r="AT574" s="2">
        <f>AVERAGE(L574:AO574)</f>
        <v>0.0207049</v>
      </c>
      <c r="AU574" s="12">
        <f t="shared" si="69"/>
        <v>0.0207049</v>
      </c>
      <c r="AV574" s="14"/>
      <c r="AW574" s="15"/>
      <c r="AX574" s="15"/>
    </row>
    <row r="575" ht="15.75" customHeight="1">
      <c r="A575" s="7">
        <v>240124.0</v>
      </c>
      <c r="B575" s="7">
        <v>74.0</v>
      </c>
      <c r="C575" s="7">
        <v>1.0</v>
      </c>
      <c r="D575" s="8" t="s">
        <v>294</v>
      </c>
      <c r="E575" s="7">
        <v>14.0</v>
      </c>
      <c r="F575" s="8" t="s">
        <v>48</v>
      </c>
      <c r="G575" s="8" t="s">
        <v>67</v>
      </c>
      <c r="H575" s="8" t="s">
        <v>61</v>
      </c>
      <c r="I575" s="22" t="s">
        <v>185</v>
      </c>
      <c r="J575" s="22" t="s">
        <v>52</v>
      </c>
      <c r="K575" s="11" t="s">
        <v>53</v>
      </c>
      <c r="L575" s="18">
        <v>0.026484</v>
      </c>
      <c r="M575" s="18">
        <v>0.026626</v>
      </c>
      <c r="N575" s="18">
        <v>0.026947</v>
      </c>
      <c r="O575" s="18">
        <v>0.026275</v>
      </c>
      <c r="P575" s="18">
        <v>0.024488</v>
      </c>
      <c r="Q575" s="18">
        <v>0.023655</v>
      </c>
      <c r="R575" s="18">
        <v>0.023241</v>
      </c>
      <c r="S575" s="18">
        <v>0.02322</v>
      </c>
      <c r="T575" s="18">
        <v>0.024153</v>
      </c>
      <c r="U575" s="18">
        <v>0.023009</v>
      </c>
      <c r="V575" s="18">
        <v>0.024038</v>
      </c>
      <c r="W575" s="18">
        <v>0.026415</v>
      </c>
      <c r="X575" s="18">
        <v>0.025339</v>
      </c>
      <c r="Y575" s="18">
        <v>0.024314</v>
      </c>
      <c r="Z575" s="18">
        <v>0.024957</v>
      </c>
      <c r="AA575" s="18">
        <v>0.023842</v>
      </c>
      <c r="AB575" s="18">
        <v>0.022409</v>
      </c>
      <c r="AC575" s="18">
        <v>0.021944</v>
      </c>
      <c r="AD575" s="18">
        <v>0.020358</v>
      </c>
      <c r="AE575" s="18">
        <v>0.019996</v>
      </c>
      <c r="AF575" s="18">
        <v>0.020882</v>
      </c>
      <c r="AG575" s="18">
        <v>0.020038</v>
      </c>
      <c r="AH575" s="18">
        <v>0.019325</v>
      </c>
      <c r="AI575" s="18">
        <v>0.019136</v>
      </c>
      <c r="AJ575" s="18">
        <v>0.019064</v>
      </c>
      <c r="AK575" s="18">
        <v>0.01707</v>
      </c>
      <c r="AL575" s="18">
        <v>0.012347</v>
      </c>
      <c r="AM575" s="18">
        <v>0.00742</v>
      </c>
      <c r="AN575" s="2">
        <v>0.0</v>
      </c>
      <c r="AO575" s="2">
        <v>0.0</v>
      </c>
      <c r="AP575" s="20">
        <v>0.0</v>
      </c>
      <c r="AQ575" s="20">
        <v>0.0</v>
      </c>
      <c r="AR575" s="20">
        <v>0.0</v>
      </c>
      <c r="AS575" s="20">
        <v>0.0</v>
      </c>
      <c r="AT575" s="2">
        <f>AVERAGE(L575:AM575)</f>
        <v>0.02203542857</v>
      </c>
      <c r="AU575" s="12">
        <f t="shared" si="69"/>
        <v>0.02203542857</v>
      </c>
      <c r="AV575" s="14"/>
      <c r="AW575" s="15"/>
      <c r="AX575" s="15"/>
    </row>
    <row r="576" ht="15.75" customHeight="1">
      <c r="A576" s="7">
        <v>240125.0</v>
      </c>
      <c r="B576" s="7">
        <v>74.0</v>
      </c>
      <c r="C576" s="7">
        <v>1.0</v>
      </c>
      <c r="D576" s="8" t="s">
        <v>295</v>
      </c>
      <c r="E576" s="7">
        <v>14.0</v>
      </c>
      <c r="F576" s="8" t="s">
        <v>48</v>
      </c>
      <c r="G576" s="8" t="s">
        <v>67</v>
      </c>
      <c r="H576" s="8" t="s">
        <v>65</v>
      </c>
      <c r="I576" s="22" t="s">
        <v>185</v>
      </c>
      <c r="J576" s="22" t="s">
        <v>52</v>
      </c>
      <c r="K576" s="11" t="s">
        <v>53</v>
      </c>
      <c r="L576" s="18">
        <v>0.027157</v>
      </c>
      <c r="M576" s="18">
        <v>0.025582</v>
      </c>
      <c r="N576" s="18">
        <v>0.023905</v>
      </c>
      <c r="O576" s="18">
        <v>0.023881</v>
      </c>
      <c r="P576" s="18">
        <v>0.024527</v>
      </c>
      <c r="Q576" s="18">
        <v>0.024965</v>
      </c>
      <c r="R576" s="18">
        <v>0.024485</v>
      </c>
      <c r="S576" s="18">
        <v>0.024454</v>
      </c>
      <c r="T576" s="18">
        <v>0.025196</v>
      </c>
      <c r="U576" s="18">
        <v>0.024471</v>
      </c>
      <c r="V576" s="18">
        <v>0.023679</v>
      </c>
      <c r="W576" s="18">
        <v>0.023557</v>
      </c>
      <c r="X576" s="18">
        <v>0.022706</v>
      </c>
      <c r="Y576" s="18">
        <v>0.02077</v>
      </c>
      <c r="Z576" s="18">
        <v>0.020705</v>
      </c>
      <c r="AA576" s="18">
        <v>0.022341</v>
      </c>
      <c r="AB576" s="18">
        <v>0.021085</v>
      </c>
      <c r="AC576" s="18">
        <v>0.019273</v>
      </c>
      <c r="AD576" s="18">
        <v>0.019359</v>
      </c>
      <c r="AE576" s="18">
        <v>0.017606</v>
      </c>
      <c r="AF576" s="18">
        <v>0.016908</v>
      </c>
      <c r="AG576" s="18">
        <v>0.016661</v>
      </c>
      <c r="AH576" s="18">
        <v>0.015612</v>
      </c>
      <c r="AI576" s="18">
        <v>0.015203</v>
      </c>
      <c r="AJ576" s="18">
        <v>0.016311</v>
      </c>
      <c r="AK576" s="18">
        <v>0.018931</v>
      </c>
      <c r="AL576" s="18">
        <v>0.015556</v>
      </c>
      <c r="AM576" s="18">
        <v>0.007891</v>
      </c>
      <c r="AN576" s="18">
        <v>0.00162</v>
      </c>
      <c r="AO576" s="2">
        <v>0.0</v>
      </c>
      <c r="AP576" s="20">
        <v>0.0</v>
      </c>
      <c r="AQ576" s="20">
        <v>0.0</v>
      </c>
      <c r="AR576" s="20">
        <v>0.0</v>
      </c>
      <c r="AS576" s="20">
        <v>0.0</v>
      </c>
      <c r="AT576" s="2">
        <f t="shared" ref="AT576:AT577" si="72">AVERAGE(L576:AN576)</f>
        <v>0.02015162069</v>
      </c>
      <c r="AU576" s="12">
        <f t="shared" si="69"/>
        <v>0.02015162069</v>
      </c>
      <c r="AV576" s="14"/>
      <c r="AW576" s="15"/>
      <c r="AX576" s="15"/>
    </row>
    <row r="577" ht="15.75" customHeight="1">
      <c r="A577" s="7">
        <v>240125.0</v>
      </c>
      <c r="B577" s="7">
        <v>74.0</v>
      </c>
      <c r="C577" s="7">
        <v>1.0</v>
      </c>
      <c r="D577" s="8" t="s">
        <v>296</v>
      </c>
      <c r="E577" s="7">
        <v>14.0</v>
      </c>
      <c r="F577" s="8" t="s">
        <v>48</v>
      </c>
      <c r="G577" s="8" t="s">
        <v>67</v>
      </c>
      <c r="H577" s="8" t="s">
        <v>63</v>
      </c>
      <c r="I577" s="22" t="s">
        <v>185</v>
      </c>
      <c r="J577" s="22" t="s">
        <v>52</v>
      </c>
      <c r="K577" s="11" t="s">
        <v>53</v>
      </c>
      <c r="L577" s="18">
        <v>0.019871</v>
      </c>
      <c r="M577" s="18">
        <v>0.02127</v>
      </c>
      <c r="N577" s="18">
        <v>0.022347</v>
      </c>
      <c r="O577" s="18">
        <v>0.022201</v>
      </c>
      <c r="P577" s="18">
        <v>0.021666</v>
      </c>
      <c r="Q577" s="18">
        <v>0.020448</v>
      </c>
      <c r="R577" s="18">
        <v>0.019095</v>
      </c>
      <c r="S577" s="18">
        <v>0.019012</v>
      </c>
      <c r="T577" s="18">
        <v>0.019479</v>
      </c>
      <c r="U577" s="18">
        <v>0.019685</v>
      </c>
      <c r="V577" s="18">
        <v>0.019197</v>
      </c>
      <c r="W577" s="18">
        <v>0.018823</v>
      </c>
      <c r="X577" s="18">
        <v>0.019162</v>
      </c>
      <c r="Y577" s="18">
        <v>0.018996</v>
      </c>
      <c r="Z577" s="18">
        <v>0.017099</v>
      </c>
      <c r="AA577" s="18">
        <v>0.016223</v>
      </c>
      <c r="AB577" s="18">
        <v>0.016217</v>
      </c>
      <c r="AC577" s="18">
        <v>0.014626</v>
      </c>
      <c r="AD577" s="18">
        <v>0.01365</v>
      </c>
      <c r="AE577" s="18">
        <v>0.014185</v>
      </c>
      <c r="AF577" s="18">
        <v>0.014136</v>
      </c>
      <c r="AG577" s="18">
        <v>0.013344</v>
      </c>
      <c r="AH577" s="18">
        <v>0.012684</v>
      </c>
      <c r="AI577" s="18">
        <v>0.011359</v>
      </c>
      <c r="AJ577" s="18">
        <v>0.013198</v>
      </c>
      <c r="AK577" s="18">
        <v>0.01547</v>
      </c>
      <c r="AL577" s="18">
        <v>0.009919</v>
      </c>
      <c r="AM577" s="18">
        <v>0.003345</v>
      </c>
      <c r="AN577" s="18">
        <v>0.001034</v>
      </c>
      <c r="AO577" s="2">
        <v>0.0</v>
      </c>
      <c r="AP577" s="20">
        <v>0.0</v>
      </c>
      <c r="AQ577" s="20">
        <v>0.0</v>
      </c>
      <c r="AR577" s="20">
        <v>0.0</v>
      </c>
      <c r="AS577" s="20">
        <v>0.0</v>
      </c>
      <c r="AT577" s="2">
        <f t="shared" si="72"/>
        <v>0.016129</v>
      </c>
      <c r="AU577" s="12">
        <f t="shared" si="69"/>
        <v>0.016129</v>
      </c>
      <c r="AV577" s="14"/>
      <c r="AW577" s="15"/>
      <c r="AX577" s="15"/>
    </row>
    <row r="578" ht="15.75" customHeight="1">
      <c r="A578" s="7">
        <v>240205.0</v>
      </c>
      <c r="B578" s="7">
        <v>74.0</v>
      </c>
      <c r="C578" s="7">
        <v>1.0</v>
      </c>
      <c r="D578" s="8" t="s">
        <v>297</v>
      </c>
      <c r="E578" s="7">
        <v>14.0</v>
      </c>
      <c r="F578" s="8" t="s">
        <v>56</v>
      </c>
      <c r="G578" s="8" t="s">
        <v>67</v>
      </c>
      <c r="H578" s="8" t="s">
        <v>65</v>
      </c>
      <c r="I578" s="22" t="s">
        <v>185</v>
      </c>
      <c r="J578" s="22" t="s">
        <v>52</v>
      </c>
      <c r="K578" s="11" t="s">
        <v>57</v>
      </c>
      <c r="L578" s="18">
        <v>0.015814</v>
      </c>
      <c r="M578" s="18">
        <v>0.012694</v>
      </c>
      <c r="N578" s="18">
        <v>0.011084</v>
      </c>
      <c r="O578" s="18">
        <v>0.01183</v>
      </c>
      <c r="P578" s="18">
        <v>0.012526</v>
      </c>
      <c r="Q578" s="18">
        <v>0.012188</v>
      </c>
      <c r="R578" s="18">
        <v>0.011724</v>
      </c>
      <c r="S578" s="18">
        <v>0.010795</v>
      </c>
      <c r="T578" s="18">
        <v>0.010921</v>
      </c>
      <c r="U578" s="18">
        <v>0.012282</v>
      </c>
      <c r="V578" s="18">
        <v>0.012309</v>
      </c>
      <c r="W578" s="18">
        <v>0.011183</v>
      </c>
      <c r="X578" s="18">
        <v>0.010275</v>
      </c>
      <c r="Y578" s="18">
        <v>0.011288</v>
      </c>
      <c r="Z578" s="18">
        <v>0.01202</v>
      </c>
      <c r="AA578" s="18">
        <v>0.01173</v>
      </c>
      <c r="AB578" s="18">
        <v>0.010757</v>
      </c>
      <c r="AC578" s="18">
        <v>0.010649</v>
      </c>
      <c r="AD578" s="18">
        <v>0.01099</v>
      </c>
      <c r="AE578" s="18">
        <v>0.010017</v>
      </c>
      <c r="AF578" s="18">
        <v>0.009114</v>
      </c>
      <c r="AG578" s="18">
        <v>0.008025</v>
      </c>
      <c r="AH578" s="18">
        <v>0.008069</v>
      </c>
      <c r="AI578" s="18">
        <v>0.008042</v>
      </c>
      <c r="AJ578" s="18">
        <v>0.007445</v>
      </c>
      <c r="AK578" s="18">
        <v>0.006996</v>
      </c>
      <c r="AL578" s="18">
        <v>0.006148</v>
      </c>
      <c r="AM578" s="18">
        <v>0.005369</v>
      </c>
      <c r="AN578" s="18">
        <v>0.003477</v>
      </c>
      <c r="AO578" s="18">
        <v>4.25E-4</v>
      </c>
      <c r="AP578" s="20">
        <v>0.0</v>
      </c>
      <c r="AQ578" s="20">
        <v>0.0</v>
      </c>
      <c r="AR578" s="20">
        <v>0.0</v>
      </c>
      <c r="AS578" s="20">
        <v>0.0</v>
      </c>
      <c r="AT578" s="2">
        <f>AVERAGE(L578:AO578)</f>
        <v>0.009872866667</v>
      </c>
      <c r="AU578" s="12">
        <f t="shared" si="69"/>
        <v>0.009872866667</v>
      </c>
      <c r="AV578" s="14"/>
      <c r="AW578" s="15"/>
      <c r="AX578" s="15"/>
    </row>
    <row r="579" ht="15.75" customHeight="1">
      <c r="A579" s="7">
        <v>240205.0</v>
      </c>
      <c r="B579" s="7">
        <v>74.0</v>
      </c>
      <c r="C579" s="7">
        <v>1.0</v>
      </c>
      <c r="D579" s="8" t="s">
        <v>298</v>
      </c>
      <c r="E579" s="7">
        <v>14.0</v>
      </c>
      <c r="F579" s="8" t="s">
        <v>56</v>
      </c>
      <c r="G579" s="8" t="s">
        <v>67</v>
      </c>
      <c r="H579" s="8" t="s">
        <v>63</v>
      </c>
      <c r="I579" s="22" t="s">
        <v>185</v>
      </c>
      <c r="J579" s="22" t="s">
        <v>52</v>
      </c>
      <c r="K579" s="11" t="s">
        <v>57</v>
      </c>
      <c r="L579" s="18">
        <v>0.011468</v>
      </c>
      <c r="M579" s="18">
        <v>0.012303</v>
      </c>
      <c r="N579" s="18">
        <v>0.012387</v>
      </c>
      <c r="O579" s="18">
        <v>0.012668</v>
      </c>
      <c r="P579" s="18">
        <v>0.012295</v>
      </c>
      <c r="Q579" s="18">
        <v>0.011734</v>
      </c>
      <c r="R579" s="18">
        <v>0.012929</v>
      </c>
      <c r="S579" s="18">
        <v>0.012026</v>
      </c>
      <c r="T579" s="18">
        <v>0.010903</v>
      </c>
      <c r="U579" s="18">
        <v>0.011671</v>
      </c>
      <c r="V579" s="18">
        <v>0.011774</v>
      </c>
      <c r="W579" s="18">
        <v>0.011975</v>
      </c>
      <c r="X579" s="18">
        <v>0.012324</v>
      </c>
      <c r="Y579" s="18">
        <v>0.012025</v>
      </c>
      <c r="Z579" s="18">
        <v>0.010966</v>
      </c>
      <c r="AA579" s="18">
        <v>0.01023</v>
      </c>
      <c r="AB579" s="18">
        <v>0.011356</v>
      </c>
      <c r="AC579" s="18">
        <v>0.011498</v>
      </c>
      <c r="AD579" s="18">
        <v>0.009345</v>
      </c>
      <c r="AE579" s="18">
        <v>0.008146</v>
      </c>
      <c r="AF579" s="18">
        <v>0.007604</v>
      </c>
      <c r="AG579" s="18">
        <v>0.00746</v>
      </c>
      <c r="AH579" s="18">
        <v>0.006845</v>
      </c>
      <c r="AI579" s="18">
        <v>0.003893</v>
      </c>
      <c r="AJ579" s="18">
        <v>6.16E-4</v>
      </c>
      <c r="AK579" s="18">
        <v>0.001189</v>
      </c>
      <c r="AL579" s="18">
        <v>0.00988</v>
      </c>
      <c r="AM579" s="2">
        <v>0.0</v>
      </c>
      <c r="AN579" s="2">
        <v>0.0</v>
      </c>
      <c r="AO579" s="2">
        <v>0.0</v>
      </c>
      <c r="AP579" s="20">
        <v>0.0</v>
      </c>
      <c r="AQ579" s="20">
        <v>0.0</v>
      </c>
      <c r="AR579" s="20">
        <v>0.0</v>
      </c>
      <c r="AS579" s="20">
        <v>0.0</v>
      </c>
      <c r="AT579" s="2">
        <f t="shared" ref="AT579:AT580" si="73">AVERAGE(L579:AL579)</f>
        <v>0.009907777778</v>
      </c>
      <c r="AU579" s="12">
        <f t="shared" si="69"/>
        <v>0.009907777778</v>
      </c>
      <c r="AV579" s="14"/>
      <c r="AW579" s="15"/>
      <c r="AX579" s="15"/>
    </row>
    <row r="580" ht="15.75" customHeight="1">
      <c r="A580" s="7">
        <v>240205.0</v>
      </c>
      <c r="B580" s="7">
        <v>74.0</v>
      </c>
      <c r="C580" s="7">
        <v>1.0</v>
      </c>
      <c r="D580" s="8" t="s">
        <v>299</v>
      </c>
      <c r="E580" s="7">
        <v>14.0</v>
      </c>
      <c r="F580" s="8" t="s">
        <v>56</v>
      </c>
      <c r="G580" s="8" t="s">
        <v>67</v>
      </c>
      <c r="H580" s="8" t="s">
        <v>61</v>
      </c>
      <c r="I580" s="22" t="s">
        <v>185</v>
      </c>
      <c r="J580" s="22" t="s">
        <v>52</v>
      </c>
      <c r="K580" s="11" t="s">
        <v>57</v>
      </c>
      <c r="L580" s="18">
        <v>0.022077</v>
      </c>
      <c r="M580" s="18">
        <v>0.019509</v>
      </c>
      <c r="N580" s="18">
        <v>0.018167</v>
      </c>
      <c r="O580" s="18">
        <v>0.018541</v>
      </c>
      <c r="P580" s="18">
        <v>0.020447</v>
      </c>
      <c r="Q580" s="18">
        <v>0.020962</v>
      </c>
      <c r="R580" s="18">
        <v>0.020567</v>
      </c>
      <c r="S580" s="18">
        <v>0.022673</v>
      </c>
      <c r="T580" s="18">
        <v>0.023325</v>
      </c>
      <c r="U580" s="18">
        <v>0.021973</v>
      </c>
      <c r="V580" s="18">
        <v>0.021661</v>
      </c>
      <c r="W580" s="18">
        <v>0.019875</v>
      </c>
      <c r="X580" s="18">
        <v>0.017249</v>
      </c>
      <c r="Y580" s="18">
        <v>0.015137</v>
      </c>
      <c r="Z580" s="18">
        <v>0.01458</v>
      </c>
      <c r="AA580" s="18">
        <v>0.013755</v>
      </c>
      <c r="AB580" s="18">
        <v>0.010943</v>
      </c>
      <c r="AC580" s="18">
        <v>0.010869</v>
      </c>
      <c r="AD580" s="18">
        <v>0.011675</v>
      </c>
      <c r="AE580" s="18">
        <v>0.011952</v>
      </c>
      <c r="AF580" s="18">
        <v>0.012796</v>
      </c>
      <c r="AG580" s="18">
        <v>0.012126</v>
      </c>
      <c r="AH580" s="18">
        <v>0.012764</v>
      </c>
      <c r="AI580" s="18">
        <v>0.012852</v>
      </c>
      <c r="AJ580" s="18">
        <v>0.010142</v>
      </c>
      <c r="AK580" s="18">
        <v>0.005463</v>
      </c>
      <c r="AL580" s="18">
        <v>7.72E-4</v>
      </c>
      <c r="AM580" s="18">
        <v>0.0</v>
      </c>
      <c r="AN580" s="2">
        <v>0.0</v>
      </c>
      <c r="AO580" s="2">
        <v>0.0</v>
      </c>
      <c r="AP580" s="20">
        <v>0.0</v>
      </c>
      <c r="AQ580" s="20">
        <v>0.0</v>
      </c>
      <c r="AR580" s="20">
        <v>0.0</v>
      </c>
      <c r="AS580" s="20">
        <v>0.0</v>
      </c>
      <c r="AT580" s="2">
        <f t="shared" si="73"/>
        <v>0.01566118519</v>
      </c>
      <c r="AU580" s="12">
        <f t="shared" si="69"/>
        <v>0.01566118519</v>
      </c>
      <c r="AV580" s="14"/>
      <c r="AW580" s="15"/>
      <c r="AX580" s="15"/>
    </row>
    <row r="581" ht="15.75" customHeight="1">
      <c r="A581" s="7">
        <v>240205.0</v>
      </c>
      <c r="B581" s="7">
        <v>74.0</v>
      </c>
      <c r="C581" s="7">
        <v>1.0</v>
      </c>
      <c r="D581" s="8" t="s">
        <v>300</v>
      </c>
      <c r="E581" s="7">
        <v>14.0</v>
      </c>
      <c r="F581" s="8" t="s">
        <v>56</v>
      </c>
      <c r="G581" s="8" t="s">
        <v>67</v>
      </c>
      <c r="H581" s="8" t="s">
        <v>50</v>
      </c>
      <c r="I581" s="22" t="s">
        <v>185</v>
      </c>
      <c r="J581" s="22" t="s">
        <v>52</v>
      </c>
      <c r="K581" s="11" t="s">
        <v>57</v>
      </c>
      <c r="L581" s="18">
        <v>0.014111</v>
      </c>
      <c r="M581" s="18">
        <v>0.014485</v>
      </c>
      <c r="N581" s="18">
        <v>0.013176</v>
      </c>
      <c r="O581" s="18">
        <v>0.014384</v>
      </c>
      <c r="P581" s="18">
        <v>0.015999</v>
      </c>
      <c r="Q581" s="18">
        <v>0.01545</v>
      </c>
      <c r="R581" s="18">
        <v>0.015829</v>
      </c>
      <c r="S581" s="18">
        <v>0.016283</v>
      </c>
      <c r="T581" s="18">
        <v>0.015221</v>
      </c>
      <c r="U581" s="18">
        <v>0.015452</v>
      </c>
      <c r="V581" s="18">
        <v>0.0159</v>
      </c>
      <c r="W581" s="18">
        <v>0.015118</v>
      </c>
      <c r="X581" s="18">
        <v>0.014541</v>
      </c>
      <c r="Y581" s="18">
        <v>0.013717</v>
      </c>
      <c r="Z581" s="18">
        <v>0.014488</v>
      </c>
      <c r="AA581" s="18">
        <v>0.014422</v>
      </c>
      <c r="AB581" s="18">
        <v>0.012714</v>
      </c>
      <c r="AC581" s="18">
        <v>0.011331</v>
      </c>
      <c r="AD581" s="18">
        <v>0.008328</v>
      </c>
      <c r="AE581" s="18">
        <v>0.007096</v>
      </c>
      <c r="AF581" s="18">
        <v>0.007953</v>
      </c>
      <c r="AG581" s="18">
        <v>0.008153</v>
      </c>
      <c r="AH581" s="18">
        <v>0.008118</v>
      </c>
      <c r="AI581" s="18">
        <v>0.009359</v>
      </c>
      <c r="AJ581" s="18">
        <v>0.010896</v>
      </c>
      <c r="AK581" s="18">
        <v>0.007995</v>
      </c>
      <c r="AL581" s="18">
        <v>0.003283</v>
      </c>
      <c r="AM581" s="18">
        <v>0.001522</v>
      </c>
      <c r="AN581" s="18">
        <v>0.005515</v>
      </c>
      <c r="AO581" s="18">
        <v>0.042105</v>
      </c>
      <c r="AP581" s="3">
        <v>0.0</v>
      </c>
      <c r="AQ581" s="3">
        <v>0.0</v>
      </c>
      <c r="AR581" s="3">
        <v>0.0</v>
      </c>
      <c r="AS581" s="3">
        <v>0.0</v>
      </c>
      <c r="AT581" s="2">
        <f>AVERAGE(L581:AO581)</f>
        <v>0.0127648</v>
      </c>
      <c r="AU581" s="12">
        <f t="shared" si="69"/>
        <v>0.0127648</v>
      </c>
      <c r="AV581" s="14"/>
      <c r="AW581" s="15"/>
      <c r="AX581" s="15"/>
    </row>
    <row r="582" ht="15.75" customHeight="1">
      <c r="A582" s="7">
        <v>240207.0</v>
      </c>
      <c r="B582" s="7">
        <v>74.0</v>
      </c>
      <c r="C582" s="7">
        <v>1.0</v>
      </c>
      <c r="D582" s="8" t="s">
        <v>301</v>
      </c>
      <c r="E582" s="7">
        <v>14.0</v>
      </c>
      <c r="F582" s="8" t="s">
        <v>48</v>
      </c>
      <c r="G582" s="8" t="s">
        <v>49</v>
      </c>
      <c r="H582" s="8" t="s">
        <v>50</v>
      </c>
      <c r="I582" s="22" t="s">
        <v>185</v>
      </c>
      <c r="J582" s="22" t="s">
        <v>52</v>
      </c>
      <c r="K582" s="11" t="s">
        <v>53</v>
      </c>
      <c r="L582" s="18">
        <v>0.02417</v>
      </c>
      <c r="M582" s="18">
        <v>0.023909</v>
      </c>
      <c r="N582" s="18">
        <v>0.023472</v>
      </c>
      <c r="O582" s="18">
        <v>0.024231</v>
      </c>
      <c r="P582" s="18">
        <v>0.025108</v>
      </c>
      <c r="Q582" s="18">
        <v>0.024681</v>
      </c>
      <c r="R582" s="18">
        <v>0.025382</v>
      </c>
      <c r="S582" s="18">
        <v>0.025599</v>
      </c>
      <c r="T582" s="18">
        <v>0.024678</v>
      </c>
      <c r="U582" s="18">
        <v>0.023343</v>
      </c>
      <c r="V582" s="18">
        <v>0.022686</v>
      </c>
      <c r="W582" s="18">
        <v>0.024762</v>
      </c>
      <c r="X582" s="18">
        <v>0.024977</v>
      </c>
      <c r="Y582" s="18">
        <v>0.024323</v>
      </c>
      <c r="Z582" s="18">
        <v>0.024167</v>
      </c>
      <c r="AA582" s="18">
        <v>0.023219</v>
      </c>
      <c r="AB582" s="18">
        <v>0.022397</v>
      </c>
      <c r="AC582" s="18">
        <v>0.021578</v>
      </c>
      <c r="AD582" s="18">
        <v>0.021293</v>
      </c>
      <c r="AE582" s="18">
        <v>0.020067</v>
      </c>
      <c r="AF582" s="18">
        <v>0.01978</v>
      </c>
      <c r="AG582" s="18">
        <v>0.021123</v>
      </c>
      <c r="AH582" s="18">
        <v>0.02097</v>
      </c>
      <c r="AI582" s="18">
        <v>0.019904</v>
      </c>
      <c r="AJ582" s="18">
        <v>0.019805</v>
      </c>
      <c r="AK582" s="18">
        <v>0.019633</v>
      </c>
      <c r="AL582" s="18">
        <v>0.018646</v>
      </c>
      <c r="AM582" s="18">
        <v>0.020021</v>
      </c>
      <c r="AN582" s="18">
        <v>0.059989</v>
      </c>
      <c r="AO582" s="2">
        <v>0.0</v>
      </c>
      <c r="AP582" s="20">
        <v>0.0</v>
      </c>
      <c r="AQ582" s="20">
        <v>0.0</v>
      </c>
      <c r="AR582" s="20">
        <v>0.0</v>
      </c>
      <c r="AS582" s="20">
        <v>0.0</v>
      </c>
      <c r="AT582" s="2">
        <f>AVERAGE(L582:AN582)</f>
        <v>0.02392803448</v>
      </c>
      <c r="AU582" s="12">
        <f t="shared" si="69"/>
        <v>0.02392803448</v>
      </c>
      <c r="AV582" s="14"/>
      <c r="AW582" s="15"/>
      <c r="AX582" s="15"/>
    </row>
    <row r="583" ht="15.75" customHeight="1">
      <c r="A583" s="7">
        <v>240207.0</v>
      </c>
      <c r="B583" s="7">
        <v>74.0</v>
      </c>
      <c r="C583" s="7">
        <v>1.0</v>
      </c>
      <c r="D583" s="8" t="s">
        <v>302</v>
      </c>
      <c r="E583" s="7">
        <v>14.0</v>
      </c>
      <c r="F583" s="8" t="s">
        <v>48</v>
      </c>
      <c r="G583" s="8" t="s">
        <v>49</v>
      </c>
      <c r="H583" s="8" t="s">
        <v>63</v>
      </c>
      <c r="I583" s="22" t="s">
        <v>185</v>
      </c>
      <c r="J583" s="22" t="s">
        <v>52</v>
      </c>
      <c r="K583" s="11" t="s">
        <v>53</v>
      </c>
      <c r="L583" s="18">
        <v>0.021697</v>
      </c>
      <c r="M583" s="18">
        <v>0.020519</v>
      </c>
      <c r="N583" s="18">
        <v>0.019718</v>
      </c>
      <c r="O583" s="18">
        <v>0.019659</v>
      </c>
      <c r="P583" s="18">
        <v>0.021341</v>
      </c>
      <c r="Q583" s="18">
        <v>0.021399</v>
      </c>
      <c r="R583" s="18">
        <v>0.020797</v>
      </c>
      <c r="S583" s="18">
        <v>0.020788</v>
      </c>
      <c r="T583" s="18">
        <v>0.019956</v>
      </c>
      <c r="U583" s="18">
        <v>0.01939</v>
      </c>
      <c r="V583" s="18">
        <v>0.018085</v>
      </c>
      <c r="W583" s="18">
        <v>0.016136</v>
      </c>
      <c r="X583" s="18">
        <v>0.016872</v>
      </c>
      <c r="Y583" s="18">
        <v>0.017292</v>
      </c>
      <c r="Z583" s="18">
        <v>0.015744</v>
      </c>
      <c r="AA583" s="18">
        <v>0.015955</v>
      </c>
      <c r="AB583" s="18">
        <v>0.015402</v>
      </c>
      <c r="AC583" s="18">
        <v>0.014071</v>
      </c>
      <c r="AD583" s="18">
        <v>0.015743</v>
      </c>
      <c r="AE583" s="18">
        <v>0.018042</v>
      </c>
      <c r="AF583" s="18">
        <v>0.016587</v>
      </c>
      <c r="AG583" s="18">
        <v>0.013174</v>
      </c>
      <c r="AH583" s="18">
        <v>0.013871</v>
      </c>
      <c r="AI583" s="18">
        <v>0.016206</v>
      </c>
      <c r="AJ583" s="18">
        <v>0.012265</v>
      </c>
      <c r="AK583" s="18">
        <v>0.004026</v>
      </c>
      <c r="AL583" s="18">
        <v>0.020833</v>
      </c>
      <c r="AM583" s="2">
        <v>0.0</v>
      </c>
      <c r="AN583" s="2">
        <v>0.0</v>
      </c>
      <c r="AO583" s="2">
        <v>0.0</v>
      </c>
      <c r="AP583" s="20">
        <v>0.0</v>
      </c>
      <c r="AQ583" s="20">
        <v>0.0</v>
      </c>
      <c r="AR583" s="20">
        <v>0.0</v>
      </c>
      <c r="AS583" s="20">
        <v>0.0</v>
      </c>
      <c r="AT583" s="2">
        <f>AVERAGE(L583:AL583)</f>
        <v>0.01724325926</v>
      </c>
      <c r="AU583" s="12">
        <f t="shared" si="69"/>
        <v>0.01724325926</v>
      </c>
      <c r="AV583" s="14"/>
      <c r="AW583" s="15"/>
      <c r="AX583" s="15"/>
    </row>
    <row r="584" ht="15.75" customHeight="1">
      <c r="A584" s="7">
        <v>240207.0</v>
      </c>
      <c r="B584" s="7">
        <v>74.0</v>
      </c>
      <c r="C584" s="7">
        <v>1.0</v>
      </c>
      <c r="D584" s="8" t="s">
        <v>303</v>
      </c>
      <c r="E584" s="7">
        <v>14.0</v>
      </c>
      <c r="F584" s="8" t="s">
        <v>48</v>
      </c>
      <c r="G584" s="8" t="s">
        <v>49</v>
      </c>
      <c r="H584" s="8" t="s">
        <v>65</v>
      </c>
      <c r="I584" s="22" t="s">
        <v>185</v>
      </c>
      <c r="J584" s="22" t="s">
        <v>52</v>
      </c>
      <c r="K584" s="11" t="s">
        <v>53</v>
      </c>
      <c r="L584" s="18">
        <v>0.025858</v>
      </c>
      <c r="M584" s="18">
        <v>0.025264</v>
      </c>
      <c r="N584" s="18">
        <v>0.025067</v>
      </c>
      <c r="O584" s="18">
        <v>0.025387</v>
      </c>
      <c r="P584" s="18">
        <v>0.024363</v>
      </c>
      <c r="Q584" s="18">
        <v>0.023903</v>
      </c>
      <c r="R584" s="18">
        <v>0.024534</v>
      </c>
      <c r="S584" s="18">
        <v>0.024325</v>
      </c>
      <c r="T584" s="18">
        <v>0.02368</v>
      </c>
      <c r="U584" s="18">
        <v>0.023596</v>
      </c>
      <c r="V584" s="18">
        <v>0.023471</v>
      </c>
      <c r="W584" s="18">
        <v>0.021602</v>
      </c>
      <c r="X584" s="18">
        <v>0.020825</v>
      </c>
      <c r="Y584" s="18">
        <v>0.020642</v>
      </c>
      <c r="Z584" s="18">
        <v>0.0194</v>
      </c>
      <c r="AA584" s="18">
        <v>0.018368</v>
      </c>
      <c r="AB584" s="18">
        <v>0.015987</v>
      </c>
      <c r="AC584" s="18">
        <v>0.01669</v>
      </c>
      <c r="AD584" s="18">
        <v>0.018818</v>
      </c>
      <c r="AE584" s="18">
        <v>0.018143</v>
      </c>
      <c r="AF584" s="18">
        <v>0.016957</v>
      </c>
      <c r="AG584" s="18">
        <v>0.017603</v>
      </c>
      <c r="AH584" s="18">
        <v>0.016617</v>
      </c>
      <c r="AI584" s="18">
        <v>0.011803</v>
      </c>
      <c r="AJ584" s="18">
        <v>0.011781</v>
      </c>
      <c r="AK584" s="18">
        <v>0.015812</v>
      </c>
      <c r="AL584" s="18">
        <v>0.016689</v>
      </c>
      <c r="AM584" s="18">
        <v>0.014844</v>
      </c>
      <c r="AN584" s="18">
        <v>0.014131</v>
      </c>
      <c r="AO584" s="18">
        <v>0.0</v>
      </c>
      <c r="AP584" s="20">
        <v>0.0</v>
      </c>
      <c r="AQ584" s="20">
        <v>0.0</v>
      </c>
      <c r="AR584" s="20">
        <v>0.0</v>
      </c>
      <c r="AS584" s="20">
        <v>0.0</v>
      </c>
      <c r="AT584" s="2">
        <f>AVERAGE(L584:AN584)</f>
        <v>0.01986758621</v>
      </c>
      <c r="AU584" s="12">
        <f t="shared" si="69"/>
        <v>0.01986758621</v>
      </c>
      <c r="AV584" s="14"/>
      <c r="AW584" s="15"/>
      <c r="AX584" s="15"/>
    </row>
    <row r="585" ht="15.75" customHeight="1">
      <c r="A585" s="7">
        <v>240207.0</v>
      </c>
      <c r="B585" s="7">
        <v>74.0</v>
      </c>
      <c r="C585" s="7">
        <v>1.0</v>
      </c>
      <c r="D585" s="8" t="s">
        <v>304</v>
      </c>
      <c r="E585" s="7">
        <v>14.0</v>
      </c>
      <c r="F585" s="8" t="s">
        <v>48</v>
      </c>
      <c r="G585" s="8" t="s">
        <v>49</v>
      </c>
      <c r="H585" s="8" t="s">
        <v>61</v>
      </c>
      <c r="I585" s="22" t="s">
        <v>185</v>
      </c>
      <c r="J585" s="22" t="s">
        <v>52</v>
      </c>
      <c r="K585" s="11" t="s">
        <v>53</v>
      </c>
      <c r="L585" s="18">
        <v>0.021711</v>
      </c>
      <c r="M585" s="18">
        <v>0.019651</v>
      </c>
      <c r="N585" s="18">
        <v>0.019759</v>
      </c>
      <c r="O585" s="18">
        <v>0.0207</v>
      </c>
      <c r="P585" s="18">
        <v>0.020506</v>
      </c>
      <c r="Q585" s="18">
        <v>0.02088</v>
      </c>
      <c r="R585" s="18">
        <v>0.021076</v>
      </c>
      <c r="S585" s="18">
        <v>0.020193</v>
      </c>
      <c r="T585" s="18">
        <v>0.020521</v>
      </c>
      <c r="U585" s="18">
        <v>0.021038</v>
      </c>
      <c r="V585" s="18">
        <v>0.020626</v>
      </c>
      <c r="W585" s="18">
        <v>0.020315</v>
      </c>
      <c r="X585" s="18">
        <v>0.020221</v>
      </c>
      <c r="Y585" s="18">
        <v>0.019609</v>
      </c>
      <c r="Z585" s="18">
        <v>0.01995</v>
      </c>
      <c r="AA585" s="18">
        <v>0.020374</v>
      </c>
      <c r="AB585" s="18">
        <v>0.019847</v>
      </c>
      <c r="AC585" s="18">
        <v>0.019277</v>
      </c>
      <c r="AD585" s="18">
        <v>0.017518</v>
      </c>
      <c r="AE585" s="18">
        <v>0.016482</v>
      </c>
      <c r="AF585" s="18">
        <v>0.017187</v>
      </c>
      <c r="AG585" s="18">
        <v>0.01687</v>
      </c>
      <c r="AH585" s="18">
        <v>0.01439</v>
      </c>
      <c r="AI585" s="18">
        <v>0.015199</v>
      </c>
      <c r="AJ585" s="18">
        <v>0.017135</v>
      </c>
      <c r="AK585" s="18">
        <v>0.013437</v>
      </c>
      <c r="AL585" s="18">
        <v>0.008525</v>
      </c>
      <c r="AM585" s="18">
        <v>0.010472</v>
      </c>
      <c r="AN585" s="2">
        <v>0.0</v>
      </c>
      <c r="AO585" s="2">
        <v>0.0</v>
      </c>
      <c r="AP585" s="20">
        <v>0.0</v>
      </c>
      <c r="AQ585" s="20">
        <v>0.0</v>
      </c>
      <c r="AR585" s="20">
        <v>0.0</v>
      </c>
      <c r="AS585" s="20">
        <v>0.0</v>
      </c>
      <c r="AT585" s="2">
        <f>AVERAGE(L585:AM585)</f>
        <v>0.01833817857</v>
      </c>
      <c r="AU585" s="12">
        <f t="shared" si="69"/>
        <v>0.01833817857</v>
      </c>
      <c r="AV585" s="14"/>
      <c r="AW585" s="15"/>
      <c r="AX585" s="15"/>
    </row>
    <row r="586" ht="15.75" customHeight="1">
      <c r="A586" s="7">
        <v>240425.0</v>
      </c>
      <c r="B586" s="7">
        <v>74.0</v>
      </c>
      <c r="C586" s="7">
        <v>1.0</v>
      </c>
      <c r="D586" s="8" t="s">
        <v>305</v>
      </c>
      <c r="E586" s="7">
        <v>14.0</v>
      </c>
      <c r="F586" s="8" t="s">
        <v>56</v>
      </c>
      <c r="G586" s="8" t="s">
        <v>49</v>
      </c>
      <c r="H586" s="8" t="s">
        <v>61</v>
      </c>
      <c r="I586" s="22" t="s">
        <v>185</v>
      </c>
      <c r="J586" s="22" t="s">
        <v>52</v>
      </c>
      <c r="K586" s="11" t="s">
        <v>57</v>
      </c>
      <c r="L586" s="18">
        <v>0.026692</v>
      </c>
      <c r="M586" s="18">
        <v>0.026016</v>
      </c>
      <c r="N586" s="18">
        <v>0.025306</v>
      </c>
      <c r="O586" s="18">
        <v>0.02373</v>
      </c>
      <c r="P586" s="18">
        <v>0.022457</v>
      </c>
      <c r="Q586" s="18">
        <v>0.022445</v>
      </c>
      <c r="R586" s="18">
        <v>0.022488</v>
      </c>
      <c r="S586" s="18">
        <v>0.022351</v>
      </c>
      <c r="T586" s="18">
        <v>0.020888</v>
      </c>
      <c r="U586" s="18">
        <v>0.019152</v>
      </c>
      <c r="V586" s="18">
        <v>0.019286</v>
      </c>
      <c r="W586" s="18">
        <v>0.019497</v>
      </c>
      <c r="X586" s="18">
        <v>0.019802</v>
      </c>
      <c r="Y586" s="18">
        <v>0.020617</v>
      </c>
      <c r="Z586" s="18">
        <v>0.019161</v>
      </c>
      <c r="AA586" s="18">
        <v>0.017718</v>
      </c>
      <c r="AB586" s="18">
        <v>0.017783</v>
      </c>
      <c r="AC586" s="18">
        <v>0.017662</v>
      </c>
      <c r="AD586" s="18">
        <v>0.016951</v>
      </c>
      <c r="AE586" s="18">
        <v>0.017715</v>
      </c>
      <c r="AF586" s="18">
        <v>0.01696</v>
      </c>
      <c r="AG586" s="18">
        <v>0.012898</v>
      </c>
      <c r="AH586" s="18">
        <v>0.012267</v>
      </c>
      <c r="AI586" s="18">
        <v>0.015106</v>
      </c>
      <c r="AJ586" s="18">
        <v>0.013598</v>
      </c>
      <c r="AK586" s="18">
        <v>0.008814</v>
      </c>
      <c r="AL586" s="18">
        <v>0.006985</v>
      </c>
      <c r="AM586" s="2">
        <v>0.0</v>
      </c>
      <c r="AN586" s="2">
        <v>0.0</v>
      </c>
      <c r="AO586" s="2">
        <v>0.0</v>
      </c>
      <c r="AP586" s="20">
        <v>0.0</v>
      </c>
      <c r="AQ586" s="20">
        <v>0.0</v>
      </c>
      <c r="AR586" s="20">
        <v>0.0</v>
      </c>
      <c r="AS586" s="20">
        <v>0.0</v>
      </c>
      <c r="AT586" s="2">
        <f>AVERAGE(L586:AL586)</f>
        <v>0.01867944444</v>
      </c>
      <c r="AU586" s="12">
        <f t="shared" si="69"/>
        <v>0.01867944444</v>
      </c>
      <c r="AV586" s="14"/>
      <c r="AW586" s="15"/>
      <c r="AX586" s="15"/>
    </row>
    <row r="587" ht="15.75" customHeight="1">
      <c r="A587" s="7">
        <v>240425.0</v>
      </c>
      <c r="B587" s="7">
        <v>74.0</v>
      </c>
      <c r="C587" s="7">
        <v>1.0</v>
      </c>
      <c r="D587" s="8" t="s">
        <v>306</v>
      </c>
      <c r="E587" s="7">
        <v>14.0</v>
      </c>
      <c r="F587" s="8" t="s">
        <v>56</v>
      </c>
      <c r="G587" s="8" t="s">
        <v>49</v>
      </c>
      <c r="H587" s="8" t="s">
        <v>50</v>
      </c>
      <c r="I587" s="22" t="s">
        <v>185</v>
      </c>
      <c r="J587" s="22" t="s">
        <v>52</v>
      </c>
      <c r="K587" s="11" t="s">
        <v>57</v>
      </c>
      <c r="L587" s="18">
        <v>0.021913</v>
      </c>
      <c r="M587" s="18">
        <v>0.024387</v>
      </c>
      <c r="N587" s="18">
        <v>0.022458</v>
      </c>
      <c r="O587" s="18">
        <v>0.020831</v>
      </c>
      <c r="P587" s="18">
        <v>0.021164</v>
      </c>
      <c r="Q587" s="18">
        <v>0.021321</v>
      </c>
      <c r="R587" s="18">
        <v>0.020965</v>
      </c>
      <c r="S587" s="18">
        <v>0.021437</v>
      </c>
      <c r="T587" s="18">
        <v>0.021084</v>
      </c>
      <c r="U587" s="18">
        <v>0.019039</v>
      </c>
      <c r="V587" s="18">
        <v>0.020136</v>
      </c>
      <c r="W587" s="18">
        <v>0.020126</v>
      </c>
      <c r="X587" s="18">
        <v>0.02077</v>
      </c>
      <c r="Y587" s="18">
        <v>0.020048</v>
      </c>
      <c r="Z587" s="18">
        <v>0.017341</v>
      </c>
      <c r="AA587" s="18">
        <v>0.017532</v>
      </c>
      <c r="AB587" s="18">
        <v>0.017557</v>
      </c>
      <c r="AC587" s="18">
        <v>0.017519</v>
      </c>
      <c r="AD587" s="18">
        <v>0.016913</v>
      </c>
      <c r="AE587" s="18">
        <v>0.015555</v>
      </c>
      <c r="AF587" s="18">
        <v>0.014495</v>
      </c>
      <c r="AG587" s="18">
        <v>0.013713</v>
      </c>
      <c r="AH587" s="18">
        <v>0.013061</v>
      </c>
      <c r="AI587" s="18">
        <v>0.013201</v>
      </c>
      <c r="AJ587" s="18">
        <v>0.012245</v>
      </c>
      <c r="AK587" s="18">
        <v>0.007538</v>
      </c>
      <c r="AL587" s="18">
        <v>0.003243</v>
      </c>
      <c r="AM587" s="18">
        <v>0.012837</v>
      </c>
      <c r="AN587" s="2">
        <v>0.0</v>
      </c>
      <c r="AO587" s="2">
        <v>0.0</v>
      </c>
      <c r="AP587" s="20">
        <v>0.0</v>
      </c>
      <c r="AQ587" s="20">
        <v>0.0</v>
      </c>
      <c r="AR587" s="20">
        <v>0.0</v>
      </c>
      <c r="AS587" s="20">
        <v>0.0</v>
      </c>
      <c r="AT587" s="2">
        <f>AVERAGE(L587:AM587)</f>
        <v>0.01744389286</v>
      </c>
      <c r="AU587" s="12">
        <f t="shared" si="69"/>
        <v>0.01744389286</v>
      </c>
      <c r="AV587" s="14"/>
      <c r="AW587" s="15"/>
      <c r="AX587" s="15"/>
    </row>
    <row r="588" ht="15.75" customHeight="1">
      <c r="A588" s="7">
        <v>240425.0</v>
      </c>
      <c r="B588" s="7">
        <v>74.0</v>
      </c>
      <c r="C588" s="7">
        <v>1.0</v>
      </c>
      <c r="D588" s="8" t="s">
        <v>307</v>
      </c>
      <c r="E588" s="7">
        <v>14.0</v>
      </c>
      <c r="F588" s="8" t="s">
        <v>56</v>
      </c>
      <c r="G588" s="8" t="s">
        <v>49</v>
      </c>
      <c r="H588" s="8" t="s">
        <v>63</v>
      </c>
      <c r="I588" s="22" t="s">
        <v>185</v>
      </c>
      <c r="J588" s="22" t="s">
        <v>52</v>
      </c>
      <c r="K588" s="11" t="s">
        <v>57</v>
      </c>
      <c r="L588" s="18">
        <v>0.022281</v>
      </c>
      <c r="M588" s="18">
        <v>0.021863</v>
      </c>
      <c r="N588" s="18">
        <v>0.02263</v>
      </c>
      <c r="O588" s="18">
        <v>0.021278</v>
      </c>
      <c r="P588" s="18">
        <v>0.020345</v>
      </c>
      <c r="Q588" s="18">
        <v>0.021265</v>
      </c>
      <c r="R588" s="18">
        <v>0.020583</v>
      </c>
      <c r="S588" s="18">
        <v>0.02072</v>
      </c>
      <c r="T588" s="18">
        <v>0.019678</v>
      </c>
      <c r="U588" s="18">
        <v>0.017108</v>
      </c>
      <c r="V588" s="18">
        <v>0.01831</v>
      </c>
      <c r="W588" s="18">
        <v>0.017768</v>
      </c>
      <c r="X588" s="18">
        <v>0.013456</v>
      </c>
      <c r="Y588" s="18">
        <v>0.01124</v>
      </c>
      <c r="Z588" s="18">
        <v>0.013456</v>
      </c>
      <c r="AA588" s="18">
        <v>0.014517</v>
      </c>
      <c r="AB588" s="18">
        <v>0.012746</v>
      </c>
      <c r="AC588" s="18">
        <v>0.010977</v>
      </c>
      <c r="AD588" s="18">
        <v>0.009786</v>
      </c>
      <c r="AE588" s="18">
        <v>0.011059</v>
      </c>
      <c r="AF588" s="18">
        <v>0.012669</v>
      </c>
      <c r="AG588" s="18">
        <v>0.013793</v>
      </c>
      <c r="AH588" s="18">
        <v>0.014242</v>
      </c>
      <c r="AI588" s="18">
        <v>0.013354</v>
      </c>
      <c r="AJ588" s="18">
        <v>0.008156</v>
      </c>
      <c r="AK588" s="18">
        <v>0.002552</v>
      </c>
      <c r="AL588" s="18">
        <v>7.15E-4</v>
      </c>
      <c r="AM588" s="2">
        <v>0.0</v>
      </c>
      <c r="AN588" s="2">
        <v>0.0</v>
      </c>
      <c r="AO588" s="2">
        <v>0.0</v>
      </c>
      <c r="AP588" s="20">
        <v>0.0</v>
      </c>
      <c r="AQ588" s="20">
        <v>0.0</v>
      </c>
      <c r="AR588" s="20">
        <v>0.0</v>
      </c>
      <c r="AS588" s="20">
        <v>0.0</v>
      </c>
      <c r="AT588" s="2">
        <f>AVERAGE(L588:AL588)</f>
        <v>0.0150572963</v>
      </c>
      <c r="AU588" s="12">
        <f t="shared" si="69"/>
        <v>0.0150572963</v>
      </c>
      <c r="AV588" s="14"/>
      <c r="AW588" s="15"/>
      <c r="AX588" s="15"/>
    </row>
    <row r="589" ht="15.75" customHeight="1">
      <c r="A589" s="7">
        <v>240425.0</v>
      </c>
      <c r="B589" s="7">
        <v>74.0</v>
      </c>
      <c r="C589" s="7">
        <v>1.0</v>
      </c>
      <c r="D589" s="8" t="s">
        <v>308</v>
      </c>
      <c r="E589" s="7">
        <v>14.0</v>
      </c>
      <c r="F589" s="8" t="s">
        <v>56</v>
      </c>
      <c r="G589" s="8" t="s">
        <v>49</v>
      </c>
      <c r="H589" s="8" t="s">
        <v>65</v>
      </c>
      <c r="I589" s="22" t="s">
        <v>185</v>
      </c>
      <c r="J589" s="22" t="s">
        <v>52</v>
      </c>
      <c r="K589" s="11" t="s">
        <v>57</v>
      </c>
      <c r="L589" s="18">
        <v>0.022793</v>
      </c>
      <c r="M589" s="18">
        <v>0.020565</v>
      </c>
      <c r="N589" s="18">
        <v>0.020994</v>
      </c>
      <c r="O589" s="18">
        <v>0.022766</v>
      </c>
      <c r="P589" s="18">
        <v>0.022034</v>
      </c>
      <c r="Q589" s="18">
        <v>0.021508</v>
      </c>
      <c r="R589" s="18">
        <v>0.021792</v>
      </c>
      <c r="S589" s="18">
        <v>0.020791</v>
      </c>
      <c r="T589" s="18">
        <v>0.020128</v>
      </c>
      <c r="U589" s="18">
        <v>0.020528</v>
      </c>
      <c r="V589" s="18">
        <v>0.020759</v>
      </c>
      <c r="W589" s="18">
        <v>0.020906</v>
      </c>
      <c r="X589" s="18">
        <v>0.020081</v>
      </c>
      <c r="Y589" s="18">
        <v>0.018805</v>
      </c>
      <c r="Z589" s="18">
        <v>0.018961</v>
      </c>
      <c r="AA589" s="18">
        <v>0.018348</v>
      </c>
      <c r="AB589" s="18">
        <v>0.016655</v>
      </c>
      <c r="AC589" s="18">
        <v>0.016879</v>
      </c>
      <c r="AD589" s="18">
        <v>0.01513</v>
      </c>
      <c r="AE589" s="18">
        <v>0.013566</v>
      </c>
      <c r="AF589" s="18">
        <v>0.012844</v>
      </c>
      <c r="AG589" s="18">
        <v>0.012026</v>
      </c>
      <c r="AH589" s="18">
        <v>0.012996</v>
      </c>
      <c r="AI589" s="18">
        <v>0.013137</v>
      </c>
      <c r="AJ589" s="18">
        <v>0.012092</v>
      </c>
      <c r="AK589" s="18">
        <v>0.013689</v>
      </c>
      <c r="AL589" s="18">
        <v>0.015518</v>
      </c>
      <c r="AM589" s="18">
        <v>0.010145</v>
      </c>
      <c r="AN589" s="18">
        <v>0.002994</v>
      </c>
      <c r="AO589" s="18">
        <v>0.0</v>
      </c>
      <c r="AP589" s="20">
        <v>0.0</v>
      </c>
      <c r="AQ589" s="20">
        <v>0.0</v>
      </c>
      <c r="AR589" s="20">
        <v>0.0</v>
      </c>
      <c r="AS589" s="20">
        <v>0.0</v>
      </c>
      <c r="AT589" s="2">
        <f>AVERAGE(L589:AN589)</f>
        <v>0.01722172414</v>
      </c>
      <c r="AU589" s="12">
        <f t="shared" si="69"/>
        <v>0.01722172414</v>
      </c>
      <c r="AV589" s="14"/>
      <c r="AW589" s="15"/>
      <c r="AX589" s="15"/>
    </row>
    <row r="590" ht="15.75" customHeight="1">
      <c r="A590" s="7">
        <v>240515.0</v>
      </c>
      <c r="B590" s="7">
        <v>80.0</v>
      </c>
      <c r="C590" s="7">
        <v>2.0</v>
      </c>
      <c r="D590" s="8" t="s">
        <v>309</v>
      </c>
      <c r="E590" s="7">
        <v>14.0</v>
      </c>
      <c r="F590" s="8" t="s">
        <v>56</v>
      </c>
      <c r="G590" s="8" t="s">
        <v>67</v>
      </c>
      <c r="H590" s="8" t="s">
        <v>63</v>
      </c>
      <c r="I590" s="22" t="s">
        <v>185</v>
      </c>
      <c r="J590" s="22" t="s">
        <v>52</v>
      </c>
      <c r="K590" s="11" t="s">
        <v>59</v>
      </c>
      <c r="L590" s="18">
        <v>0.016029</v>
      </c>
      <c r="M590" s="18">
        <v>0.015743</v>
      </c>
      <c r="N590" s="18">
        <v>0.016901</v>
      </c>
      <c r="O590" s="18">
        <v>0.018098</v>
      </c>
      <c r="P590" s="18">
        <v>0.018499</v>
      </c>
      <c r="Q590" s="18">
        <v>0.017583</v>
      </c>
      <c r="R590" s="18">
        <v>0.01726</v>
      </c>
      <c r="S590" s="18">
        <v>0.016583</v>
      </c>
      <c r="T590" s="18">
        <v>0.013122</v>
      </c>
      <c r="U590" s="18">
        <v>0.011252</v>
      </c>
      <c r="V590" s="18">
        <v>0.010038</v>
      </c>
      <c r="W590" s="18">
        <v>0.008558</v>
      </c>
      <c r="X590" s="18">
        <v>0.008985</v>
      </c>
      <c r="Y590" s="18">
        <v>0.010264</v>
      </c>
      <c r="Z590" s="18">
        <v>0.00796</v>
      </c>
      <c r="AA590" s="18">
        <v>0.006123</v>
      </c>
      <c r="AB590" s="18">
        <v>0.007961</v>
      </c>
      <c r="AC590" s="18">
        <v>0.008367</v>
      </c>
      <c r="AD590" s="18">
        <v>0.00792</v>
      </c>
      <c r="AE590" s="18">
        <v>0.008833</v>
      </c>
      <c r="AF590" s="18">
        <v>0.011774</v>
      </c>
      <c r="AG590" s="18">
        <v>0.015431</v>
      </c>
      <c r="AH590" s="18">
        <v>0.016623</v>
      </c>
      <c r="AI590" s="18">
        <v>0.011555</v>
      </c>
      <c r="AJ590" s="18">
        <v>0.003533</v>
      </c>
      <c r="AK590" s="18">
        <v>3.78E-4</v>
      </c>
      <c r="AL590" s="18">
        <v>0.001387</v>
      </c>
      <c r="AM590" s="2">
        <v>0.0</v>
      </c>
      <c r="AN590" s="2">
        <v>0.0</v>
      </c>
      <c r="AO590" s="2">
        <v>0.0</v>
      </c>
      <c r="AP590" s="20">
        <v>0.0</v>
      </c>
      <c r="AQ590" s="20">
        <v>0.0</v>
      </c>
      <c r="AR590" s="20">
        <v>0.0</v>
      </c>
      <c r="AS590" s="20">
        <v>0.0</v>
      </c>
      <c r="AT590" s="2">
        <f>AVERAGE(L590:AL590)</f>
        <v>0.01136148148</v>
      </c>
      <c r="AU590" s="12">
        <f t="shared" si="69"/>
        <v>0.01136148148</v>
      </c>
      <c r="AV590" s="14"/>
      <c r="AW590" s="15"/>
      <c r="AX590" s="15"/>
    </row>
    <row r="591" ht="15.75" customHeight="1">
      <c r="A591" s="7">
        <v>240515.0</v>
      </c>
      <c r="B591" s="7">
        <v>80.0</v>
      </c>
      <c r="C591" s="7">
        <v>2.0</v>
      </c>
      <c r="D591" s="8" t="s">
        <v>310</v>
      </c>
      <c r="E591" s="7">
        <v>14.0</v>
      </c>
      <c r="F591" s="8" t="s">
        <v>56</v>
      </c>
      <c r="G591" s="8" t="s">
        <v>67</v>
      </c>
      <c r="H591" s="8" t="s">
        <v>50</v>
      </c>
      <c r="I591" s="22" t="s">
        <v>185</v>
      </c>
      <c r="J591" s="22" t="s">
        <v>52</v>
      </c>
      <c r="K591" s="11" t="s">
        <v>59</v>
      </c>
      <c r="L591" s="18">
        <v>0.012858</v>
      </c>
      <c r="M591" s="18">
        <v>0.013737</v>
      </c>
      <c r="N591" s="18">
        <v>0.01655</v>
      </c>
      <c r="O591" s="18">
        <v>0.018663</v>
      </c>
      <c r="P591" s="18">
        <v>0.021141</v>
      </c>
      <c r="Q591" s="18">
        <v>0.020205</v>
      </c>
      <c r="R591" s="18">
        <v>0.018005</v>
      </c>
      <c r="S591" s="18">
        <v>0.018827</v>
      </c>
      <c r="T591" s="18">
        <v>0.019032</v>
      </c>
      <c r="U591" s="18">
        <v>0.018104</v>
      </c>
      <c r="V591" s="18">
        <v>0.017774</v>
      </c>
      <c r="W591" s="18">
        <v>0.018787</v>
      </c>
      <c r="X591" s="18">
        <v>0.017838</v>
      </c>
      <c r="Y591" s="18">
        <v>0.016998</v>
      </c>
      <c r="Z591" s="18">
        <v>0.015945</v>
      </c>
      <c r="AA591" s="18">
        <v>0.0145</v>
      </c>
      <c r="AB591" s="18">
        <v>0.013666</v>
      </c>
      <c r="AC591" s="18">
        <v>0.012345</v>
      </c>
      <c r="AD591" s="18">
        <v>0.012946</v>
      </c>
      <c r="AE591" s="18">
        <v>0.013116</v>
      </c>
      <c r="AF591" s="18">
        <v>0.01165</v>
      </c>
      <c r="AG591" s="18">
        <v>0.010809</v>
      </c>
      <c r="AH591" s="18">
        <v>0.011479</v>
      </c>
      <c r="AI591" s="18">
        <v>0.012524</v>
      </c>
      <c r="AJ591" s="18">
        <v>0.013793</v>
      </c>
      <c r="AK591" s="18">
        <v>0.01383</v>
      </c>
      <c r="AL591" s="18">
        <v>0.013123</v>
      </c>
      <c r="AM591" s="18">
        <v>0.008922</v>
      </c>
      <c r="AN591" s="18">
        <v>0.002741</v>
      </c>
      <c r="AO591" s="18">
        <v>0.003348</v>
      </c>
      <c r="AP591" s="20">
        <v>0.007324</v>
      </c>
      <c r="AQ591" s="20">
        <v>0.0</v>
      </c>
      <c r="AR591" s="3">
        <v>0.0</v>
      </c>
      <c r="AS591" s="3">
        <v>0.0</v>
      </c>
      <c r="AT591" s="2">
        <f>AVERAGE(L591:AP591)</f>
        <v>0.01421225806</v>
      </c>
      <c r="AU591" s="12">
        <f t="shared" si="69"/>
        <v>0.01421225806</v>
      </c>
      <c r="AV591" s="14"/>
      <c r="AW591" s="15"/>
      <c r="AX591" s="15"/>
    </row>
    <row r="592" ht="15.75" customHeight="1">
      <c r="A592" s="7">
        <v>240515.0</v>
      </c>
      <c r="B592" s="7">
        <v>80.0</v>
      </c>
      <c r="C592" s="7">
        <v>2.0</v>
      </c>
      <c r="D592" s="8" t="s">
        <v>311</v>
      </c>
      <c r="E592" s="7">
        <v>14.0</v>
      </c>
      <c r="F592" s="8" t="s">
        <v>56</v>
      </c>
      <c r="G592" s="8" t="s">
        <v>67</v>
      </c>
      <c r="H592" s="8" t="s">
        <v>61</v>
      </c>
      <c r="I592" s="22" t="s">
        <v>185</v>
      </c>
      <c r="J592" s="22" t="s">
        <v>52</v>
      </c>
      <c r="K592" s="11" t="s">
        <v>59</v>
      </c>
      <c r="L592" s="18">
        <v>0.01636</v>
      </c>
      <c r="M592" s="18">
        <v>0.018344</v>
      </c>
      <c r="N592" s="18">
        <v>0.019195</v>
      </c>
      <c r="O592" s="18">
        <v>0.018167</v>
      </c>
      <c r="P592" s="18">
        <v>0.017693</v>
      </c>
      <c r="Q592" s="18">
        <v>0.018187</v>
      </c>
      <c r="R592" s="18">
        <v>0.017379</v>
      </c>
      <c r="S592" s="18">
        <v>0.018023</v>
      </c>
      <c r="T592" s="18">
        <v>0.018931</v>
      </c>
      <c r="U592" s="18">
        <v>0.018178</v>
      </c>
      <c r="V592" s="18">
        <v>0.018795</v>
      </c>
      <c r="W592" s="18">
        <v>0.019745</v>
      </c>
      <c r="X592" s="18">
        <v>0.019492</v>
      </c>
      <c r="Y592" s="18">
        <v>0.021097</v>
      </c>
      <c r="Z592" s="18">
        <v>0.021645</v>
      </c>
      <c r="AA592" s="18">
        <v>0.018826</v>
      </c>
      <c r="AB592" s="18">
        <v>0.017279</v>
      </c>
      <c r="AC592" s="18">
        <v>0.017521</v>
      </c>
      <c r="AD592" s="18">
        <v>0.01719</v>
      </c>
      <c r="AE592" s="18">
        <v>0.014826</v>
      </c>
      <c r="AF592" s="18">
        <v>0.011949</v>
      </c>
      <c r="AG592" s="18">
        <v>0.008358</v>
      </c>
      <c r="AH592" s="18">
        <v>0.007424</v>
      </c>
      <c r="AI592" s="18">
        <v>0.010851</v>
      </c>
      <c r="AJ592" s="18">
        <v>0.011464</v>
      </c>
      <c r="AK592" s="18">
        <v>0.006086</v>
      </c>
      <c r="AL592" s="18">
        <v>7.95E-5</v>
      </c>
      <c r="AM592" s="18">
        <v>0.0</v>
      </c>
      <c r="AN592" s="2">
        <v>0.0</v>
      </c>
      <c r="AO592" s="2">
        <v>0.0</v>
      </c>
      <c r="AP592" s="20">
        <v>0.0</v>
      </c>
      <c r="AQ592" s="20">
        <v>0.0</v>
      </c>
      <c r="AR592" s="20">
        <v>0.0</v>
      </c>
      <c r="AS592" s="20">
        <v>0.0</v>
      </c>
      <c r="AT592" s="2">
        <f>AVERAGE(L592:AL592)</f>
        <v>0.0156697963</v>
      </c>
      <c r="AU592" s="12">
        <f t="shared" si="69"/>
        <v>0.0156697963</v>
      </c>
      <c r="AV592" s="14"/>
      <c r="AW592" s="15"/>
      <c r="AX592" s="15"/>
    </row>
    <row r="593" ht="15.75" customHeight="1">
      <c r="A593" s="7">
        <v>240515.0</v>
      </c>
      <c r="B593" s="7">
        <v>80.0</v>
      </c>
      <c r="C593" s="7">
        <v>2.0</v>
      </c>
      <c r="D593" s="8" t="s">
        <v>312</v>
      </c>
      <c r="E593" s="7">
        <v>14.0</v>
      </c>
      <c r="F593" s="8" t="s">
        <v>56</v>
      </c>
      <c r="G593" s="8" t="s">
        <v>67</v>
      </c>
      <c r="H593" s="8" t="s">
        <v>65</v>
      </c>
      <c r="I593" s="22" t="s">
        <v>185</v>
      </c>
      <c r="J593" s="22" t="s">
        <v>52</v>
      </c>
      <c r="K593" s="11" t="s">
        <v>59</v>
      </c>
      <c r="L593" s="18">
        <v>0.02017</v>
      </c>
      <c r="M593" s="18">
        <v>0.019954</v>
      </c>
      <c r="N593" s="18">
        <v>0.018624</v>
      </c>
      <c r="O593" s="18">
        <v>0.018594</v>
      </c>
      <c r="P593" s="18">
        <v>0.019383</v>
      </c>
      <c r="Q593" s="18">
        <v>0.0195</v>
      </c>
      <c r="R593" s="18">
        <v>0.021912</v>
      </c>
      <c r="S593" s="18">
        <v>0.022157</v>
      </c>
      <c r="T593" s="18">
        <v>0.020208</v>
      </c>
      <c r="U593" s="18">
        <v>0.019185</v>
      </c>
      <c r="V593" s="18">
        <v>0.017351</v>
      </c>
      <c r="W593" s="18">
        <v>0.015724</v>
      </c>
      <c r="X593" s="18">
        <v>0.017211</v>
      </c>
      <c r="Y593" s="18">
        <v>0.017171</v>
      </c>
      <c r="Z593" s="18">
        <v>0.016175</v>
      </c>
      <c r="AA593" s="18">
        <v>0.01622</v>
      </c>
      <c r="AB593" s="18">
        <v>0.015018</v>
      </c>
      <c r="AC593" s="18">
        <v>0.014471</v>
      </c>
      <c r="AD593" s="18">
        <v>0.011922</v>
      </c>
      <c r="AE593" s="18">
        <v>0.010259</v>
      </c>
      <c r="AF593" s="18">
        <v>0.011754</v>
      </c>
      <c r="AG593" s="18">
        <v>0.012295</v>
      </c>
      <c r="AH593" s="18">
        <v>0.009145</v>
      </c>
      <c r="AI593" s="18">
        <v>0.003694</v>
      </c>
      <c r="AJ593" s="18">
        <v>2.55E-4</v>
      </c>
      <c r="AK593" s="18">
        <v>0.0</v>
      </c>
      <c r="AL593" s="2">
        <v>0.0</v>
      </c>
      <c r="AM593" s="2">
        <v>0.0</v>
      </c>
      <c r="AN593" s="2">
        <v>0.0</v>
      </c>
      <c r="AO593" s="2">
        <v>0.0</v>
      </c>
      <c r="AP593" s="20">
        <v>0.0</v>
      </c>
      <c r="AQ593" s="20">
        <v>0.0</v>
      </c>
      <c r="AR593" s="20">
        <v>0.0</v>
      </c>
      <c r="AS593" s="20">
        <v>0.0</v>
      </c>
      <c r="AT593" s="2">
        <f>AVERAGE(L593:AJ593)</f>
        <v>0.01553408</v>
      </c>
      <c r="AU593" s="12">
        <f t="shared" si="69"/>
        <v>0.01553408</v>
      </c>
      <c r="AV593" s="14"/>
      <c r="AW593" s="15"/>
      <c r="AX593" s="15"/>
    </row>
    <row r="594" ht="15.75" customHeight="1">
      <c r="A594" s="7">
        <v>240124.0</v>
      </c>
      <c r="B594" s="7">
        <v>74.0</v>
      </c>
      <c r="C594" s="7">
        <v>1.0</v>
      </c>
      <c r="D594" s="8" t="s">
        <v>293</v>
      </c>
      <c r="E594" s="7">
        <v>14.0</v>
      </c>
      <c r="F594" s="8" t="s">
        <v>48</v>
      </c>
      <c r="G594" s="8" t="s">
        <v>67</v>
      </c>
      <c r="H594" s="8" t="s">
        <v>50</v>
      </c>
      <c r="I594" s="22" t="s">
        <v>51</v>
      </c>
      <c r="J594" s="22" t="s">
        <v>52</v>
      </c>
      <c r="K594" s="11" t="s">
        <v>53</v>
      </c>
      <c r="L594" s="18">
        <v>0.017156</v>
      </c>
      <c r="M594" s="18">
        <v>0.012885</v>
      </c>
      <c r="N594" s="18">
        <v>0.011298</v>
      </c>
      <c r="O594" s="18">
        <v>0.010733</v>
      </c>
      <c r="P594" s="18">
        <v>0.008979</v>
      </c>
      <c r="Q594" s="18">
        <v>0.008019</v>
      </c>
      <c r="R594" s="18">
        <v>0.00878</v>
      </c>
      <c r="S594" s="18">
        <v>0.00857</v>
      </c>
      <c r="T594" s="18">
        <v>0.00671</v>
      </c>
      <c r="U594" s="18">
        <v>0.007706</v>
      </c>
      <c r="V594" s="18">
        <v>0.011019</v>
      </c>
      <c r="W594" s="18">
        <v>0.011316</v>
      </c>
      <c r="X594" s="18">
        <v>0.011202</v>
      </c>
      <c r="Y594" s="18">
        <v>0.012361</v>
      </c>
      <c r="Z594" s="18">
        <v>0.012322</v>
      </c>
      <c r="AA594" s="18">
        <v>0.012007</v>
      </c>
      <c r="AB594" s="18">
        <v>0.013166</v>
      </c>
      <c r="AC594" s="18">
        <v>0.01356</v>
      </c>
      <c r="AD594" s="18">
        <v>0.013303</v>
      </c>
      <c r="AE594" s="18">
        <v>0.013016</v>
      </c>
      <c r="AF594" s="18">
        <v>0.013106</v>
      </c>
      <c r="AG594" s="18">
        <v>0.013972</v>
      </c>
      <c r="AH594" s="18">
        <v>0.01479</v>
      </c>
      <c r="AI594" s="18">
        <v>0.015228</v>
      </c>
      <c r="AJ594" s="18">
        <v>0.015099</v>
      </c>
      <c r="AK594" s="18">
        <v>0.0159</v>
      </c>
      <c r="AL594" s="18">
        <v>0.016837</v>
      </c>
      <c r="AM594" s="18">
        <v>0.013099</v>
      </c>
      <c r="AN594" s="18">
        <v>0.006258</v>
      </c>
      <c r="AO594" s="18">
        <v>0.003355</v>
      </c>
      <c r="AP594" s="3">
        <v>0.0</v>
      </c>
      <c r="AQ594" s="3">
        <v>0.0</v>
      </c>
      <c r="AR594" s="3">
        <v>0.0</v>
      </c>
      <c r="AS594" s="3">
        <v>0.0</v>
      </c>
      <c r="AT594" s="2">
        <f>AVERAGE(L594:AO594)</f>
        <v>0.01172506667</v>
      </c>
      <c r="AU594" s="12">
        <f t="shared" si="69"/>
        <v>0.01172506667</v>
      </c>
      <c r="AV594" s="14"/>
      <c r="AW594" s="15"/>
      <c r="AX594" s="15"/>
    </row>
    <row r="595" ht="15.75" customHeight="1">
      <c r="A595" s="7">
        <v>240124.0</v>
      </c>
      <c r="B595" s="7">
        <v>74.0</v>
      </c>
      <c r="C595" s="7">
        <v>1.0</v>
      </c>
      <c r="D595" s="8" t="s">
        <v>294</v>
      </c>
      <c r="E595" s="7">
        <v>14.0</v>
      </c>
      <c r="F595" s="8" t="s">
        <v>48</v>
      </c>
      <c r="G595" s="8" t="s">
        <v>67</v>
      </c>
      <c r="H595" s="8" t="s">
        <v>61</v>
      </c>
      <c r="I595" s="22" t="s">
        <v>51</v>
      </c>
      <c r="J595" s="22" t="s">
        <v>52</v>
      </c>
      <c r="K595" s="11" t="s">
        <v>53</v>
      </c>
      <c r="L595" s="18">
        <v>0.018424</v>
      </c>
      <c r="M595" s="18">
        <v>0.015484</v>
      </c>
      <c r="N595" s="18">
        <v>0.015512</v>
      </c>
      <c r="O595" s="18">
        <v>0.016104</v>
      </c>
      <c r="P595" s="18">
        <v>0.016005</v>
      </c>
      <c r="Q595" s="18">
        <v>0.015157</v>
      </c>
      <c r="R595" s="18">
        <v>0.014028</v>
      </c>
      <c r="S595" s="18">
        <v>0.014448</v>
      </c>
      <c r="T595" s="18">
        <v>0.015777</v>
      </c>
      <c r="U595" s="18">
        <v>0.016348</v>
      </c>
      <c r="V595" s="18">
        <v>0.01644</v>
      </c>
      <c r="W595" s="18">
        <v>0.017262</v>
      </c>
      <c r="X595" s="18">
        <v>0.01751</v>
      </c>
      <c r="Y595" s="18">
        <v>0.017909</v>
      </c>
      <c r="Z595" s="18">
        <v>0.018666</v>
      </c>
      <c r="AA595" s="18">
        <v>0.017851</v>
      </c>
      <c r="AB595" s="18">
        <v>0.016341</v>
      </c>
      <c r="AC595" s="18">
        <v>0.016189</v>
      </c>
      <c r="AD595" s="18">
        <v>0.016528</v>
      </c>
      <c r="AE595" s="18">
        <v>0.016176</v>
      </c>
      <c r="AF595" s="18">
        <v>0.017877</v>
      </c>
      <c r="AG595" s="18">
        <v>0.020046</v>
      </c>
      <c r="AH595" s="18">
        <v>0.020321</v>
      </c>
      <c r="AI595" s="18">
        <v>0.020855</v>
      </c>
      <c r="AJ595" s="18">
        <v>0.021897</v>
      </c>
      <c r="AK595" s="18">
        <v>0.023199</v>
      </c>
      <c r="AL595" s="18">
        <v>0.02062</v>
      </c>
      <c r="AM595" s="18">
        <v>0.01033</v>
      </c>
      <c r="AN595" s="2">
        <v>0.0</v>
      </c>
      <c r="AO595" s="2">
        <v>0.0</v>
      </c>
      <c r="AP595" s="20">
        <v>0.0</v>
      </c>
      <c r="AQ595" s="20">
        <v>0.0</v>
      </c>
      <c r="AR595" s="20">
        <v>0.0</v>
      </c>
      <c r="AS595" s="20">
        <v>0.0</v>
      </c>
      <c r="AT595" s="2">
        <f>AVERAGE(L595:AM595)</f>
        <v>0.01726085714</v>
      </c>
      <c r="AU595" s="12">
        <f t="shared" si="69"/>
        <v>0.01726085714</v>
      </c>
      <c r="AV595" s="14"/>
      <c r="AW595" s="15"/>
      <c r="AX595" s="15"/>
    </row>
    <row r="596" ht="15.75" customHeight="1">
      <c r="A596" s="7">
        <v>240125.0</v>
      </c>
      <c r="B596" s="7">
        <v>74.0</v>
      </c>
      <c r="C596" s="7">
        <v>1.0</v>
      </c>
      <c r="D596" s="8" t="s">
        <v>295</v>
      </c>
      <c r="E596" s="7">
        <v>14.0</v>
      </c>
      <c r="F596" s="8" t="s">
        <v>48</v>
      </c>
      <c r="G596" s="8" t="s">
        <v>67</v>
      </c>
      <c r="H596" s="8" t="s">
        <v>65</v>
      </c>
      <c r="I596" s="22" t="s">
        <v>51</v>
      </c>
      <c r="J596" s="22" t="s">
        <v>52</v>
      </c>
      <c r="K596" s="11" t="s">
        <v>53</v>
      </c>
      <c r="L596" s="18">
        <v>0.018687</v>
      </c>
      <c r="M596" s="18">
        <v>0.016071</v>
      </c>
      <c r="N596" s="18">
        <v>0.015917</v>
      </c>
      <c r="O596" s="18">
        <v>0.015773</v>
      </c>
      <c r="P596" s="18">
        <v>0.015041</v>
      </c>
      <c r="Q596" s="18">
        <v>0.01618</v>
      </c>
      <c r="R596" s="18">
        <v>0.016134</v>
      </c>
      <c r="S596" s="18">
        <v>0.015439</v>
      </c>
      <c r="T596" s="18">
        <v>0.015843</v>
      </c>
      <c r="U596" s="18">
        <v>0.015872</v>
      </c>
      <c r="V596" s="18">
        <v>0.01702</v>
      </c>
      <c r="W596" s="18">
        <v>0.017619</v>
      </c>
      <c r="X596" s="18">
        <v>0.016845</v>
      </c>
      <c r="Y596" s="18">
        <v>0.017691</v>
      </c>
      <c r="Z596" s="18">
        <v>0.019109</v>
      </c>
      <c r="AA596" s="18">
        <v>0.019763</v>
      </c>
      <c r="AB596" s="18">
        <v>0.01956</v>
      </c>
      <c r="AC596" s="18">
        <v>0.018409</v>
      </c>
      <c r="AD596" s="18">
        <v>0.018365</v>
      </c>
      <c r="AE596" s="18">
        <v>0.01905</v>
      </c>
      <c r="AF596" s="18">
        <v>0.019589</v>
      </c>
      <c r="AG596" s="18">
        <v>0.020943</v>
      </c>
      <c r="AH596" s="18">
        <v>0.021023</v>
      </c>
      <c r="AI596" s="18">
        <v>0.021346</v>
      </c>
      <c r="AJ596" s="18">
        <v>0.023607</v>
      </c>
      <c r="AK596" s="18">
        <v>0.025806</v>
      </c>
      <c r="AL596" s="18">
        <v>0.022456</v>
      </c>
      <c r="AM596" s="18">
        <v>0.014936</v>
      </c>
      <c r="AN596" s="18">
        <v>0.009489</v>
      </c>
      <c r="AO596" s="2">
        <v>0.0</v>
      </c>
      <c r="AP596" s="20">
        <v>0.0</v>
      </c>
      <c r="AQ596" s="20">
        <v>0.0</v>
      </c>
      <c r="AR596" s="20">
        <v>0.0</v>
      </c>
      <c r="AS596" s="20">
        <v>0.0</v>
      </c>
      <c r="AT596" s="2">
        <f t="shared" ref="AT596:AT597" si="74">AVERAGE(L596:AN596)</f>
        <v>0.01805458621</v>
      </c>
      <c r="AU596" s="12">
        <f t="shared" si="69"/>
        <v>0.01805458621</v>
      </c>
      <c r="AV596" s="14"/>
      <c r="AW596" s="15"/>
      <c r="AX596" s="15"/>
    </row>
    <row r="597" ht="15.75" customHeight="1">
      <c r="A597" s="7">
        <v>240125.0</v>
      </c>
      <c r="B597" s="7">
        <v>74.0</v>
      </c>
      <c r="C597" s="7">
        <v>1.0</v>
      </c>
      <c r="D597" s="8" t="s">
        <v>296</v>
      </c>
      <c r="E597" s="7">
        <v>14.0</v>
      </c>
      <c r="F597" s="8" t="s">
        <v>48</v>
      </c>
      <c r="G597" s="8" t="s">
        <v>67</v>
      </c>
      <c r="H597" s="8" t="s">
        <v>63</v>
      </c>
      <c r="I597" s="22" t="s">
        <v>51</v>
      </c>
      <c r="J597" s="22" t="s">
        <v>52</v>
      </c>
      <c r="K597" s="11" t="s">
        <v>53</v>
      </c>
      <c r="L597" s="18">
        <v>0.01986</v>
      </c>
      <c r="M597" s="18">
        <v>0.018935</v>
      </c>
      <c r="N597" s="18">
        <v>0.019586</v>
      </c>
      <c r="O597" s="18">
        <v>0.020381</v>
      </c>
      <c r="P597" s="18">
        <v>0.019273</v>
      </c>
      <c r="Q597" s="18">
        <v>0.018389</v>
      </c>
      <c r="R597" s="18">
        <v>0.018792</v>
      </c>
      <c r="S597" s="18">
        <v>0.019306</v>
      </c>
      <c r="T597" s="18">
        <v>0.019058</v>
      </c>
      <c r="U597" s="18">
        <v>0.018829</v>
      </c>
      <c r="V597" s="18">
        <v>0.018837</v>
      </c>
      <c r="W597" s="18">
        <v>0.019217</v>
      </c>
      <c r="X597" s="18">
        <v>0.021045</v>
      </c>
      <c r="Y597" s="18">
        <v>0.021583</v>
      </c>
      <c r="Z597" s="18">
        <v>0.021904</v>
      </c>
      <c r="AA597" s="18">
        <v>0.023207</v>
      </c>
      <c r="AB597" s="18">
        <v>0.024363</v>
      </c>
      <c r="AC597" s="18">
        <v>0.024004</v>
      </c>
      <c r="AD597" s="18">
        <v>0.022866</v>
      </c>
      <c r="AE597" s="18">
        <v>0.023788</v>
      </c>
      <c r="AF597" s="18">
        <v>0.024986</v>
      </c>
      <c r="AG597" s="18">
        <v>0.025916</v>
      </c>
      <c r="AH597" s="18">
        <v>0.027294</v>
      </c>
      <c r="AI597" s="18">
        <v>0.028168</v>
      </c>
      <c r="AJ597" s="18">
        <v>0.031239</v>
      </c>
      <c r="AK597" s="18">
        <v>0.033821</v>
      </c>
      <c r="AL597" s="18">
        <v>0.029964</v>
      </c>
      <c r="AM597" s="18">
        <v>0.022201</v>
      </c>
      <c r="AN597" s="18">
        <v>0.010914</v>
      </c>
      <c r="AO597" s="2">
        <v>0.0</v>
      </c>
      <c r="AP597" s="20">
        <v>0.0</v>
      </c>
      <c r="AQ597" s="20">
        <v>0.0</v>
      </c>
      <c r="AR597" s="20">
        <v>0.0</v>
      </c>
      <c r="AS597" s="20">
        <v>0.0</v>
      </c>
      <c r="AT597" s="2">
        <f t="shared" si="74"/>
        <v>0.02233537931</v>
      </c>
      <c r="AU597" s="12">
        <f t="shared" si="69"/>
        <v>0.02233537931</v>
      </c>
      <c r="AV597" s="14"/>
      <c r="AW597" s="15"/>
      <c r="AX597" s="15"/>
    </row>
    <row r="598" ht="15.75" customHeight="1">
      <c r="A598" s="7">
        <v>240205.0</v>
      </c>
      <c r="B598" s="7">
        <v>74.0</v>
      </c>
      <c r="C598" s="7">
        <v>1.0</v>
      </c>
      <c r="D598" s="8" t="s">
        <v>297</v>
      </c>
      <c r="E598" s="7">
        <v>14.0</v>
      </c>
      <c r="F598" s="8" t="s">
        <v>56</v>
      </c>
      <c r="G598" s="8" t="s">
        <v>67</v>
      </c>
      <c r="H598" s="8" t="s">
        <v>65</v>
      </c>
      <c r="I598" s="22" t="s">
        <v>51</v>
      </c>
      <c r="J598" s="22" t="s">
        <v>52</v>
      </c>
      <c r="K598" s="11" t="s">
        <v>57</v>
      </c>
      <c r="L598" s="18">
        <v>0.0214</v>
      </c>
      <c r="M598" s="18">
        <v>0.021857</v>
      </c>
      <c r="N598" s="18">
        <v>0.019282</v>
      </c>
      <c r="O598" s="18">
        <v>0.016715</v>
      </c>
      <c r="P598" s="18">
        <v>0.016396</v>
      </c>
      <c r="Q598" s="18">
        <v>0.014638</v>
      </c>
      <c r="R598" s="18">
        <v>0.01388</v>
      </c>
      <c r="S598" s="18">
        <v>0.015635</v>
      </c>
      <c r="T598" s="18">
        <v>0.016601</v>
      </c>
      <c r="U598" s="18">
        <v>0.016695</v>
      </c>
      <c r="V598" s="18">
        <v>0.016291</v>
      </c>
      <c r="W598" s="18">
        <v>0.015744</v>
      </c>
      <c r="X598" s="18">
        <v>0.016594</v>
      </c>
      <c r="Y598" s="18">
        <v>0.015878</v>
      </c>
      <c r="Z598" s="18">
        <v>0.015463</v>
      </c>
      <c r="AA598" s="18">
        <v>0.017753</v>
      </c>
      <c r="AB598" s="18">
        <v>0.018471</v>
      </c>
      <c r="AC598" s="18">
        <v>0.019218</v>
      </c>
      <c r="AD598" s="18">
        <v>0.01915</v>
      </c>
      <c r="AE598" s="18">
        <v>0.017809</v>
      </c>
      <c r="AF598" s="18">
        <v>0.017909</v>
      </c>
      <c r="AG598" s="18">
        <v>0.019242</v>
      </c>
      <c r="AH598" s="18">
        <v>0.020198</v>
      </c>
      <c r="AI598" s="18">
        <v>0.020151</v>
      </c>
      <c r="AJ598" s="18">
        <v>0.020829</v>
      </c>
      <c r="AK598" s="18">
        <v>0.023845</v>
      </c>
      <c r="AL598" s="18">
        <v>0.025868</v>
      </c>
      <c r="AM598" s="18">
        <v>0.026636</v>
      </c>
      <c r="AN598" s="18">
        <v>0.027274</v>
      </c>
      <c r="AO598" s="18">
        <v>0.024075</v>
      </c>
      <c r="AP598" s="20">
        <v>0.0</v>
      </c>
      <c r="AQ598" s="20">
        <v>0.0</v>
      </c>
      <c r="AR598" s="20">
        <v>0.0</v>
      </c>
      <c r="AS598" s="20">
        <v>0.0</v>
      </c>
      <c r="AT598" s="2">
        <f>AVERAGE(L598:AO598)</f>
        <v>0.0190499</v>
      </c>
      <c r="AU598" s="12">
        <f t="shared" si="69"/>
        <v>0.0190499</v>
      </c>
      <c r="AV598" s="14"/>
      <c r="AW598" s="15"/>
      <c r="AX598" s="15"/>
    </row>
    <row r="599" ht="15.75" customHeight="1">
      <c r="A599" s="7">
        <v>240205.0</v>
      </c>
      <c r="B599" s="7">
        <v>74.0</v>
      </c>
      <c r="C599" s="7">
        <v>1.0</v>
      </c>
      <c r="D599" s="8" t="s">
        <v>298</v>
      </c>
      <c r="E599" s="7">
        <v>14.0</v>
      </c>
      <c r="F599" s="8" t="s">
        <v>56</v>
      </c>
      <c r="G599" s="8" t="s">
        <v>67</v>
      </c>
      <c r="H599" s="8" t="s">
        <v>63</v>
      </c>
      <c r="I599" s="22" t="s">
        <v>51</v>
      </c>
      <c r="J599" s="22" t="s">
        <v>52</v>
      </c>
      <c r="K599" s="11" t="s">
        <v>57</v>
      </c>
      <c r="L599" s="18">
        <v>0.016652</v>
      </c>
      <c r="M599" s="18">
        <v>0.01727</v>
      </c>
      <c r="N599" s="18">
        <v>0.017108</v>
      </c>
      <c r="O599" s="18">
        <v>0.017261</v>
      </c>
      <c r="P599" s="18">
        <v>0.017598</v>
      </c>
      <c r="Q599" s="18">
        <v>0.016993</v>
      </c>
      <c r="R599" s="18">
        <v>0.017003</v>
      </c>
      <c r="S599" s="18">
        <v>0.016217</v>
      </c>
      <c r="T599" s="18">
        <v>0.01628</v>
      </c>
      <c r="U599" s="18">
        <v>0.017846</v>
      </c>
      <c r="V599" s="18">
        <v>0.01848</v>
      </c>
      <c r="W599" s="18">
        <v>0.018729</v>
      </c>
      <c r="X599" s="18">
        <v>0.01764</v>
      </c>
      <c r="Y599" s="18">
        <v>0.016816</v>
      </c>
      <c r="Z599" s="18">
        <v>0.017994</v>
      </c>
      <c r="AA599" s="18">
        <v>0.017585</v>
      </c>
      <c r="AB599" s="18">
        <v>0.019338</v>
      </c>
      <c r="AC599" s="18">
        <v>0.021717</v>
      </c>
      <c r="AD599" s="18">
        <v>0.022055</v>
      </c>
      <c r="AE599" s="18">
        <v>0.024721</v>
      </c>
      <c r="AF599" s="18">
        <v>0.026867</v>
      </c>
      <c r="AG599" s="18">
        <v>0.030243</v>
      </c>
      <c r="AH599" s="18">
        <v>0.029931</v>
      </c>
      <c r="AI599" s="18">
        <v>0.021965</v>
      </c>
      <c r="AJ599" s="18">
        <v>0.014607</v>
      </c>
      <c r="AK599" s="18">
        <v>0.018152</v>
      </c>
      <c r="AL599" s="18">
        <v>0.021321</v>
      </c>
      <c r="AM599" s="2">
        <v>0.0</v>
      </c>
      <c r="AN599" s="2">
        <v>0.0</v>
      </c>
      <c r="AO599" s="2">
        <v>0.0</v>
      </c>
      <c r="AP599" s="20">
        <v>0.0</v>
      </c>
      <c r="AQ599" s="20">
        <v>0.0</v>
      </c>
      <c r="AR599" s="20">
        <v>0.0</v>
      </c>
      <c r="AS599" s="20">
        <v>0.0</v>
      </c>
      <c r="AT599" s="2">
        <f t="shared" ref="AT599:AT600" si="75">AVERAGE(L599:AL599)</f>
        <v>0.01956996296</v>
      </c>
      <c r="AU599" s="12">
        <f t="shared" si="69"/>
        <v>0.01956996296</v>
      </c>
      <c r="AV599" s="14"/>
      <c r="AW599" s="15"/>
      <c r="AX599" s="15"/>
    </row>
    <row r="600" ht="15.75" customHeight="1">
      <c r="A600" s="7">
        <v>240205.0</v>
      </c>
      <c r="B600" s="7">
        <v>74.0</v>
      </c>
      <c r="C600" s="7">
        <v>1.0</v>
      </c>
      <c r="D600" s="8" t="s">
        <v>299</v>
      </c>
      <c r="E600" s="7">
        <v>14.0</v>
      </c>
      <c r="F600" s="8" t="s">
        <v>56</v>
      </c>
      <c r="G600" s="8" t="s">
        <v>67</v>
      </c>
      <c r="H600" s="8" t="s">
        <v>61</v>
      </c>
      <c r="I600" s="22" t="s">
        <v>51</v>
      </c>
      <c r="J600" s="22" t="s">
        <v>52</v>
      </c>
      <c r="K600" s="11" t="s">
        <v>57</v>
      </c>
      <c r="L600" s="18">
        <v>0.017766</v>
      </c>
      <c r="M600" s="18">
        <v>0.015618</v>
      </c>
      <c r="N600" s="18">
        <v>0.012993</v>
      </c>
      <c r="O600" s="18">
        <v>0.012146</v>
      </c>
      <c r="P600" s="18">
        <v>0.014328</v>
      </c>
      <c r="Q600" s="18">
        <v>0.015678</v>
      </c>
      <c r="R600" s="18">
        <v>0.014439</v>
      </c>
      <c r="S600" s="18">
        <v>0.015275</v>
      </c>
      <c r="T600" s="18">
        <v>0.019162</v>
      </c>
      <c r="U600" s="18">
        <v>0.019459</v>
      </c>
      <c r="V600" s="18">
        <v>0.017837</v>
      </c>
      <c r="W600" s="18">
        <v>0.017221</v>
      </c>
      <c r="X600" s="18">
        <v>0.017938</v>
      </c>
      <c r="Y600" s="18">
        <v>0.020061</v>
      </c>
      <c r="Z600" s="18">
        <v>0.020705</v>
      </c>
      <c r="AA600" s="18">
        <v>0.020352</v>
      </c>
      <c r="AB600" s="18">
        <v>0.020815</v>
      </c>
      <c r="AC600" s="18">
        <v>0.022191</v>
      </c>
      <c r="AD600" s="18">
        <v>0.023442</v>
      </c>
      <c r="AE600" s="18">
        <v>0.024724</v>
      </c>
      <c r="AF600" s="18">
        <v>0.027013</v>
      </c>
      <c r="AG600" s="18">
        <v>0.029667</v>
      </c>
      <c r="AH600" s="18">
        <v>0.031981</v>
      </c>
      <c r="AI600" s="18">
        <v>0.032443</v>
      </c>
      <c r="AJ600" s="18">
        <v>0.032641</v>
      </c>
      <c r="AK600" s="18">
        <v>0.026636</v>
      </c>
      <c r="AL600" s="18">
        <v>0.015899</v>
      </c>
      <c r="AM600" s="18">
        <v>0.0</v>
      </c>
      <c r="AN600" s="2">
        <v>0.0</v>
      </c>
      <c r="AO600" s="2">
        <v>0.0</v>
      </c>
      <c r="AP600" s="20">
        <v>0.0</v>
      </c>
      <c r="AQ600" s="20">
        <v>0.0</v>
      </c>
      <c r="AR600" s="20">
        <v>0.0</v>
      </c>
      <c r="AS600" s="20">
        <v>0.0</v>
      </c>
      <c r="AT600" s="2">
        <f t="shared" si="75"/>
        <v>0.02068259259</v>
      </c>
      <c r="AU600" s="12">
        <f t="shared" si="69"/>
        <v>0.02068259259</v>
      </c>
      <c r="AV600" s="14"/>
      <c r="AW600" s="15"/>
      <c r="AX600" s="15"/>
    </row>
    <row r="601" ht="15.75" customHeight="1">
      <c r="A601" s="7">
        <v>240205.0</v>
      </c>
      <c r="B601" s="7">
        <v>74.0</v>
      </c>
      <c r="C601" s="7">
        <v>1.0</v>
      </c>
      <c r="D601" s="8" t="s">
        <v>300</v>
      </c>
      <c r="E601" s="7">
        <v>14.0</v>
      </c>
      <c r="F601" s="8" t="s">
        <v>56</v>
      </c>
      <c r="G601" s="8" t="s">
        <v>67</v>
      </c>
      <c r="H601" s="8" t="s">
        <v>50</v>
      </c>
      <c r="I601" s="22" t="s">
        <v>51</v>
      </c>
      <c r="J601" s="22" t="s">
        <v>52</v>
      </c>
      <c r="K601" s="11" t="s">
        <v>57</v>
      </c>
      <c r="L601" s="18">
        <v>0.015774</v>
      </c>
      <c r="M601" s="18">
        <v>0.015388</v>
      </c>
      <c r="N601" s="18">
        <v>0.015898</v>
      </c>
      <c r="O601" s="18">
        <v>0.015076</v>
      </c>
      <c r="P601" s="18">
        <v>0.013285</v>
      </c>
      <c r="Q601" s="18">
        <v>0.013119</v>
      </c>
      <c r="R601" s="18">
        <v>0.014894</v>
      </c>
      <c r="S601" s="18">
        <v>0.014905</v>
      </c>
      <c r="T601" s="18">
        <v>0.0154</v>
      </c>
      <c r="U601" s="18">
        <v>0.016642</v>
      </c>
      <c r="V601" s="18">
        <v>0.016025</v>
      </c>
      <c r="W601" s="18">
        <v>0.015703</v>
      </c>
      <c r="X601" s="18">
        <v>0.016925</v>
      </c>
      <c r="Y601" s="18">
        <v>0.017185</v>
      </c>
      <c r="Z601" s="18">
        <v>0.017054</v>
      </c>
      <c r="AA601" s="18">
        <v>0.018754</v>
      </c>
      <c r="AB601" s="18">
        <v>0.01848</v>
      </c>
      <c r="AC601" s="18">
        <v>0.016992</v>
      </c>
      <c r="AD601" s="18">
        <v>0.015214</v>
      </c>
      <c r="AE601" s="18">
        <v>0.015233</v>
      </c>
      <c r="AF601" s="18">
        <v>0.016388</v>
      </c>
      <c r="AG601" s="18">
        <v>0.017481</v>
      </c>
      <c r="AH601" s="18">
        <v>0.01988</v>
      </c>
      <c r="AI601" s="18">
        <v>0.021917</v>
      </c>
      <c r="AJ601" s="18">
        <v>0.025161</v>
      </c>
      <c r="AK601" s="18">
        <v>0.028768</v>
      </c>
      <c r="AL601" s="18">
        <v>0.024086</v>
      </c>
      <c r="AM601" s="18">
        <v>0.014408</v>
      </c>
      <c r="AN601" s="18">
        <v>0.004192</v>
      </c>
      <c r="AO601" s="18">
        <v>0.068421</v>
      </c>
      <c r="AP601" s="3">
        <v>0.0</v>
      </c>
      <c r="AQ601" s="3">
        <v>0.0</v>
      </c>
      <c r="AR601" s="3">
        <v>0.0</v>
      </c>
      <c r="AS601" s="3">
        <v>0.0</v>
      </c>
      <c r="AT601" s="2">
        <f>AVERAGE(L601:AO601)</f>
        <v>0.0186216</v>
      </c>
      <c r="AU601" s="12">
        <f t="shared" si="69"/>
        <v>0.0186216</v>
      </c>
      <c r="AV601" s="14"/>
      <c r="AW601" s="15"/>
      <c r="AX601" s="15"/>
    </row>
    <row r="602" ht="15.75" customHeight="1">
      <c r="A602" s="7">
        <v>240207.0</v>
      </c>
      <c r="B602" s="7">
        <v>74.0</v>
      </c>
      <c r="C602" s="7">
        <v>1.0</v>
      </c>
      <c r="D602" s="8" t="s">
        <v>301</v>
      </c>
      <c r="E602" s="7">
        <v>14.0</v>
      </c>
      <c r="F602" s="8" t="s">
        <v>48</v>
      </c>
      <c r="G602" s="8" t="s">
        <v>49</v>
      </c>
      <c r="H602" s="8" t="s">
        <v>50</v>
      </c>
      <c r="I602" s="22" t="s">
        <v>51</v>
      </c>
      <c r="J602" s="22" t="s">
        <v>52</v>
      </c>
      <c r="K602" s="11" t="s">
        <v>53</v>
      </c>
      <c r="L602" s="18">
        <v>0.017217</v>
      </c>
      <c r="M602" s="18">
        <v>0.016904</v>
      </c>
      <c r="N602" s="18">
        <v>0.016028</v>
      </c>
      <c r="O602" s="18">
        <v>0.014237</v>
      </c>
      <c r="P602" s="18">
        <v>0.014709</v>
      </c>
      <c r="Q602" s="18">
        <v>0.015456</v>
      </c>
      <c r="R602" s="18">
        <v>0.015415</v>
      </c>
      <c r="S602" s="18">
        <v>0.015493</v>
      </c>
      <c r="T602" s="18">
        <v>0.014262</v>
      </c>
      <c r="U602" s="18">
        <v>0.01372</v>
      </c>
      <c r="V602" s="18">
        <v>0.013853</v>
      </c>
      <c r="W602" s="18">
        <v>0.014864</v>
      </c>
      <c r="X602" s="18">
        <v>0.015339</v>
      </c>
      <c r="Y602" s="18">
        <v>0.015274</v>
      </c>
      <c r="Z602" s="18">
        <v>0.01538</v>
      </c>
      <c r="AA602" s="18">
        <v>0.016023</v>
      </c>
      <c r="AB602" s="18">
        <v>0.016227</v>
      </c>
      <c r="AC602" s="18">
        <v>0.015811</v>
      </c>
      <c r="AD602" s="18">
        <v>0.015537</v>
      </c>
      <c r="AE602" s="18">
        <v>0.015295</v>
      </c>
      <c r="AF602" s="18">
        <v>0.016371</v>
      </c>
      <c r="AG602" s="18">
        <v>0.017086</v>
      </c>
      <c r="AH602" s="18">
        <v>0.017985</v>
      </c>
      <c r="AI602" s="18">
        <v>0.020659</v>
      </c>
      <c r="AJ602" s="18">
        <v>0.021834</v>
      </c>
      <c r="AK602" s="18">
        <v>0.020737</v>
      </c>
      <c r="AL602" s="18">
        <v>0.01941</v>
      </c>
      <c r="AM602" s="18">
        <v>0.018175</v>
      </c>
      <c r="AN602" s="18">
        <v>0.023769</v>
      </c>
      <c r="AO602" s="2">
        <v>0.0</v>
      </c>
      <c r="AP602" s="20">
        <v>0.0</v>
      </c>
      <c r="AQ602" s="20">
        <v>0.0</v>
      </c>
      <c r="AR602" s="20">
        <v>0.0</v>
      </c>
      <c r="AS602" s="20">
        <v>0.0</v>
      </c>
      <c r="AT602" s="2">
        <f>AVERAGE(L602:AN602)</f>
        <v>0.01665758621</v>
      </c>
      <c r="AU602" s="12">
        <f t="shared" si="69"/>
        <v>0.01665758621</v>
      </c>
      <c r="AV602" s="14"/>
      <c r="AW602" s="15"/>
      <c r="AX602" s="15"/>
    </row>
    <row r="603" ht="15.75" customHeight="1">
      <c r="A603" s="7">
        <v>240207.0</v>
      </c>
      <c r="B603" s="7">
        <v>74.0</v>
      </c>
      <c r="C603" s="7">
        <v>1.0</v>
      </c>
      <c r="D603" s="8" t="s">
        <v>302</v>
      </c>
      <c r="E603" s="7">
        <v>14.0</v>
      </c>
      <c r="F603" s="8" t="s">
        <v>48</v>
      </c>
      <c r="G603" s="8" t="s">
        <v>49</v>
      </c>
      <c r="H603" s="8" t="s">
        <v>63</v>
      </c>
      <c r="I603" s="22" t="s">
        <v>51</v>
      </c>
      <c r="J603" s="22" t="s">
        <v>52</v>
      </c>
      <c r="K603" s="11" t="s">
        <v>53</v>
      </c>
      <c r="L603" s="18">
        <v>0.014843</v>
      </c>
      <c r="M603" s="18">
        <v>0.014368</v>
      </c>
      <c r="N603" s="18">
        <v>0.013663</v>
      </c>
      <c r="O603" s="18">
        <v>0.014701</v>
      </c>
      <c r="P603" s="18">
        <v>0.015413</v>
      </c>
      <c r="Q603" s="18">
        <v>0.015983</v>
      </c>
      <c r="R603" s="18">
        <v>0.016661</v>
      </c>
      <c r="S603" s="18">
        <v>0.017068</v>
      </c>
      <c r="T603" s="18">
        <v>0.018526</v>
      </c>
      <c r="U603" s="18">
        <v>0.017871</v>
      </c>
      <c r="V603" s="18">
        <v>0.01669</v>
      </c>
      <c r="W603" s="18">
        <v>0.016979</v>
      </c>
      <c r="X603" s="18">
        <v>0.018059</v>
      </c>
      <c r="Y603" s="18">
        <v>0.018407</v>
      </c>
      <c r="Z603" s="18">
        <v>0.017976</v>
      </c>
      <c r="AA603" s="18">
        <v>0.018626</v>
      </c>
      <c r="AB603" s="18">
        <v>0.019432</v>
      </c>
      <c r="AC603" s="18">
        <v>0.019748</v>
      </c>
      <c r="AD603" s="18">
        <v>0.021565</v>
      </c>
      <c r="AE603" s="18">
        <v>0.024298</v>
      </c>
      <c r="AF603" s="18">
        <v>0.024142</v>
      </c>
      <c r="AG603" s="18">
        <v>0.023459</v>
      </c>
      <c r="AH603" s="18">
        <v>0.024645</v>
      </c>
      <c r="AI603" s="18">
        <v>0.025556</v>
      </c>
      <c r="AJ603" s="18">
        <v>0.021831</v>
      </c>
      <c r="AK603" s="18">
        <v>0.01372</v>
      </c>
      <c r="AL603" s="18">
        <v>0.038412</v>
      </c>
      <c r="AM603" s="2">
        <v>0.0</v>
      </c>
      <c r="AN603" s="2">
        <v>0.0</v>
      </c>
      <c r="AO603" s="2">
        <v>0.0</v>
      </c>
      <c r="AP603" s="20">
        <v>0.0</v>
      </c>
      <c r="AQ603" s="20">
        <v>0.0</v>
      </c>
      <c r="AR603" s="20">
        <v>0.0</v>
      </c>
      <c r="AS603" s="20">
        <v>0.0</v>
      </c>
      <c r="AT603" s="2">
        <f>AVERAGE(L603:AL603)</f>
        <v>0.01935711111</v>
      </c>
      <c r="AU603" s="12">
        <f t="shared" si="69"/>
        <v>0.01935711111</v>
      </c>
      <c r="AV603" s="14"/>
      <c r="AW603" s="15"/>
      <c r="AX603" s="15"/>
    </row>
    <row r="604" ht="15.75" customHeight="1">
      <c r="A604" s="7">
        <v>240207.0</v>
      </c>
      <c r="B604" s="7">
        <v>74.0</v>
      </c>
      <c r="C604" s="7">
        <v>1.0</v>
      </c>
      <c r="D604" s="8" t="s">
        <v>303</v>
      </c>
      <c r="E604" s="7">
        <v>14.0</v>
      </c>
      <c r="F604" s="8" t="s">
        <v>48</v>
      </c>
      <c r="G604" s="8" t="s">
        <v>49</v>
      </c>
      <c r="H604" s="8" t="s">
        <v>65</v>
      </c>
      <c r="I604" s="22" t="s">
        <v>51</v>
      </c>
      <c r="J604" s="22" t="s">
        <v>52</v>
      </c>
      <c r="K604" s="11" t="s">
        <v>53</v>
      </c>
      <c r="L604" s="18">
        <v>0.020903</v>
      </c>
      <c r="M604" s="18">
        <v>0.017775</v>
      </c>
      <c r="N604" s="18">
        <v>0.015189</v>
      </c>
      <c r="O604" s="18">
        <v>0.014509</v>
      </c>
      <c r="P604" s="18">
        <v>0.014655</v>
      </c>
      <c r="Q604" s="18">
        <v>0.014687</v>
      </c>
      <c r="R604" s="18">
        <v>0.015248</v>
      </c>
      <c r="S604" s="18">
        <v>0.016447</v>
      </c>
      <c r="T604" s="18">
        <v>0.016941</v>
      </c>
      <c r="U604" s="18">
        <v>0.016674</v>
      </c>
      <c r="V604" s="18">
        <v>0.016222</v>
      </c>
      <c r="W604" s="18">
        <v>0.017715</v>
      </c>
      <c r="X604" s="18">
        <v>0.01838</v>
      </c>
      <c r="Y604" s="18">
        <v>0.018221</v>
      </c>
      <c r="Z604" s="18">
        <v>0.019746</v>
      </c>
      <c r="AA604" s="18">
        <v>0.019423</v>
      </c>
      <c r="AB604" s="18">
        <v>0.019824</v>
      </c>
      <c r="AC604" s="18">
        <v>0.020889</v>
      </c>
      <c r="AD604" s="18">
        <v>0.021211</v>
      </c>
      <c r="AE604" s="18">
        <v>0.020924</v>
      </c>
      <c r="AF604" s="18">
        <v>0.020001</v>
      </c>
      <c r="AG604" s="18">
        <v>0.022051</v>
      </c>
      <c r="AH604" s="18">
        <v>0.024145</v>
      </c>
      <c r="AI604" s="18">
        <v>0.023118</v>
      </c>
      <c r="AJ604" s="18">
        <v>0.024999</v>
      </c>
      <c r="AK604" s="18">
        <v>0.027846</v>
      </c>
      <c r="AL604" s="18">
        <v>0.029303</v>
      </c>
      <c r="AM604" s="18">
        <v>0.029452</v>
      </c>
      <c r="AN604" s="18">
        <v>0.020981</v>
      </c>
      <c r="AO604" s="18">
        <v>0.0</v>
      </c>
      <c r="AP604" s="20">
        <v>0.0</v>
      </c>
      <c r="AQ604" s="20">
        <v>0.0</v>
      </c>
      <c r="AR604" s="20">
        <v>0.0</v>
      </c>
      <c r="AS604" s="20">
        <v>0.0</v>
      </c>
      <c r="AT604" s="2">
        <f>AVERAGE(L604:AN604)</f>
        <v>0.01991306897</v>
      </c>
      <c r="AU604" s="12">
        <f t="shared" si="69"/>
        <v>0.01991306897</v>
      </c>
      <c r="AV604" s="14"/>
      <c r="AW604" s="15"/>
      <c r="AX604" s="15"/>
    </row>
    <row r="605" ht="15.75" customHeight="1">
      <c r="A605" s="7">
        <v>240207.0</v>
      </c>
      <c r="B605" s="7">
        <v>74.0</v>
      </c>
      <c r="C605" s="7">
        <v>1.0</v>
      </c>
      <c r="D605" s="8" t="s">
        <v>304</v>
      </c>
      <c r="E605" s="7">
        <v>14.0</v>
      </c>
      <c r="F605" s="8" t="s">
        <v>48</v>
      </c>
      <c r="G605" s="8" t="s">
        <v>49</v>
      </c>
      <c r="H605" s="8" t="s">
        <v>61</v>
      </c>
      <c r="I605" s="22" t="s">
        <v>51</v>
      </c>
      <c r="J605" s="22" t="s">
        <v>52</v>
      </c>
      <c r="K605" s="11" t="s">
        <v>53</v>
      </c>
      <c r="L605" s="18">
        <v>0.018438</v>
      </c>
      <c r="M605" s="18">
        <v>0.018728</v>
      </c>
      <c r="N605" s="18">
        <v>0.018409</v>
      </c>
      <c r="O605" s="18">
        <v>0.016782</v>
      </c>
      <c r="P605" s="18">
        <v>0.01687</v>
      </c>
      <c r="Q605" s="18">
        <v>0.017434</v>
      </c>
      <c r="R605" s="18">
        <v>0.015646</v>
      </c>
      <c r="S605" s="18">
        <v>0.015034</v>
      </c>
      <c r="T605" s="18">
        <v>0.015281</v>
      </c>
      <c r="U605" s="18">
        <v>0.014891</v>
      </c>
      <c r="V605" s="18">
        <v>0.015993</v>
      </c>
      <c r="W605" s="18">
        <v>0.016151</v>
      </c>
      <c r="X605" s="18">
        <v>0.016026</v>
      </c>
      <c r="Y605" s="18">
        <v>0.016933</v>
      </c>
      <c r="Z605" s="18">
        <v>0.016842</v>
      </c>
      <c r="AA605" s="18">
        <v>0.017443</v>
      </c>
      <c r="AB605" s="18">
        <v>0.01783</v>
      </c>
      <c r="AC605" s="18">
        <v>0.01773</v>
      </c>
      <c r="AD605" s="18">
        <v>0.018396</v>
      </c>
      <c r="AE605" s="18">
        <v>0.019632</v>
      </c>
      <c r="AF605" s="18">
        <v>0.019931</v>
      </c>
      <c r="AG605" s="18">
        <v>0.020607</v>
      </c>
      <c r="AH605" s="18">
        <v>0.022505</v>
      </c>
      <c r="AI605" s="18">
        <v>0.024116</v>
      </c>
      <c r="AJ605" s="18">
        <v>0.025907</v>
      </c>
      <c r="AK605" s="18">
        <v>0.027993</v>
      </c>
      <c r="AL605" s="18">
        <v>0.029412</v>
      </c>
      <c r="AM605" s="18">
        <v>0.029422</v>
      </c>
      <c r="AN605" s="2">
        <v>0.0</v>
      </c>
      <c r="AO605" s="2">
        <v>0.0</v>
      </c>
      <c r="AP605" s="20">
        <v>0.0</v>
      </c>
      <c r="AQ605" s="20">
        <v>0.0</v>
      </c>
      <c r="AR605" s="20">
        <v>0.0</v>
      </c>
      <c r="AS605" s="20">
        <v>0.0</v>
      </c>
      <c r="AT605" s="2">
        <f>AVERAGE(L605:AM605)</f>
        <v>0.01929935714</v>
      </c>
      <c r="AU605" s="12">
        <f t="shared" si="69"/>
        <v>0.01929935714</v>
      </c>
      <c r="AV605" s="14"/>
      <c r="AW605" s="15"/>
      <c r="AX605" s="15"/>
    </row>
    <row r="606" ht="15.75" customHeight="1">
      <c r="A606" s="7">
        <v>240425.0</v>
      </c>
      <c r="B606" s="7">
        <v>74.0</v>
      </c>
      <c r="C606" s="7">
        <v>1.0</v>
      </c>
      <c r="D606" s="8" t="s">
        <v>305</v>
      </c>
      <c r="E606" s="7">
        <v>14.0</v>
      </c>
      <c r="F606" s="8" t="s">
        <v>56</v>
      </c>
      <c r="G606" s="8" t="s">
        <v>49</v>
      </c>
      <c r="H606" s="8" t="s">
        <v>61</v>
      </c>
      <c r="I606" s="22" t="s">
        <v>51</v>
      </c>
      <c r="J606" s="22" t="s">
        <v>52</v>
      </c>
      <c r="K606" s="11" t="s">
        <v>57</v>
      </c>
      <c r="L606" s="18">
        <v>0.014527</v>
      </c>
      <c r="M606" s="18">
        <v>0.01623</v>
      </c>
      <c r="N606" s="18">
        <v>0.016955</v>
      </c>
      <c r="O606" s="18">
        <v>0.016194</v>
      </c>
      <c r="P606" s="18">
        <v>0.016071</v>
      </c>
      <c r="Q606" s="18">
        <v>0.016517</v>
      </c>
      <c r="R606" s="18">
        <v>0.014891</v>
      </c>
      <c r="S606" s="18">
        <v>0.014194</v>
      </c>
      <c r="T606" s="18">
        <v>0.015661</v>
      </c>
      <c r="U606" s="18">
        <v>0.015468</v>
      </c>
      <c r="V606" s="18">
        <v>0.014436</v>
      </c>
      <c r="W606" s="18">
        <v>0.01624</v>
      </c>
      <c r="X606" s="18">
        <v>0.018594</v>
      </c>
      <c r="Y606" s="18">
        <v>0.018402</v>
      </c>
      <c r="Z606" s="18">
        <v>0.018213</v>
      </c>
      <c r="AA606" s="18">
        <v>0.017704</v>
      </c>
      <c r="AB606" s="18">
        <v>0.018525</v>
      </c>
      <c r="AC606" s="18">
        <v>0.01983</v>
      </c>
      <c r="AD606" s="18">
        <v>0.02001</v>
      </c>
      <c r="AE606" s="18">
        <v>0.020515</v>
      </c>
      <c r="AF606" s="18">
        <v>0.020343</v>
      </c>
      <c r="AG606" s="18">
        <v>0.020315</v>
      </c>
      <c r="AH606" s="18">
        <v>0.02343</v>
      </c>
      <c r="AI606" s="18">
        <v>0.025928</v>
      </c>
      <c r="AJ606" s="18">
        <v>0.021929</v>
      </c>
      <c r="AK606" s="18">
        <v>0.015439</v>
      </c>
      <c r="AL606" s="18">
        <v>0.007766</v>
      </c>
      <c r="AM606" s="2">
        <v>0.0</v>
      </c>
      <c r="AN606" s="2">
        <v>0.0</v>
      </c>
      <c r="AO606" s="2">
        <v>0.0</v>
      </c>
      <c r="AP606" s="20">
        <v>0.0</v>
      </c>
      <c r="AQ606" s="20">
        <v>0.0</v>
      </c>
      <c r="AR606" s="20">
        <v>0.0</v>
      </c>
      <c r="AS606" s="20">
        <v>0.0</v>
      </c>
      <c r="AT606" s="2">
        <f t="shared" ref="AT606:AT608" si="76">AVERAGE(L606:AL606)</f>
        <v>0.01756766667</v>
      </c>
      <c r="AU606" s="12">
        <f t="shared" si="69"/>
        <v>0.01756766667</v>
      </c>
      <c r="AV606" s="14"/>
      <c r="AW606" s="15"/>
      <c r="AX606" s="15"/>
    </row>
    <row r="607" ht="15.75" customHeight="1">
      <c r="A607" s="7">
        <v>240425.0</v>
      </c>
      <c r="B607" s="7">
        <v>74.0</v>
      </c>
      <c r="C607" s="7">
        <v>1.0</v>
      </c>
      <c r="D607" s="8" t="s">
        <v>306</v>
      </c>
      <c r="E607" s="7">
        <v>14.0</v>
      </c>
      <c r="F607" s="8" t="s">
        <v>56</v>
      </c>
      <c r="G607" s="8" t="s">
        <v>49</v>
      </c>
      <c r="H607" s="8" t="s">
        <v>50</v>
      </c>
      <c r="I607" s="22" t="s">
        <v>51</v>
      </c>
      <c r="J607" s="22" t="s">
        <v>52</v>
      </c>
      <c r="K607" s="11" t="s">
        <v>57</v>
      </c>
      <c r="L607" s="18">
        <v>0.021778</v>
      </c>
      <c r="M607" s="18">
        <v>0.017459</v>
      </c>
      <c r="N607" s="18">
        <v>0.017076</v>
      </c>
      <c r="O607" s="18">
        <v>0.018826</v>
      </c>
      <c r="P607" s="18">
        <v>0.018219</v>
      </c>
      <c r="Q607" s="18">
        <v>0.017484</v>
      </c>
      <c r="R607" s="18">
        <v>0.017916</v>
      </c>
      <c r="S607" s="18">
        <v>0.017615</v>
      </c>
      <c r="T607" s="18">
        <v>0.016545</v>
      </c>
      <c r="U607" s="18">
        <v>0.01769</v>
      </c>
      <c r="V607" s="18">
        <v>0.019632</v>
      </c>
      <c r="W607" s="18">
        <v>0.019642</v>
      </c>
      <c r="X607" s="18">
        <v>0.018388</v>
      </c>
      <c r="Y607" s="18">
        <v>0.018429</v>
      </c>
      <c r="Z607" s="18">
        <v>0.019187</v>
      </c>
      <c r="AA607" s="18">
        <v>0.019177</v>
      </c>
      <c r="AB607" s="18">
        <v>0.019512</v>
      </c>
      <c r="AC607" s="18">
        <v>0.019611</v>
      </c>
      <c r="AD607" s="18">
        <v>0.02002</v>
      </c>
      <c r="AE607" s="18">
        <v>0.020505</v>
      </c>
      <c r="AF607" s="18">
        <v>0.021309</v>
      </c>
      <c r="AG607" s="18">
        <v>0.021918</v>
      </c>
      <c r="AH607" s="18">
        <v>0.022385</v>
      </c>
      <c r="AI607" s="18">
        <v>0.023038</v>
      </c>
      <c r="AJ607" s="18">
        <v>0.024898</v>
      </c>
      <c r="AK607" s="18">
        <v>0.023464</v>
      </c>
      <c r="AL607" s="18">
        <v>0.018102</v>
      </c>
      <c r="AM607" s="18">
        <v>0.0</v>
      </c>
      <c r="AN607" s="2">
        <v>0.0</v>
      </c>
      <c r="AO607" s="2">
        <v>0.0</v>
      </c>
      <c r="AP607" s="20">
        <v>0.0</v>
      </c>
      <c r="AQ607" s="20">
        <v>0.0</v>
      </c>
      <c r="AR607" s="20">
        <v>0.0</v>
      </c>
      <c r="AS607" s="20">
        <v>0.0</v>
      </c>
      <c r="AT607" s="2">
        <f t="shared" si="76"/>
        <v>0.01962314815</v>
      </c>
      <c r="AU607" s="12">
        <f t="shared" si="69"/>
        <v>0.01962314815</v>
      </c>
      <c r="AV607" s="14"/>
      <c r="AW607" s="15"/>
      <c r="AX607" s="15"/>
    </row>
    <row r="608" ht="15.75" customHeight="1">
      <c r="A608" s="7">
        <v>240425.0</v>
      </c>
      <c r="B608" s="7">
        <v>74.0</v>
      </c>
      <c r="C608" s="7">
        <v>1.0</v>
      </c>
      <c r="D608" s="8" t="s">
        <v>307</v>
      </c>
      <c r="E608" s="7">
        <v>14.0</v>
      </c>
      <c r="F608" s="8" t="s">
        <v>56</v>
      </c>
      <c r="G608" s="8" t="s">
        <v>49</v>
      </c>
      <c r="H608" s="8" t="s">
        <v>63</v>
      </c>
      <c r="I608" s="22" t="s">
        <v>51</v>
      </c>
      <c r="J608" s="22" t="s">
        <v>52</v>
      </c>
      <c r="K608" s="11" t="s">
        <v>57</v>
      </c>
      <c r="L608" s="18">
        <v>0.012261</v>
      </c>
      <c r="M608" s="18">
        <v>0.01416</v>
      </c>
      <c r="N608" s="18">
        <v>0.013853</v>
      </c>
      <c r="O608" s="18">
        <v>0.015433</v>
      </c>
      <c r="P608" s="18">
        <v>0.015307</v>
      </c>
      <c r="Q608" s="18">
        <v>0.014273</v>
      </c>
      <c r="R608" s="18">
        <v>0.017498</v>
      </c>
      <c r="S608" s="18">
        <v>0.018274</v>
      </c>
      <c r="T608" s="18">
        <v>0.018585</v>
      </c>
      <c r="U608" s="18">
        <v>0.017748</v>
      </c>
      <c r="V608" s="18">
        <v>0.017729</v>
      </c>
      <c r="W608" s="18">
        <v>0.018839</v>
      </c>
      <c r="X608" s="18">
        <v>0.019137</v>
      </c>
      <c r="Y608" s="18">
        <v>0.020244</v>
      </c>
      <c r="Z608" s="18">
        <v>0.019902</v>
      </c>
      <c r="AA608" s="18">
        <v>0.019529</v>
      </c>
      <c r="AB608" s="18">
        <v>0.021153</v>
      </c>
      <c r="AC608" s="18">
        <v>0.021509</v>
      </c>
      <c r="AD608" s="18">
        <v>0.022036</v>
      </c>
      <c r="AE608" s="18">
        <v>0.024151</v>
      </c>
      <c r="AF608" s="18">
        <v>0.025567</v>
      </c>
      <c r="AG608" s="18">
        <v>0.026673</v>
      </c>
      <c r="AH608" s="18">
        <v>0.026081</v>
      </c>
      <c r="AI608" s="18">
        <v>0.024825</v>
      </c>
      <c r="AJ608" s="18">
        <v>0.02093</v>
      </c>
      <c r="AK608" s="18">
        <v>0.014933</v>
      </c>
      <c r="AL608" s="18">
        <v>0.009028</v>
      </c>
      <c r="AM608" s="2">
        <v>0.0</v>
      </c>
      <c r="AN608" s="2">
        <v>0.0</v>
      </c>
      <c r="AO608" s="2">
        <v>0.0</v>
      </c>
      <c r="AP608" s="20">
        <v>0.0</v>
      </c>
      <c r="AQ608" s="20">
        <v>0.0</v>
      </c>
      <c r="AR608" s="20">
        <v>0.0</v>
      </c>
      <c r="AS608" s="20">
        <v>0.0</v>
      </c>
      <c r="AT608" s="2">
        <f t="shared" si="76"/>
        <v>0.01887622222</v>
      </c>
      <c r="AU608" s="12">
        <f t="shared" si="69"/>
        <v>0.01887622222</v>
      </c>
      <c r="AV608" s="14"/>
      <c r="AW608" s="15"/>
      <c r="AX608" s="15"/>
    </row>
    <row r="609" ht="15.75" customHeight="1">
      <c r="A609" s="7">
        <v>240425.0</v>
      </c>
      <c r="B609" s="7">
        <v>74.0</v>
      </c>
      <c r="C609" s="7">
        <v>1.0</v>
      </c>
      <c r="D609" s="8" t="s">
        <v>308</v>
      </c>
      <c r="E609" s="7">
        <v>14.0</v>
      </c>
      <c r="F609" s="8" t="s">
        <v>56</v>
      </c>
      <c r="G609" s="8" t="s">
        <v>49</v>
      </c>
      <c r="H609" s="8" t="s">
        <v>65</v>
      </c>
      <c r="I609" s="22" t="s">
        <v>51</v>
      </c>
      <c r="J609" s="22" t="s">
        <v>52</v>
      </c>
      <c r="K609" s="11" t="s">
        <v>57</v>
      </c>
      <c r="L609" s="18">
        <v>0.016628</v>
      </c>
      <c r="M609" s="18">
        <v>0.017641</v>
      </c>
      <c r="N609" s="18">
        <v>0.018232</v>
      </c>
      <c r="O609" s="18">
        <v>0.018269</v>
      </c>
      <c r="P609" s="18">
        <v>0.01762</v>
      </c>
      <c r="Q609" s="18">
        <v>0.016633</v>
      </c>
      <c r="R609" s="18">
        <v>0.016156</v>
      </c>
      <c r="S609" s="18">
        <v>0.016906</v>
      </c>
      <c r="T609" s="18">
        <v>0.01706</v>
      </c>
      <c r="U609" s="18">
        <v>0.017089</v>
      </c>
      <c r="V609" s="18">
        <v>0.018306</v>
      </c>
      <c r="W609" s="18">
        <v>0.018426</v>
      </c>
      <c r="X609" s="18">
        <v>0.018848</v>
      </c>
      <c r="Y609" s="18">
        <v>0.019322</v>
      </c>
      <c r="Z609" s="18">
        <v>0.018493</v>
      </c>
      <c r="AA609" s="18">
        <v>0.019072</v>
      </c>
      <c r="AB609" s="18">
        <v>0.020056</v>
      </c>
      <c r="AC609" s="18">
        <v>0.020692</v>
      </c>
      <c r="AD609" s="18">
        <v>0.021547</v>
      </c>
      <c r="AE609" s="18">
        <v>0.021745</v>
      </c>
      <c r="AF609" s="18">
        <v>0.023915</v>
      </c>
      <c r="AG609" s="18">
        <v>0.026258</v>
      </c>
      <c r="AH609" s="18">
        <v>0.028508</v>
      </c>
      <c r="AI609" s="18">
        <v>0.030991</v>
      </c>
      <c r="AJ609" s="18">
        <v>0.030872</v>
      </c>
      <c r="AK609" s="18">
        <v>0.028006</v>
      </c>
      <c r="AL609" s="18">
        <v>0.023817</v>
      </c>
      <c r="AM609" s="18">
        <v>0.017368</v>
      </c>
      <c r="AN609" s="18">
        <v>0.008295</v>
      </c>
      <c r="AO609" s="18">
        <v>0.001324</v>
      </c>
      <c r="AP609" s="20">
        <v>0.0</v>
      </c>
      <c r="AQ609" s="20">
        <v>0.0</v>
      </c>
      <c r="AR609" s="20">
        <v>0.0</v>
      </c>
      <c r="AS609" s="20">
        <v>0.0</v>
      </c>
      <c r="AT609" s="2">
        <f>AVERAGE(L609:AO609)</f>
        <v>0.01960316667</v>
      </c>
      <c r="AU609" s="12">
        <f t="shared" si="69"/>
        <v>0.01960316667</v>
      </c>
      <c r="AV609" s="14"/>
      <c r="AW609" s="15"/>
      <c r="AX609" s="15"/>
    </row>
    <row r="610" ht="15.75" customHeight="1">
      <c r="A610" s="7">
        <v>240515.0</v>
      </c>
      <c r="B610" s="7">
        <v>80.0</v>
      </c>
      <c r="C610" s="7">
        <v>2.0</v>
      </c>
      <c r="D610" s="8" t="s">
        <v>309</v>
      </c>
      <c r="E610" s="7">
        <v>14.0</v>
      </c>
      <c r="F610" s="8" t="s">
        <v>56</v>
      </c>
      <c r="G610" s="8" t="s">
        <v>67</v>
      </c>
      <c r="H610" s="8" t="s">
        <v>63</v>
      </c>
      <c r="I610" s="22" t="s">
        <v>51</v>
      </c>
      <c r="J610" s="22" t="s">
        <v>52</v>
      </c>
      <c r="K610" s="11" t="s">
        <v>59</v>
      </c>
      <c r="L610" s="18">
        <v>0.014521</v>
      </c>
      <c r="M610" s="18">
        <v>0.014177</v>
      </c>
      <c r="N610" s="18">
        <v>0.015421</v>
      </c>
      <c r="O610" s="18">
        <v>0.017058</v>
      </c>
      <c r="P610" s="18">
        <v>0.017485</v>
      </c>
      <c r="Q610" s="18">
        <v>0.017484</v>
      </c>
      <c r="R610" s="18">
        <v>0.018043</v>
      </c>
      <c r="S610" s="18">
        <v>0.019052</v>
      </c>
      <c r="T610" s="18">
        <v>0.018333</v>
      </c>
      <c r="U610" s="18">
        <v>0.018343</v>
      </c>
      <c r="V610" s="18">
        <v>0.020298</v>
      </c>
      <c r="W610" s="18">
        <v>0.022071</v>
      </c>
      <c r="X610" s="18">
        <v>0.023383</v>
      </c>
      <c r="Y610" s="18">
        <v>0.022867</v>
      </c>
      <c r="Z610" s="18">
        <v>0.022371</v>
      </c>
      <c r="AA610" s="18">
        <v>0.023071</v>
      </c>
      <c r="AB610" s="18">
        <v>0.025981</v>
      </c>
      <c r="AC610" s="18">
        <v>0.027333</v>
      </c>
      <c r="AD610" s="18">
        <v>0.027333</v>
      </c>
      <c r="AE610" s="18">
        <v>0.029269</v>
      </c>
      <c r="AF610" s="18">
        <v>0.031059</v>
      </c>
      <c r="AG610" s="18">
        <v>0.034149</v>
      </c>
      <c r="AH610" s="18">
        <v>0.035814</v>
      </c>
      <c r="AI610" s="18">
        <v>0.034978</v>
      </c>
      <c r="AJ610" s="18">
        <v>0.025382</v>
      </c>
      <c r="AK610" s="18">
        <v>0.013394</v>
      </c>
      <c r="AL610" s="18">
        <v>0.003966</v>
      </c>
      <c r="AM610" s="2">
        <v>0.0</v>
      </c>
      <c r="AN610" s="2">
        <v>0.0</v>
      </c>
      <c r="AO610" s="2">
        <v>0.0</v>
      </c>
      <c r="AP610" s="20">
        <v>0.0</v>
      </c>
      <c r="AQ610" s="20">
        <v>0.0</v>
      </c>
      <c r="AR610" s="20">
        <v>0.0</v>
      </c>
      <c r="AS610" s="20">
        <v>0.0</v>
      </c>
      <c r="AT610" s="2">
        <f>AVERAGE(L610:AL610)</f>
        <v>0.02194948148</v>
      </c>
      <c r="AU610" s="12">
        <f t="shared" si="69"/>
        <v>0.02194948148</v>
      </c>
      <c r="AV610" s="14"/>
      <c r="AW610" s="15"/>
      <c r="AX610" s="15"/>
    </row>
    <row r="611" ht="15.75" customHeight="1">
      <c r="A611" s="7">
        <v>240515.0</v>
      </c>
      <c r="B611" s="7">
        <v>80.0</v>
      </c>
      <c r="C611" s="7">
        <v>2.0</v>
      </c>
      <c r="D611" s="8" t="s">
        <v>310</v>
      </c>
      <c r="E611" s="7">
        <v>14.0</v>
      </c>
      <c r="F611" s="8" t="s">
        <v>56</v>
      </c>
      <c r="G611" s="8" t="s">
        <v>67</v>
      </c>
      <c r="H611" s="8" t="s">
        <v>50</v>
      </c>
      <c r="I611" s="22" t="s">
        <v>51</v>
      </c>
      <c r="J611" s="22" t="s">
        <v>52</v>
      </c>
      <c r="K611" s="11" t="s">
        <v>59</v>
      </c>
      <c r="L611" s="18">
        <v>0.011298</v>
      </c>
      <c r="M611" s="18">
        <v>0.011079</v>
      </c>
      <c r="N611" s="18">
        <v>0.012132</v>
      </c>
      <c r="O611" s="18">
        <v>0.013103</v>
      </c>
      <c r="P611" s="18">
        <v>0.013367</v>
      </c>
      <c r="Q611" s="18">
        <v>0.01601</v>
      </c>
      <c r="R611" s="18">
        <v>0.018275</v>
      </c>
      <c r="S611" s="18">
        <v>0.019236</v>
      </c>
      <c r="T611" s="18">
        <v>0.019439</v>
      </c>
      <c r="U611" s="18">
        <v>0.019554</v>
      </c>
      <c r="V611" s="18">
        <v>0.020367</v>
      </c>
      <c r="W611" s="18">
        <v>0.02081</v>
      </c>
      <c r="X611" s="18">
        <v>0.020589</v>
      </c>
      <c r="Y611" s="18">
        <v>0.020216</v>
      </c>
      <c r="Z611" s="18">
        <v>0.0207</v>
      </c>
      <c r="AA611" s="18">
        <v>0.020951</v>
      </c>
      <c r="AB611" s="18">
        <v>0.020495</v>
      </c>
      <c r="AC611" s="18">
        <v>0.021343</v>
      </c>
      <c r="AD611" s="18">
        <v>0.022533</v>
      </c>
      <c r="AE611" s="18">
        <v>0.022382</v>
      </c>
      <c r="AF611" s="18">
        <v>0.023472</v>
      </c>
      <c r="AG611" s="18">
        <v>0.024483</v>
      </c>
      <c r="AH611" s="18">
        <v>0.025076</v>
      </c>
      <c r="AI611" s="18">
        <v>0.026466</v>
      </c>
      <c r="AJ611" s="18">
        <v>0.026561</v>
      </c>
      <c r="AK611" s="18">
        <v>0.026383</v>
      </c>
      <c r="AL611" s="18">
        <v>0.027928</v>
      </c>
      <c r="AM611" s="18">
        <v>0.023711</v>
      </c>
      <c r="AN611" s="18">
        <v>0.010987</v>
      </c>
      <c r="AO611" s="18">
        <v>2.85E-4</v>
      </c>
      <c r="AP611" s="20">
        <v>3.88E-4</v>
      </c>
      <c r="AQ611" s="20">
        <v>0.0</v>
      </c>
      <c r="AR611" s="3">
        <v>0.0</v>
      </c>
      <c r="AS611" s="3">
        <v>0.0</v>
      </c>
      <c r="AT611" s="2">
        <f>AVERAGE(L611:AP611)</f>
        <v>0.0186973871</v>
      </c>
      <c r="AU611" s="12">
        <f t="shared" si="69"/>
        <v>0.0186973871</v>
      </c>
      <c r="AV611" s="14"/>
      <c r="AW611" s="15"/>
      <c r="AX611" s="15"/>
    </row>
    <row r="612" ht="15.75" customHeight="1">
      <c r="A612" s="7">
        <v>240515.0</v>
      </c>
      <c r="B612" s="7">
        <v>80.0</v>
      </c>
      <c r="C612" s="7">
        <v>2.0</v>
      </c>
      <c r="D612" s="8" t="s">
        <v>311</v>
      </c>
      <c r="E612" s="7">
        <v>14.0</v>
      </c>
      <c r="F612" s="8" t="s">
        <v>56</v>
      </c>
      <c r="G612" s="8" t="s">
        <v>67</v>
      </c>
      <c r="H612" s="8" t="s">
        <v>61</v>
      </c>
      <c r="I612" s="22" t="s">
        <v>51</v>
      </c>
      <c r="J612" s="22" t="s">
        <v>52</v>
      </c>
      <c r="K612" s="11" t="s">
        <v>59</v>
      </c>
      <c r="L612" s="18">
        <v>0.013274</v>
      </c>
      <c r="M612" s="18">
        <v>0.015366</v>
      </c>
      <c r="N612" s="18">
        <v>0.017305</v>
      </c>
      <c r="O612" s="18">
        <v>0.017887</v>
      </c>
      <c r="P612" s="18">
        <v>0.018917</v>
      </c>
      <c r="Q612" s="18">
        <v>0.020907</v>
      </c>
      <c r="R612" s="18">
        <v>0.020624</v>
      </c>
      <c r="S612" s="18">
        <v>0.021196</v>
      </c>
      <c r="T612" s="18">
        <v>0.022972</v>
      </c>
      <c r="U612" s="18">
        <v>0.02138</v>
      </c>
      <c r="V612" s="18">
        <v>0.020457</v>
      </c>
      <c r="W612" s="18">
        <v>0.022515</v>
      </c>
      <c r="X612" s="18">
        <v>0.023048</v>
      </c>
      <c r="Y612" s="18">
        <v>0.023334</v>
      </c>
      <c r="Z612" s="18">
        <v>0.022867</v>
      </c>
      <c r="AA612" s="18">
        <v>0.021386</v>
      </c>
      <c r="AB612" s="18">
        <v>0.023143</v>
      </c>
      <c r="AC612" s="18">
        <v>0.023687</v>
      </c>
      <c r="AD612" s="18">
        <v>0.023578</v>
      </c>
      <c r="AE612" s="18">
        <v>0.021775</v>
      </c>
      <c r="AF612" s="18">
        <v>0.017362</v>
      </c>
      <c r="AG612" s="18">
        <v>0.014305</v>
      </c>
      <c r="AH612" s="18">
        <v>0.016077</v>
      </c>
      <c r="AI612" s="18">
        <v>0.020744</v>
      </c>
      <c r="AJ612" s="18">
        <v>0.022666</v>
      </c>
      <c r="AK612" s="18">
        <v>0.018334</v>
      </c>
      <c r="AL612" s="18">
        <v>0.007828</v>
      </c>
      <c r="AM612" s="18">
        <v>0.0</v>
      </c>
      <c r="AN612" s="2">
        <v>0.0</v>
      </c>
      <c r="AO612" s="2">
        <v>0.0</v>
      </c>
      <c r="AP612" s="20">
        <v>0.0</v>
      </c>
      <c r="AQ612" s="20">
        <v>0.0</v>
      </c>
      <c r="AR612" s="20">
        <v>0.0</v>
      </c>
      <c r="AS612" s="20">
        <v>0.0</v>
      </c>
      <c r="AT612" s="2">
        <f>AVERAGE(L612:AL612)</f>
        <v>0.0197382963</v>
      </c>
      <c r="AU612" s="12">
        <f t="shared" si="69"/>
        <v>0.0197382963</v>
      </c>
      <c r="AV612" s="14"/>
      <c r="AW612" s="15"/>
      <c r="AX612" s="15"/>
    </row>
    <row r="613" ht="15.75" customHeight="1">
      <c r="A613" s="7">
        <v>240515.0</v>
      </c>
      <c r="B613" s="7">
        <v>80.0</v>
      </c>
      <c r="C613" s="7">
        <v>2.0</v>
      </c>
      <c r="D613" s="8" t="s">
        <v>312</v>
      </c>
      <c r="E613" s="7">
        <v>14.0</v>
      </c>
      <c r="F613" s="8" t="s">
        <v>56</v>
      </c>
      <c r="G613" s="8" t="s">
        <v>67</v>
      </c>
      <c r="H613" s="8" t="s">
        <v>65</v>
      </c>
      <c r="I613" s="22" t="s">
        <v>51</v>
      </c>
      <c r="J613" s="22" t="s">
        <v>52</v>
      </c>
      <c r="K613" s="11" t="s">
        <v>59</v>
      </c>
      <c r="L613" s="18">
        <v>0.016512</v>
      </c>
      <c r="M613" s="18">
        <v>0.018396</v>
      </c>
      <c r="N613" s="18">
        <v>0.017395</v>
      </c>
      <c r="O613" s="18">
        <v>0.017665</v>
      </c>
      <c r="P613" s="18">
        <v>0.020127</v>
      </c>
      <c r="Q613" s="18">
        <v>0.021331</v>
      </c>
      <c r="R613" s="18">
        <v>0.022397</v>
      </c>
      <c r="S613" s="18">
        <v>0.020336</v>
      </c>
      <c r="T613" s="18">
        <v>0.020666</v>
      </c>
      <c r="U613" s="18">
        <v>0.02231</v>
      </c>
      <c r="V613" s="18">
        <v>0.02122</v>
      </c>
      <c r="W613" s="18">
        <v>0.020956</v>
      </c>
      <c r="X613" s="18">
        <v>0.022006</v>
      </c>
      <c r="Y613" s="18">
        <v>0.022635</v>
      </c>
      <c r="Z613" s="18">
        <v>0.02247</v>
      </c>
      <c r="AA613" s="18">
        <v>0.023471</v>
      </c>
      <c r="AB613" s="18">
        <v>0.02408</v>
      </c>
      <c r="AC613" s="18">
        <v>0.024001</v>
      </c>
      <c r="AD613" s="18">
        <v>0.024305</v>
      </c>
      <c r="AE613" s="18">
        <v>0.02631</v>
      </c>
      <c r="AF613" s="18">
        <v>0.029502</v>
      </c>
      <c r="AG613" s="18">
        <v>0.029723</v>
      </c>
      <c r="AH613" s="18">
        <v>0.028706</v>
      </c>
      <c r="AI613" s="18">
        <v>0.02673</v>
      </c>
      <c r="AJ613" s="18">
        <v>0.019164</v>
      </c>
      <c r="AK613" s="18">
        <v>3.8E-4</v>
      </c>
      <c r="AL613" s="2">
        <v>0.0</v>
      </c>
      <c r="AM613" s="2">
        <v>0.0</v>
      </c>
      <c r="AN613" s="2">
        <v>0.0</v>
      </c>
      <c r="AO613" s="2">
        <v>0.0</v>
      </c>
      <c r="AP613" s="20">
        <v>0.0</v>
      </c>
      <c r="AQ613" s="20">
        <v>0.0</v>
      </c>
      <c r="AR613" s="20">
        <v>0.0</v>
      </c>
      <c r="AS613" s="20">
        <v>0.0</v>
      </c>
      <c r="AT613" s="2">
        <f>AVERAGE(L613:AK613)</f>
        <v>0.02164592308</v>
      </c>
      <c r="AU613" s="12">
        <f t="shared" si="69"/>
        <v>0.02164592308</v>
      </c>
      <c r="AV613" s="14"/>
      <c r="AW613" s="15"/>
      <c r="AX613" s="15"/>
    </row>
    <row r="614" ht="15.75" customHeight="1">
      <c r="A614" s="7">
        <v>240701.0</v>
      </c>
      <c r="B614" s="7">
        <v>80.0</v>
      </c>
      <c r="C614" s="7">
        <v>2.0</v>
      </c>
      <c r="D614" s="8" t="s">
        <v>313</v>
      </c>
      <c r="E614" s="7">
        <v>14.0</v>
      </c>
      <c r="F614" s="8" t="s">
        <v>56</v>
      </c>
      <c r="G614" s="8" t="s">
        <v>49</v>
      </c>
      <c r="H614" s="8" t="s">
        <v>65</v>
      </c>
      <c r="I614" s="11" t="s">
        <v>146</v>
      </c>
      <c r="J614" s="22" t="s">
        <v>52</v>
      </c>
      <c r="K614" s="11" t="s">
        <v>59</v>
      </c>
      <c r="L614" s="12">
        <v>0.0335396</v>
      </c>
      <c r="M614" s="12">
        <v>0.0312369</v>
      </c>
      <c r="N614" s="12">
        <v>0.0313835</v>
      </c>
      <c r="O614" s="12">
        <v>0.0327428</v>
      </c>
      <c r="P614" s="12">
        <v>0.0350278</v>
      </c>
      <c r="Q614" s="12">
        <v>0.0368168</v>
      </c>
      <c r="R614" s="12">
        <v>0.0369092</v>
      </c>
      <c r="S614" s="12">
        <v>0.0370544</v>
      </c>
      <c r="T614" s="12">
        <v>0.0376674</v>
      </c>
      <c r="U614" s="12">
        <v>0.0384218</v>
      </c>
      <c r="V614" s="12">
        <v>0.0365909</v>
      </c>
      <c r="W614" s="12">
        <v>0.034308</v>
      </c>
      <c r="X614" s="12">
        <v>0.0343281</v>
      </c>
      <c r="Y614" s="12">
        <v>0.0332747</v>
      </c>
      <c r="Z614" s="12">
        <v>0.0316991</v>
      </c>
      <c r="AA614" s="12">
        <v>0.0320967</v>
      </c>
      <c r="AB614" s="12">
        <v>0.0325397</v>
      </c>
      <c r="AC614" s="12">
        <v>0.0318627</v>
      </c>
      <c r="AD614" s="12">
        <v>0.03213</v>
      </c>
      <c r="AE614" s="12">
        <v>0.0325736</v>
      </c>
      <c r="AF614" s="12">
        <v>0.0338045</v>
      </c>
      <c r="AG614" s="12">
        <v>0.0340568</v>
      </c>
      <c r="AH614" s="12">
        <v>0.0327013</v>
      </c>
      <c r="AI614" s="12">
        <v>0.032235</v>
      </c>
      <c r="AJ614" s="12">
        <v>0.032284</v>
      </c>
      <c r="AK614" s="12">
        <v>0.0312465</v>
      </c>
      <c r="AL614" s="12">
        <v>0.0282889</v>
      </c>
      <c r="AM614" s="12">
        <v>0.0217783</v>
      </c>
      <c r="AN614" s="12">
        <v>0.0111371</v>
      </c>
      <c r="AO614" s="12">
        <v>7.68E-5</v>
      </c>
      <c r="AP614" s="13"/>
      <c r="AQ614" s="13"/>
      <c r="AR614" s="13"/>
      <c r="AS614" s="13"/>
      <c r="AT614" s="12"/>
      <c r="AU614" s="12">
        <f t="shared" si="69"/>
        <v>0.03132709667</v>
      </c>
      <c r="AV614" s="15"/>
      <c r="AW614" s="15"/>
    </row>
    <row r="615" ht="15.75" customHeight="1">
      <c r="A615" s="7">
        <v>240701.0</v>
      </c>
      <c r="B615" s="7">
        <v>80.0</v>
      </c>
      <c r="C615" s="7">
        <v>2.0</v>
      </c>
      <c r="D615" s="8" t="s">
        <v>314</v>
      </c>
      <c r="E615" s="7">
        <v>14.0</v>
      </c>
      <c r="F615" s="8" t="s">
        <v>56</v>
      </c>
      <c r="G615" s="8" t="s">
        <v>49</v>
      </c>
      <c r="H615" s="8" t="s">
        <v>63</v>
      </c>
      <c r="I615" s="11" t="s">
        <v>146</v>
      </c>
      <c r="J615" s="22" t="s">
        <v>52</v>
      </c>
      <c r="K615" s="11" t="s">
        <v>59</v>
      </c>
      <c r="L615" s="12">
        <v>0.0323555</v>
      </c>
      <c r="M615" s="12">
        <v>0.0325145</v>
      </c>
      <c r="N615" s="12">
        <v>0.0325705</v>
      </c>
      <c r="O615" s="12">
        <v>0.0324227</v>
      </c>
      <c r="P615" s="12">
        <v>0.0318922</v>
      </c>
      <c r="Q615" s="12">
        <v>0.0306944</v>
      </c>
      <c r="R615" s="12">
        <v>0.0290196</v>
      </c>
      <c r="S615" s="12">
        <v>0.0285177</v>
      </c>
      <c r="T615" s="12">
        <v>0.0301509</v>
      </c>
      <c r="U615" s="12">
        <v>0.0299203</v>
      </c>
      <c r="V615" s="12">
        <v>0.030218</v>
      </c>
      <c r="W615" s="12">
        <v>0.0318816</v>
      </c>
      <c r="X615" s="12">
        <v>0.030635</v>
      </c>
      <c r="Y615" s="12">
        <v>0.0291573</v>
      </c>
      <c r="Z615" s="12">
        <v>0.0301549</v>
      </c>
      <c r="AA615" s="12">
        <v>0.0303</v>
      </c>
      <c r="AB615" s="12">
        <v>0.0307101</v>
      </c>
      <c r="AC615" s="12">
        <v>0.0328766</v>
      </c>
      <c r="AD615" s="12">
        <v>0.0332195</v>
      </c>
      <c r="AE615" s="12">
        <v>0.0328035</v>
      </c>
      <c r="AF615" s="12">
        <v>0.0317653</v>
      </c>
      <c r="AG615" s="12">
        <v>0.0298822</v>
      </c>
      <c r="AH615" s="12">
        <v>0.0280832</v>
      </c>
      <c r="AI615" s="12">
        <v>0.0280642</v>
      </c>
      <c r="AJ615" s="12">
        <v>0.0293435</v>
      </c>
      <c r="AK615" s="12">
        <v>0.030828</v>
      </c>
      <c r="AL615" s="12">
        <v>0.0222148</v>
      </c>
      <c r="AM615" s="12">
        <v>0.0070572</v>
      </c>
      <c r="AN615" s="12">
        <v>0.0</v>
      </c>
      <c r="AO615" s="12">
        <v>0.0</v>
      </c>
      <c r="AP615" s="13"/>
      <c r="AQ615" s="13"/>
      <c r="AR615" s="13"/>
      <c r="AS615" s="13"/>
      <c r="AT615" s="12"/>
      <c r="AU615" s="12">
        <f t="shared" si="69"/>
        <v>0.02961618571</v>
      </c>
      <c r="AV615" s="15"/>
      <c r="AW615" s="15"/>
    </row>
    <row r="616" ht="15.75" customHeight="1">
      <c r="A616" s="7">
        <v>240701.0</v>
      </c>
      <c r="B616" s="7">
        <v>80.0</v>
      </c>
      <c r="C616" s="7">
        <v>2.0</v>
      </c>
      <c r="D616" s="8" t="s">
        <v>315</v>
      </c>
      <c r="E616" s="7">
        <v>14.0</v>
      </c>
      <c r="F616" s="8" t="s">
        <v>56</v>
      </c>
      <c r="G616" s="8" t="s">
        <v>49</v>
      </c>
      <c r="H616" s="8" t="s">
        <v>50</v>
      </c>
      <c r="I616" s="11" t="s">
        <v>146</v>
      </c>
      <c r="J616" s="22" t="s">
        <v>52</v>
      </c>
      <c r="K616" s="11" t="s">
        <v>59</v>
      </c>
      <c r="L616" s="12">
        <v>0.0284721</v>
      </c>
      <c r="M616" s="12">
        <v>0.0272567</v>
      </c>
      <c r="N616" s="12">
        <v>0.0260829</v>
      </c>
      <c r="O616" s="12">
        <v>0.0258799</v>
      </c>
      <c r="P616" s="12">
        <v>0.0260097</v>
      </c>
      <c r="Q616" s="12">
        <v>0.0249666</v>
      </c>
      <c r="R616" s="12">
        <v>0.0221335</v>
      </c>
      <c r="S616" s="12">
        <v>0.0213558</v>
      </c>
      <c r="T616" s="12">
        <v>0.0261394</v>
      </c>
      <c r="U616" s="12">
        <v>0.0301558</v>
      </c>
      <c r="V616" s="12">
        <v>0.0320466</v>
      </c>
      <c r="W616" s="12">
        <v>0.0338114</v>
      </c>
      <c r="X616" s="12">
        <v>0.0341103</v>
      </c>
      <c r="Y616" s="12">
        <v>0.0341715</v>
      </c>
      <c r="Z616" s="12">
        <v>0.0349821</v>
      </c>
      <c r="AA616" s="12">
        <v>0.0354313</v>
      </c>
      <c r="AB616" s="12">
        <v>0.0345557</v>
      </c>
      <c r="AC616" s="12">
        <v>0.034461</v>
      </c>
      <c r="AD616" s="12">
        <v>0.0321324</v>
      </c>
      <c r="AE616" s="12">
        <v>0.0309677</v>
      </c>
      <c r="AF616" s="12">
        <v>0.0318045</v>
      </c>
      <c r="AG616" s="12">
        <v>0.0288578</v>
      </c>
      <c r="AH616" s="12">
        <v>0.0230366</v>
      </c>
      <c r="AI616" s="12">
        <v>0.0181758</v>
      </c>
      <c r="AJ616" s="12">
        <v>0.0149748</v>
      </c>
      <c r="AK616" s="12">
        <v>0.0091845</v>
      </c>
      <c r="AL616" s="12">
        <v>0.0030327</v>
      </c>
      <c r="AM616" s="12">
        <v>2.951E-4</v>
      </c>
      <c r="AN616" s="12">
        <v>0.0</v>
      </c>
      <c r="AO616" s="12">
        <v>0.0</v>
      </c>
      <c r="AP616" s="13"/>
      <c r="AQ616" s="13"/>
      <c r="AR616" s="13"/>
      <c r="AS616" s="13"/>
      <c r="AT616" s="12"/>
      <c r="AU616" s="12">
        <f t="shared" si="69"/>
        <v>0.02587443571</v>
      </c>
      <c r="AV616" s="15"/>
      <c r="AW616" s="15"/>
    </row>
    <row r="617" ht="15.75" customHeight="1">
      <c r="A617" s="7">
        <v>240705.0</v>
      </c>
      <c r="B617" s="7">
        <v>80.0</v>
      </c>
      <c r="C617" s="7">
        <v>2.0</v>
      </c>
      <c r="D617" s="8" t="s">
        <v>316</v>
      </c>
      <c r="E617" s="7">
        <v>14.0</v>
      </c>
      <c r="F617" s="8" t="s">
        <v>56</v>
      </c>
      <c r="G617" s="8" t="s">
        <v>49</v>
      </c>
      <c r="H617" s="8" t="s">
        <v>61</v>
      </c>
      <c r="I617" s="11" t="s">
        <v>146</v>
      </c>
      <c r="J617" s="22" t="s">
        <v>52</v>
      </c>
      <c r="K617" s="11" t="s">
        <v>59</v>
      </c>
      <c r="L617" s="12">
        <v>0.0323908</v>
      </c>
      <c r="M617" s="12">
        <v>0.0298211</v>
      </c>
      <c r="N617" s="12">
        <v>0.0315601</v>
      </c>
      <c r="O617" s="12">
        <v>0.0344348</v>
      </c>
      <c r="P617" s="12">
        <v>0.0345075</v>
      </c>
      <c r="Q617" s="12">
        <v>0.0349095</v>
      </c>
      <c r="R617" s="12">
        <v>0.0362556</v>
      </c>
      <c r="S617" s="12">
        <v>0.0362285</v>
      </c>
      <c r="T617" s="12">
        <v>0.0356347</v>
      </c>
      <c r="U617" s="12">
        <v>0.0360932</v>
      </c>
      <c r="V617" s="12">
        <v>0.0361053</v>
      </c>
      <c r="W617" s="12">
        <v>0.0342917</v>
      </c>
      <c r="X617" s="12">
        <v>0.0330891</v>
      </c>
      <c r="Y617" s="12">
        <v>0.0331062</v>
      </c>
      <c r="Z617" s="12">
        <v>0.0326739</v>
      </c>
      <c r="AA617" s="12">
        <v>0.0324502</v>
      </c>
      <c r="AB617" s="12">
        <v>0.0309522</v>
      </c>
      <c r="AC617" s="12">
        <v>0.0307211</v>
      </c>
      <c r="AD617" s="12">
        <v>0.0322823</v>
      </c>
      <c r="AE617" s="12">
        <v>0.0322901</v>
      </c>
      <c r="AF617" s="12">
        <v>0.0343588</v>
      </c>
      <c r="AG617" s="12">
        <v>0.0358269</v>
      </c>
      <c r="AH617" s="12">
        <v>0.0292876</v>
      </c>
      <c r="AI617" s="12">
        <v>0.0146983</v>
      </c>
      <c r="AJ617" s="12">
        <v>0.0026344</v>
      </c>
      <c r="AK617" s="12">
        <v>0.0</v>
      </c>
      <c r="AL617" s="12">
        <v>0.0</v>
      </c>
      <c r="AM617" s="12">
        <v>0.0</v>
      </c>
      <c r="AN617" s="12">
        <v>0.0</v>
      </c>
      <c r="AO617" s="12">
        <v>0.0</v>
      </c>
      <c r="AP617" s="13"/>
      <c r="AQ617" s="13"/>
      <c r="AR617" s="13"/>
      <c r="AS617" s="13"/>
      <c r="AT617" s="12"/>
      <c r="AU617" s="12">
        <f t="shared" si="69"/>
        <v>0.031464156</v>
      </c>
      <c r="AV617" s="15"/>
      <c r="AW617" s="15"/>
    </row>
    <row r="618" ht="15.75" customHeight="1">
      <c r="A618" s="7">
        <v>240723.0</v>
      </c>
      <c r="B618" s="7">
        <v>80.0</v>
      </c>
      <c r="C618" s="7">
        <v>2.0</v>
      </c>
      <c r="D618" s="8" t="s">
        <v>317</v>
      </c>
      <c r="E618" s="7">
        <v>14.0</v>
      </c>
      <c r="F618" s="8" t="s">
        <v>48</v>
      </c>
      <c r="G618" s="8" t="s">
        <v>49</v>
      </c>
      <c r="H618" s="8" t="s">
        <v>63</v>
      </c>
      <c r="I618" s="11" t="s">
        <v>146</v>
      </c>
      <c r="J618" s="22" t="s">
        <v>52</v>
      </c>
      <c r="K618" s="11" t="s">
        <v>70</v>
      </c>
      <c r="L618" s="12">
        <v>0.0192155</v>
      </c>
      <c r="M618" s="12">
        <v>0.0219607</v>
      </c>
      <c r="N618" s="12">
        <v>0.0235882</v>
      </c>
      <c r="O618" s="12">
        <v>0.0257868</v>
      </c>
      <c r="P618" s="12">
        <v>0.026499</v>
      </c>
      <c r="Q618" s="12">
        <v>0.02716</v>
      </c>
      <c r="R618" s="12">
        <v>0.0289036</v>
      </c>
      <c r="S618" s="12">
        <v>0.0290358</v>
      </c>
      <c r="T618" s="12">
        <v>0.0299028</v>
      </c>
      <c r="U618" s="12">
        <v>0.0303003</v>
      </c>
      <c r="V618" s="12">
        <v>0.0310747</v>
      </c>
      <c r="W618" s="12">
        <v>0.0313559</v>
      </c>
      <c r="X618" s="12">
        <v>0.0305394</v>
      </c>
      <c r="Y618" s="12">
        <v>0.0308147</v>
      </c>
      <c r="Z618" s="12">
        <v>0.0312089</v>
      </c>
      <c r="AA618" s="12">
        <v>0.0309632</v>
      </c>
      <c r="AB618" s="12">
        <v>0.0312833</v>
      </c>
      <c r="AC618" s="12">
        <v>0.0299341</v>
      </c>
      <c r="AD618" s="12">
        <v>0.0284014</v>
      </c>
      <c r="AE618" s="12">
        <v>0.0279245</v>
      </c>
      <c r="AF618" s="12">
        <v>0.0250907</v>
      </c>
      <c r="AG618" s="12">
        <v>0.0235328</v>
      </c>
      <c r="AH618" s="12">
        <v>0.0223103</v>
      </c>
      <c r="AI618" s="12">
        <v>0.0199039</v>
      </c>
      <c r="AJ618" s="12">
        <v>0.0178073</v>
      </c>
      <c r="AK618" s="12">
        <v>0.0124634</v>
      </c>
      <c r="AL618" s="12">
        <v>0.0041203</v>
      </c>
      <c r="AM618" s="12">
        <v>1.292E-4</v>
      </c>
      <c r="AN618" s="12">
        <v>0.0</v>
      </c>
      <c r="AO618" s="12">
        <v>0.0</v>
      </c>
      <c r="AP618" s="13"/>
      <c r="AQ618" s="13"/>
      <c r="AR618" s="13"/>
      <c r="AS618" s="13"/>
      <c r="AT618" s="12"/>
      <c r="AU618" s="12">
        <f t="shared" si="69"/>
        <v>0.02468609643</v>
      </c>
      <c r="AV618" s="15"/>
      <c r="AW618" s="15"/>
    </row>
    <row r="619" ht="15.75" customHeight="1">
      <c r="A619" s="7">
        <v>240723.0</v>
      </c>
      <c r="B619" s="7">
        <v>80.0</v>
      </c>
      <c r="C619" s="7">
        <v>2.0</v>
      </c>
      <c r="D619" s="8" t="s">
        <v>318</v>
      </c>
      <c r="E619" s="7">
        <v>14.0</v>
      </c>
      <c r="F619" s="8" t="s">
        <v>48</v>
      </c>
      <c r="G619" s="8" t="s">
        <v>49</v>
      </c>
      <c r="H619" s="8" t="s">
        <v>65</v>
      </c>
      <c r="I619" s="11" t="s">
        <v>146</v>
      </c>
      <c r="J619" s="22" t="s">
        <v>52</v>
      </c>
      <c r="K619" s="11" t="s">
        <v>70</v>
      </c>
      <c r="L619" s="12">
        <v>0.0339582</v>
      </c>
      <c r="M619" s="12">
        <v>0.0348751</v>
      </c>
      <c r="N619" s="12">
        <v>0.0358544</v>
      </c>
      <c r="O619" s="12">
        <v>0.0357392</v>
      </c>
      <c r="P619" s="12">
        <v>0.0348711</v>
      </c>
      <c r="Q619" s="12">
        <v>0.0349695</v>
      </c>
      <c r="R619" s="12">
        <v>0.0361293</v>
      </c>
      <c r="S619" s="12">
        <v>0.0354673</v>
      </c>
      <c r="T619" s="12">
        <v>0.0340484</v>
      </c>
      <c r="U619" s="12">
        <v>0.0357435</v>
      </c>
      <c r="V619" s="12">
        <v>0.0352657</v>
      </c>
      <c r="W619" s="12">
        <v>0.0333422</v>
      </c>
      <c r="X619" s="12">
        <v>0.0353738</v>
      </c>
      <c r="Y619" s="12">
        <v>0.0365949</v>
      </c>
      <c r="Z619" s="12">
        <v>0.0363572</v>
      </c>
      <c r="AA619" s="12">
        <v>0.0374541</v>
      </c>
      <c r="AB619" s="12">
        <v>0.0363457</v>
      </c>
      <c r="AC619" s="12">
        <v>0.0330594</v>
      </c>
      <c r="AD619" s="12">
        <v>0.0316673</v>
      </c>
      <c r="AE619" s="12">
        <v>0.0325407</v>
      </c>
      <c r="AF619" s="12">
        <v>0.0320252</v>
      </c>
      <c r="AG619" s="12">
        <v>0.0303279</v>
      </c>
      <c r="AH619" s="12">
        <v>0.0303282</v>
      </c>
      <c r="AI619" s="12">
        <v>0.0314743</v>
      </c>
      <c r="AJ619" s="12">
        <v>0.0305478</v>
      </c>
      <c r="AK619" s="12">
        <v>0.0182702</v>
      </c>
      <c r="AL619" s="12">
        <v>0.0059688</v>
      </c>
      <c r="AM619" s="12">
        <v>0.0044238</v>
      </c>
      <c r="AN619" s="12">
        <v>0.0</v>
      </c>
      <c r="AO619" s="12">
        <v>0.0</v>
      </c>
      <c r="AP619" s="13"/>
      <c r="AQ619" s="13"/>
      <c r="AR619" s="13"/>
      <c r="AS619" s="13"/>
      <c r="AT619" s="12"/>
      <c r="AU619" s="12">
        <f t="shared" si="69"/>
        <v>0.03153654286</v>
      </c>
      <c r="AV619" s="15"/>
      <c r="AW619" s="15"/>
    </row>
    <row r="620" ht="15.75" customHeight="1">
      <c r="A620" s="7">
        <v>240723.0</v>
      </c>
      <c r="B620" s="7">
        <v>80.0</v>
      </c>
      <c r="C620" s="7">
        <v>2.0</v>
      </c>
      <c r="D620" s="8" t="s">
        <v>319</v>
      </c>
      <c r="E620" s="7">
        <v>14.0</v>
      </c>
      <c r="F620" s="8" t="s">
        <v>48</v>
      </c>
      <c r="G620" s="8" t="s">
        <v>49</v>
      </c>
      <c r="H620" s="8" t="s">
        <v>61</v>
      </c>
      <c r="I620" s="11" t="s">
        <v>146</v>
      </c>
      <c r="J620" s="22" t="s">
        <v>52</v>
      </c>
      <c r="K620" s="11" t="s">
        <v>70</v>
      </c>
      <c r="L620" s="12">
        <v>0.0326474</v>
      </c>
      <c r="M620" s="12">
        <v>0.0328052</v>
      </c>
      <c r="N620" s="12">
        <v>0.0338788</v>
      </c>
      <c r="O620" s="12">
        <v>0.0345447</v>
      </c>
      <c r="P620" s="12">
        <v>0.0356308</v>
      </c>
      <c r="Q620" s="12">
        <v>0.0350281</v>
      </c>
      <c r="R620" s="12">
        <v>0.0336049</v>
      </c>
      <c r="S620" s="12">
        <v>0.031925</v>
      </c>
      <c r="T620" s="12">
        <v>0.0278194</v>
      </c>
      <c r="U620" s="12">
        <v>0.0288685</v>
      </c>
      <c r="V620" s="12">
        <v>0.033762</v>
      </c>
      <c r="W620" s="12">
        <v>0.0362638</v>
      </c>
      <c r="X620" s="12">
        <v>0.0359151</v>
      </c>
      <c r="Y620" s="12">
        <v>0.0358226</v>
      </c>
      <c r="Z620" s="12">
        <v>0.0345468</v>
      </c>
      <c r="AA620" s="12">
        <v>0.0334817</v>
      </c>
      <c r="AB620" s="12">
        <v>0.031404</v>
      </c>
      <c r="AC620" s="12">
        <v>0.0299482</v>
      </c>
      <c r="AD620" s="12">
        <v>0.0292743</v>
      </c>
      <c r="AE620" s="12">
        <v>0.0262237</v>
      </c>
      <c r="AF620" s="12">
        <v>0.0253163</v>
      </c>
      <c r="AG620" s="12">
        <v>0.0259065</v>
      </c>
      <c r="AH620" s="12">
        <v>0.0266658</v>
      </c>
      <c r="AI620" s="12">
        <v>0.0278048</v>
      </c>
      <c r="AJ620" s="12">
        <v>0.0163771</v>
      </c>
      <c r="AK620" s="12">
        <v>0.0032228</v>
      </c>
      <c r="AL620" s="12">
        <v>0.0</v>
      </c>
      <c r="AM620" s="12">
        <v>0.0</v>
      </c>
      <c r="AN620" s="12">
        <v>0.0</v>
      </c>
      <c r="AO620" s="12">
        <v>0.0</v>
      </c>
      <c r="AP620" s="13"/>
      <c r="AQ620" s="13"/>
      <c r="AR620" s="13"/>
      <c r="AS620" s="13"/>
      <c r="AT620" s="12"/>
      <c r="AU620" s="12">
        <f t="shared" si="69"/>
        <v>0.02994955</v>
      </c>
      <c r="AV620" s="15"/>
      <c r="AW620" s="15"/>
    </row>
    <row r="621" ht="15.75" customHeight="1">
      <c r="A621" s="7">
        <v>240723.0</v>
      </c>
      <c r="B621" s="7">
        <v>80.0</v>
      </c>
      <c r="C621" s="7">
        <v>2.0</v>
      </c>
      <c r="D621" s="8" t="s">
        <v>320</v>
      </c>
      <c r="E621" s="7">
        <v>14.0</v>
      </c>
      <c r="F621" s="8" t="s">
        <v>48</v>
      </c>
      <c r="G621" s="8" t="s">
        <v>49</v>
      </c>
      <c r="H621" s="8" t="s">
        <v>50</v>
      </c>
      <c r="I621" s="11" t="s">
        <v>146</v>
      </c>
      <c r="J621" s="22" t="s">
        <v>52</v>
      </c>
      <c r="K621" s="11" t="s">
        <v>70</v>
      </c>
      <c r="L621" s="12">
        <v>0.0208563</v>
      </c>
      <c r="M621" s="12">
        <v>0.0286108</v>
      </c>
      <c r="N621" s="12">
        <v>0.0350222</v>
      </c>
      <c r="O621" s="12">
        <v>0.036601</v>
      </c>
      <c r="P621" s="12">
        <v>0.035492</v>
      </c>
      <c r="Q621" s="12">
        <v>0.0351487</v>
      </c>
      <c r="R621" s="12">
        <v>0.0346004</v>
      </c>
      <c r="S621" s="12">
        <v>0.0329926</v>
      </c>
      <c r="T621" s="12">
        <v>0.0303132</v>
      </c>
      <c r="U621" s="12">
        <v>0.0298626</v>
      </c>
      <c r="V621" s="12">
        <v>0.0319973</v>
      </c>
      <c r="W621" s="12">
        <v>0.0327379</v>
      </c>
      <c r="X621" s="12">
        <v>0.0302695</v>
      </c>
      <c r="Y621" s="12">
        <v>0.0293234</v>
      </c>
      <c r="Z621" s="12">
        <v>0.0311362</v>
      </c>
      <c r="AA621" s="12">
        <v>0.030779</v>
      </c>
      <c r="AB621" s="12">
        <v>0.0325749</v>
      </c>
      <c r="AC621" s="12">
        <v>0.0346478</v>
      </c>
      <c r="AD621" s="12">
        <v>0.0350496</v>
      </c>
      <c r="AE621" s="12">
        <v>0.0332393</v>
      </c>
      <c r="AF621" s="12">
        <v>0.0289484</v>
      </c>
      <c r="AG621" s="12">
        <v>0.0264329</v>
      </c>
      <c r="AH621" s="12">
        <v>0.0245463</v>
      </c>
      <c r="AI621" s="12">
        <v>0.0222037</v>
      </c>
      <c r="AJ621" s="12">
        <v>0.0149753</v>
      </c>
      <c r="AK621" s="12">
        <v>0.0096583</v>
      </c>
      <c r="AL621" s="12">
        <v>0.0083059</v>
      </c>
      <c r="AM621" s="12">
        <v>0.0028136</v>
      </c>
      <c r="AN621" s="12">
        <v>0.0</v>
      </c>
      <c r="AO621" s="12">
        <v>0.0</v>
      </c>
      <c r="AP621" s="13"/>
      <c r="AQ621" s="13"/>
      <c r="AR621" s="13"/>
      <c r="AS621" s="13"/>
      <c r="AT621" s="12"/>
      <c r="AU621" s="12">
        <f t="shared" si="69"/>
        <v>0.02782639643</v>
      </c>
      <c r="AV621" s="15"/>
      <c r="AW621" s="15"/>
    </row>
    <row r="622" ht="15.75" customHeight="1">
      <c r="A622" s="7">
        <v>240701.0</v>
      </c>
      <c r="B622" s="7">
        <v>80.0</v>
      </c>
      <c r="C622" s="7">
        <v>2.0</v>
      </c>
      <c r="D622" s="8" t="s">
        <v>313</v>
      </c>
      <c r="E622" s="7">
        <v>14.0</v>
      </c>
      <c r="F622" s="8" t="s">
        <v>56</v>
      </c>
      <c r="G622" s="8" t="s">
        <v>49</v>
      </c>
      <c r="H622" s="8" t="s">
        <v>65</v>
      </c>
      <c r="I622" s="11" t="s">
        <v>185</v>
      </c>
      <c r="J622" s="22" t="s">
        <v>52</v>
      </c>
      <c r="K622" s="11" t="s">
        <v>59</v>
      </c>
      <c r="L622" s="12">
        <v>0.0181355</v>
      </c>
      <c r="M622" s="12">
        <v>0.0168036</v>
      </c>
      <c r="N622" s="12">
        <v>0.0141035</v>
      </c>
      <c r="O622" s="12">
        <v>0.0120295</v>
      </c>
      <c r="P622" s="12">
        <v>0.0121851</v>
      </c>
      <c r="Q622" s="12">
        <v>0.013951</v>
      </c>
      <c r="R622" s="12">
        <v>0.014676</v>
      </c>
      <c r="S622" s="12">
        <v>0.0142141</v>
      </c>
      <c r="T622" s="12">
        <v>0.0144925</v>
      </c>
      <c r="U622" s="12">
        <v>0.0145663</v>
      </c>
      <c r="V622" s="12">
        <v>0.0145023</v>
      </c>
      <c r="W622" s="12">
        <v>0.012458</v>
      </c>
      <c r="X622" s="12">
        <v>0.0111161</v>
      </c>
      <c r="Y622" s="12">
        <v>0.0117747</v>
      </c>
      <c r="Z622" s="12">
        <v>0.0120902</v>
      </c>
      <c r="AA622" s="12">
        <v>0.0105149</v>
      </c>
      <c r="AB622" s="12">
        <v>0.0085285</v>
      </c>
      <c r="AC622" s="12">
        <v>0.0073457</v>
      </c>
      <c r="AD622" s="12">
        <v>0.0067874</v>
      </c>
      <c r="AE622" s="12">
        <v>0.0068951</v>
      </c>
      <c r="AF622" s="12">
        <v>0.0074172</v>
      </c>
      <c r="AG622" s="12">
        <v>0.0085716</v>
      </c>
      <c r="AH622" s="12">
        <v>0.0081959</v>
      </c>
      <c r="AI622" s="12">
        <v>0.0074761</v>
      </c>
      <c r="AJ622" s="12">
        <v>0.0075594</v>
      </c>
      <c r="AK622" s="12">
        <v>0.008017</v>
      </c>
      <c r="AL622" s="12">
        <v>0.0083213</v>
      </c>
      <c r="AM622" s="12">
        <v>0.0061239</v>
      </c>
      <c r="AN622" s="12">
        <v>0.0018163</v>
      </c>
      <c r="AO622" s="12">
        <v>0.0</v>
      </c>
      <c r="AP622" s="13"/>
      <c r="AQ622" s="13"/>
      <c r="AR622" s="13"/>
      <c r="AS622" s="13"/>
      <c r="AT622" s="12"/>
      <c r="AU622" s="12">
        <f t="shared" si="69"/>
        <v>0.01071271379</v>
      </c>
      <c r="AV622" s="15"/>
      <c r="AW622" s="15"/>
    </row>
    <row r="623" ht="15.75" customHeight="1">
      <c r="A623" s="7">
        <v>240701.0</v>
      </c>
      <c r="B623" s="7">
        <v>80.0</v>
      </c>
      <c r="C623" s="7">
        <v>2.0</v>
      </c>
      <c r="D623" s="8" t="s">
        <v>314</v>
      </c>
      <c r="E623" s="7">
        <v>14.0</v>
      </c>
      <c r="F623" s="8" t="s">
        <v>56</v>
      </c>
      <c r="G623" s="8" t="s">
        <v>49</v>
      </c>
      <c r="H623" s="8" t="s">
        <v>63</v>
      </c>
      <c r="I623" s="11" t="s">
        <v>185</v>
      </c>
      <c r="J623" s="22" t="s">
        <v>52</v>
      </c>
      <c r="K623" s="11" t="s">
        <v>59</v>
      </c>
      <c r="L623" s="12">
        <v>0.0147051</v>
      </c>
      <c r="M623" s="12">
        <v>0.0126517</v>
      </c>
      <c r="N623" s="12">
        <v>0.0109967</v>
      </c>
      <c r="O623" s="12">
        <v>0.0104157</v>
      </c>
      <c r="P623" s="12">
        <v>0.0104957</v>
      </c>
      <c r="Q623" s="12">
        <v>0.010665</v>
      </c>
      <c r="R623" s="12">
        <v>0.0105333</v>
      </c>
      <c r="S623" s="12">
        <v>0.0099762</v>
      </c>
      <c r="T623" s="12">
        <v>0.0103505</v>
      </c>
      <c r="U623" s="12">
        <v>0.0102782</v>
      </c>
      <c r="V623" s="12">
        <v>0.01</v>
      </c>
      <c r="W623" s="12">
        <v>0.0107499</v>
      </c>
      <c r="X623" s="12">
        <v>0.0120062</v>
      </c>
      <c r="Y623" s="12">
        <v>0.0112067</v>
      </c>
      <c r="Z623" s="12">
        <v>0.0100892</v>
      </c>
      <c r="AA623" s="12">
        <v>0.0101347</v>
      </c>
      <c r="AB623" s="12">
        <v>0.0100524</v>
      </c>
      <c r="AC623" s="12">
        <v>0.0118023</v>
      </c>
      <c r="AD623" s="12">
        <v>0.012169</v>
      </c>
      <c r="AE623" s="12">
        <v>0.0100943</v>
      </c>
      <c r="AF623" s="12">
        <v>0.0092417</v>
      </c>
      <c r="AG623" s="12">
        <v>0.0090356</v>
      </c>
      <c r="AH623" s="12">
        <v>0.008413</v>
      </c>
      <c r="AI623" s="12">
        <v>0.0074549</v>
      </c>
      <c r="AJ623" s="12">
        <v>0.0073984</v>
      </c>
      <c r="AK623" s="12">
        <v>0.0082135</v>
      </c>
      <c r="AL623" s="12">
        <v>0.0047274</v>
      </c>
      <c r="AM623" s="12">
        <v>7.592E-4</v>
      </c>
      <c r="AN623" s="12">
        <v>6.309E-4</v>
      </c>
      <c r="AO623" s="12">
        <v>0.0</v>
      </c>
      <c r="AP623" s="13"/>
      <c r="AQ623" s="13"/>
      <c r="AR623" s="13"/>
      <c r="AS623" s="13"/>
      <c r="AT623" s="12"/>
      <c r="AU623" s="12">
        <f t="shared" si="69"/>
        <v>0.009491289655</v>
      </c>
      <c r="AV623" s="15"/>
      <c r="AW623" s="15"/>
    </row>
    <row r="624" ht="15.75" customHeight="1">
      <c r="A624" s="7">
        <v>240701.0</v>
      </c>
      <c r="B624" s="7">
        <v>80.0</v>
      </c>
      <c r="C624" s="7">
        <v>2.0</v>
      </c>
      <c r="D624" s="8" t="s">
        <v>315</v>
      </c>
      <c r="E624" s="7">
        <v>14.0</v>
      </c>
      <c r="F624" s="8" t="s">
        <v>56</v>
      </c>
      <c r="G624" s="8" t="s">
        <v>49</v>
      </c>
      <c r="H624" s="8" t="s">
        <v>50</v>
      </c>
      <c r="I624" s="11" t="s">
        <v>185</v>
      </c>
      <c r="J624" s="22" t="s">
        <v>52</v>
      </c>
      <c r="K624" s="11" t="s">
        <v>59</v>
      </c>
      <c r="L624" s="12">
        <v>0.0192506</v>
      </c>
      <c r="M624" s="12">
        <v>0.0170703</v>
      </c>
      <c r="N624" s="12">
        <v>0.014868</v>
      </c>
      <c r="O624" s="12">
        <v>0.015022</v>
      </c>
      <c r="P624" s="12">
        <v>0.01636</v>
      </c>
      <c r="Q624" s="12">
        <v>0.0162756</v>
      </c>
      <c r="R624" s="12">
        <v>0.0131576</v>
      </c>
      <c r="S624" s="12">
        <v>0.010846</v>
      </c>
      <c r="T624" s="12">
        <v>0.0133614</v>
      </c>
      <c r="U624" s="12">
        <v>0.0155465</v>
      </c>
      <c r="V624" s="12">
        <v>0.0158802</v>
      </c>
      <c r="W624" s="12">
        <v>0.0154563</v>
      </c>
      <c r="X624" s="12">
        <v>0.0149617</v>
      </c>
      <c r="Y624" s="12">
        <v>0.0148329</v>
      </c>
      <c r="Z624" s="12">
        <v>0.0141715</v>
      </c>
      <c r="AA624" s="12">
        <v>0.0141771</v>
      </c>
      <c r="AB624" s="12">
        <v>0.014164</v>
      </c>
      <c r="AC624" s="12">
        <v>0.0121774</v>
      </c>
      <c r="AD624" s="12">
        <v>0.0094318</v>
      </c>
      <c r="AE624" s="12">
        <v>0.0078464</v>
      </c>
      <c r="AF624" s="12">
        <v>0.0079321</v>
      </c>
      <c r="AG624" s="12">
        <v>0.0085756</v>
      </c>
      <c r="AH624" s="12">
        <v>0.0087545</v>
      </c>
      <c r="AI624" s="12">
        <v>0.0091705</v>
      </c>
      <c r="AJ624" s="12">
        <v>0.0141758</v>
      </c>
      <c r="AK624" s="12">
        <v>0.0159493</v>
      </c>
      <c r="AL624" s="12">
        <v>0.0100974</v>
      </c>
      <c r="AM624" s="12">
        <v>0.0059159</v>
      </c>
      <c r="AN624" s="12">
        <v>0.0</v>
      </c>
      <c r="AO624" s="12">
        <v>0.0</v>
      </c>
      <c r="AP624" s="13"/>
      <c r="AQ624" s="13"/>
      <c r="AR624" s="13"/>
      <c r="AS624" s="13"/>
      <c r="AT624" s="12"/>
      <c r="AU624" s="12">
        <f t="shared" si="69"/>
        <v>0.01305101429</v>
      </c>
      <c r="AV624" s="15"/>
      <c r="AW624" s="15"/>
    </row>
    <row r="625" ht="15.75" customHeight="1">
      <c r="A625" s="7">
        <v>240705.0</v>
      </c>
      <c r="B625" s="7">
        <v>80.0</v>
      </c>
      <c r="C625" s="7">
        <v>2.0</v>
      </c>
      <c r="D625" s="8" t="s">
        <v>316</v>
      </c>
      <c r="E625" s="7">
        <v>14.0</v>
      </c>
      <c r="F625" s="8" t="s">
        <v>56</v>
      </c>
      <c r="G625" s="8" t="s">
        <v>49</v>
      </c>
      <c r="H625" s="8" t="s">
        <v>61</v>
      </c>
      <c r="I625" s="11" t="s">
        <v>185</v>
      </c>
      <c r="J625" s="22" t="s">
        <v>52</v>
      </c>
      <c r="K625" s="11" t="s">
        <v>59</v>
      </c>
      <c r="L625" s="12">
        <v>0.0139524</v>
      </c>
      <c r="M625" s="12">
        <v>0.0176308</v>
      </c>
      <c r="N625" s="12">
        <v>0.0188437</v>
      </c>
      <c r="O625" s="12">
        <v>0.0178737</v>
      </c>
      <c r="P625" s="12">
        <v>0.017377</v>
      </c>
      <c r="Q625" s="12">
        <v>0.0158906</v>
      </c>
      <c r="R625" s="12">
        <v>0.0155319</v>
      </c>
      <c r="S625" s="12">
        <v>0.0142546</v>
      </c>
      <c r="T625" s="12">
        <v>0.0105431</v>
      </c>
      <c r="U625" s="12">
        <v>0.009655</v>
      </c>
      <c r="V625" s="12">
        <v>0.0106873</v>
      </c>
      <c r="W625" s="12">
        <v>0.0110287</v>
      </c>
      <c r="X625" s="12">
        <v>0.0117647</v>
      </c>
      <c r="Y625" s="12">
        <v>0.0106699</v>
      </c>
      <c r="Z625" s="12">
        <v>0.0074503</v>
      </c>
      <c r="AA625" s="12">
        <v>0.0064683</v>
      </c>
      <c r="AB625" s="12">
        <v>0.0073958</v>
      </c>
      <c r="AC625" s="12">
        <v>0.0081808</v>
      </c>
      <c r="AD625" s="12">
        <v>0.0092868</v>
      </c>
      <c r="AE625" s="12">
        <v>0.0093219</v>
      </c>
      <c r="AF625" s="12">
        <v>0.010356</v>
      </c>
      <c r="AG625" s="12">
        <v>0.012176</v>
      </c>
      <c r="AH625" s="12">
        <v>0.0100699</v>
      </c>
      <c r="AI625" s="12">
        <v>0.0049702</v>
      </c>
      <c r="AJ625" s="12">
        <v>9.194E-4</v>
      </c>
      <c r="AK625" s="12">
        <v>0.0</v>
      </c>
      <c r="AL625" s="12">
        <v>0.0</v>
      </c>
      <c r="AM625" s="12">
        <v>0.0</v>
      </c>
      <c r="AN625" s="12">
        <v>0.0</v>
      </c>
      <c r="AO625" s="12">
        <v>0.0</v>
      </c>
      <c r="AP625" s="13"/>
      <c r="AQ625" s="13"/>
      <c r="AR625" s="13"/>
      <c r="AS625" s="13"/>
      <c r="AT625" s="12"/>
      <c r="AU625" s="12">
        <f t="shared" si="69"/>
        <v>0.011291952</v>
      </c>
      <c r="AV625" s="15"/>
      <c r="AW625" s="15"/>
    </row>
    <row r="626" ht="15.75" customHeight="1">
      <c r="A626" s="7">
        <v>240723.0</v>
      </c>
      <c r="B626" s="7">
        <v>80.0</v>
      </c>
      <c r="C626" s="7">
        <v>2.0</v>
      </c>
      <c r="D626" s="8" t="s">
        <v>317</v>
      </c>
      <c r="E626" s="7">
        <v>14.0</v>
      </c>
      <c r="F626" s="8" t="s">
        <v>48</v>
      </c>
      <c r="G626" s="8" t="s">
        <v>49</v>
      </c>
      <c r="H626" s="8" t="s">
        <v>63</v>
      </c>
      <c r="I626" s="11" t="s">
        <v>185</v>
      </c>
      <c r="J626" s="22" t="s">
        <v>52</v>
      </c>
      <c r="K626" s="11" t="s">
        <v>70</v>
      </c>
      <c r="L626" s="12">
        <v>0.014601</v>
      </c>
      <c r="M626" s="12">
        <v>0.0145954</v>
      </c>
      <c r="N626" s="12">
        <v>0.013392</v>
      </c>
      <c r="O626" s="12">
        <v>0.0139134</v>
      </c>
      <c r="P626" s="12">
        <v>0.0152193</v>
      </c>
      <c r="Q626" s="12">
        <v>0.0139124</v>
      </c>
      <c r="R626" s="12">
        <v>0.0129905</v>
      </c>
      <c r="S626" s="12">
        <v>0.0141027</v>
      </c>
      <c r="T626" s="12">
        <v>0.0149504</v>
      </c>
      <c r="U626" s="12">
        <v>0.015766</v>
      </c>
      <c r="V626" s="12">
        <v>0.0153785</v>
      </c>
      <c r="W626" s="12">
        <v>0.0140429</v>
      </c>
      <c r="X626" s="12">
        <v>0.0134863</v>
      </c>
      <c r="Y626" s="12">
        <v>0.0117514</v>
      </c>
      <c r="Z626" s="12">
        <v>0.0100903</v>
      </c>
      <c r="AA626" s="12">
        <v>0.0090624</v>
      </c>
      <c r="AB626" s="12">
        <v>0.0094734</v>
      </c>
      <c r="AC626" s="12">
        <v>0.0089723</v>
      </c>
      <c r="AD626" s="12">
        <v>0.0079098</v>
      </c>
      <c r="AE626" s="12">
        <v>0.0072577</v>
      </c>
      <c r="AF626" s="12">
        <v>0.0053719</v>
      </c>
      <c r="AG626" s="12">
        <v>0.0053185</v>
      </c>
      <c r="AH626" s="12">
        <v>0.0053519</v>
      </c>
      <c r="AI626" s="12">
        <v>0.0048935</v>
      </c>
      <c r="AJ626" s="12">
        <v>0.0054178</v>
      </c>
      <c r="AK626" s="12">
        <v>0.005596</v>
      </c>
      <c r="AL626" s="12">
        <v>0.003216</v>
      </c>
      <c r="AM626" s="12">
        <v>0.0013583</v>
      </c>
      <c r="AN626" s="12">
        <v>0.0028227</v>
      </c>
      <c r="AO626" s="12">
        <v>0.0</v>
      </c>
      <c r="AP626" s="13"/>
      <c r="AQ626" s="13"/>
      <c r="AR626" s="13"/>
      <c r="AS626" s="13"/>
      <c r="AT626" s="12"/>
      <c r="AU626" s="12">
        <f t="shared" si="69"/>
        <v>0.01000740345</v>
      </c>
      <c r="AV626" s="15"/>
      <c r="AW626" s="15"/>
    </row>
    <row r="627" ht="15.75" customHeight="1">
      <c r="A627" s="7">
        <v>240723.0</v>
      </c>
      <c r="B627" s="7">
        <v>80.0</v>
      </c>
      <c r="C627" s="7">
        <v>2.0</v>
      </c>
      <c r="D627" s="8" t="s">
        <v>318</v>
      </c>
      <c r="E627" s="7">
        <v>14.0</v>
      </c>
      <c r="F627" s="8" t="s">
        <v>48</v>
      </c>
      <c r="G627" s="8" t="s">
        <v>49</v>
      </c>
      <c r="H627" s="8" t="s">
        <v>65</v>
      </c>
      <c r="I627" s="11" t="s">
        <v>185</v>
      </c>
      <c r="J627" s="22" t="s">
        <v>52</v>
      </c>
      <c r="K627" s="11" t="s">
        <v>70</v>
      </c>
      <c r="L627" s="12">
        <v>0.0163417</v>
      </c>
      <c r="M627" s="12">
        <v>0.0175639</v>
      </c>
      <c r="N627" s="12">
        <v>0.0162042</v>
      </c>
      <c r="O627" s="12">
        <v>0.0126309</v>
      </c>
      <c r="P627" s="12">
        <v>0.011671</v>
      </c>
      <c r="Q627" s="12">
        <v>0.0118999</v>
      </c>
      <c r="R627" s="12">
        <v>0.0130483</v>
      </c>
      <c r="S627" s="12">
        <v>0.0128186</v>
      </c>
      <c r="T627" s="12">
        <v>0.0115531</v>
      </c>
      <c r="U627" s="12">
        <v>0.0130237</v>
      </c>
      <c r="V627" s="12">
        <v>0.0133249</v>
      </c>
      <c r="W627" s="12">
        <v>0.0127419</v>
      </c>
      <c r="X627" s="12">
        <v>0.012697</v>
      </c>
      <c r="Y627" s="12">
        <v>0.0127523</v>
      </c>
      <c r="Z627" s="12">
        <v>0.0121505</v>
      </c>
      <c r="AA627" s="12">
        <v>0.0114829</v>
      </c>
      <c r="AB627" s="12">
        <v>0.0116502</v>
      </c>
      <c r="AC627" s="12">
        <v>0.0107582</v>
      </c>
      <c r="AD627" s="12">
        <v>0.0081391</v>
      </c>
      <c r="AE627" s="12">
        <v>0.0072283</v>
      </c>
      <c r="AF627" s="12">
        <v>0.0080387</v>
      </c>
      <c r="AG627" s="12">
        <v>0.008392</v>
      </c>
      <c r="AH627" s="12">
        <v>0.0068652</v>
      </c>
      <c r="AI627" s="12">
        <v>0.0067372</v>
      </c>
      <c r="AJ627" s="12">
        <v>0.0077239</v>
      </c>
      <c r="AK627" s="12">
        <v>0.004209</v>
      </c>
      <c r="AL627" s="12">
        <v>5.041E-4</v>
      </c>
      <c r="AM627" s="12">
        <v>1.06E-5</v>
      </c>
      <c r="AN627" s="12">
        <v>0.0</v>
      </c>
      <c r="AO627" s="12">
        <v>0.0</v>
      </c>
      <c r="AP627" s="13"/>
      <c r="AQ627" s="13"/>
      <c r="AR627" s="13"/>
      <c r="AS627" s="13"/>
      <c r="AT627" s="12"/>
      <c r="AU627" s="12">
        <f t="shared" si="69"/>
        <v>0.01043433214</v>
      </c>
      <c r="AV627" s="15"/>
      <c r="AW627" s="15"/>
    </row>
    <row r="628" ht="15.75" customHeight="1">
      <c r="A628" s="7">
        <v>240723.0</v>
      </c>
      <c r="B628" s="7">
        <v>80.0</v>
      </c>
      <c r="C628" s="7">
        <v>2.0</v>
      </c>
      <c r="D628" s="8" t="s">
        <v>319</v>
      </c>
      <c r="E628" s="7">
        <v>14.0</v>
      </c>
      <c r="F628" s="8" t="s">
        <v>48</v>
      </c>
      <c r="G628" s="8" t="s">
        <v>49</v>
      </c>
      <c r="H628" s="8" t="s">
        <v>61</v>
      </c>
      <c r="I628" s="11" t="s">
        <v>185</v>
      </c>
      <c r="J628" s="22" t="s">
        <v>52</v>
      </c>
      <c r="K628" s="11" t="s">
        <v>70</v>
      </c>
      <c r="L628" s="12">
        <v>0.0171137</v>
      </c>
      <c r="M628" s="12">
        <v>0.0160243</v>
      </c>
      <c r="N628" s="12">
        <v>0.014584</v>
      </c>
      <c r="O628" s="12">
        <v>0.0140352</v>
      </c>
      <c r="P628" s="12">
        <v>0.0143698</v>
      </c>
      <c r="Q628" s="12">
        <v>0.0153606</v>
      </c>
      <c r="R628" s="12">
        <v>0.0154826</v>
      </c>
      <c r="S628" s="12">
        <v>0.0136124</v>
      </c>
      <c r="T628" s="12">
        <v>0.0142568</v>
      </c>
      <c r="U628" s="12">
        <v>0.0139437</v>
      </c>
      <c r="V628" s="12">
        <v>0.0133171</v>
      </c>
      <c r="W628" s="12">
        <v>0.0142717</v>
      </c>
      <c r="X628" s="12">
        <v>0.0156232</v>
      </c>
      <c r="Y628" s="12">
        <v>0.0152203</v>
      </c>
      <c r="Z628" s="12">
        <v>0.0132101</v>
      </c>
      <c r="AA628" s="12">
        <v>0.012872</v>
      </c>
      <c r="AB628" s="12">
        <v>0.0133113</v>
      </c>
      <c r="AC628" s="12">
        <v>0.0132635</v>
      </c>
      <c r="AD628" s="12">
        <v>0.0125604</v>
      </c>
      <c r="AE628" s="12">
        <v>0.010976</v>
      </c>
      <c r="AF628" s="12">
        <v>0.0106223</v>
      </c>
      <c r="AG628" s="12">
        <v>0.0104887</v>
      </c>
      <c r="AH628" s="12">
        <v>0.0092206</v>
      </c>
      <c r="AI628" s="12">
        <v>0.0094176</v>
      </c>
      <c r="AJ628" s="12">
        <v>0.0064198</v>
      </c>
      <c r="AK628" s="12">
        <v>0.0024153</v>
      </c>
      <c r="AL628" s="12">
        <v>0.0010069</v>
      </c>
      <c r="AM628" s="12">
        <v>0.0</v>
      </c>
      <c r="AN628" s="12">
        <v>0.0</v>
      </c>
      <c r="AO628" s="12">
        <v>0.0</v>
      </c>
      <c r="AP628" s="13"/>
      <c r="AQ628" s="13"/>
      <c r="AR628" s="13"/>
      <c r="AS628" s="13"/>
      <c r="AT628" s="12"/>
      <c r="AU628" s="12">
        <f t="shared" si="69"/>
        <v>0.01233332963</v>
      </c>
      <c r="AV628" s="15"/>
      <c r="AW628" s="15"/>
    </row>
    <row r="629" ht="15.75" customHeight="1">
      <c r="A629" s="7">
        <v>240723.0</v>
      </c>
      <c r="B629" s="7">
        <v>80.0</v>
      </c>
      <c r="C629" s="7">
        <v>2.0</v>
      </c>
      <c r="D629" s="8" t="s">
        <v>320</v>
      </c>
      <c r="E629" s="7">
        <v>14.0</v>
      </c>
      <c r="F629" s="8" t="s">
        <v>48</v>
      </c>
      <c r="G629" s="8" t="s">
        <v>49</v>
      </c>
      <c r="H629" s="8" t="s">
        <v>50</v>
      </c>
      <c r="I629" s="11" t="s">
        <v>185</v>
      </c>
      <c r="J629" s="22" t="s">
        <v>52</v>
      </c>
      <c r="K629" s="11" t="s">
        <v>70</v>
      </c>
      <c r="L629" s="12">
        <v>0.0133024</v>
      </c>
      <c r="M629" s="12">
        <v>0.015554</v>
      </c>
      <c r="N629" s="12">
        <v>0.017156</v>
      </c>
      <c r="O629" s="12">
        <v>0.0168594</v>
      </c>
      <c r="P629" s="12">
        <v>0.0152933</v>
      </c>
      <c r="Q629" s="12">
        <v>0.0150729</v>
      </c>
      <c r="R629" s="12">
        <v>0.0160725</v>
      </c>
      <c r="S629" s="12">
        <v>0.015594</v>
      </c>
      <c r="T629" s="12">
        <v>0.013785</v>
      </c>
      <c r="U629" s="12">
        <v>0.013719</v>
      </c>
      <c r="V629" s="12">
        <v>0.0143575</v>
      </c>
      <c r="W629" s="12">
        <v>0.0136395</v>
      </c>
      <c r="X629" s="12">
        <v>0.0139383</v>
      </c>
      <c r="Y629" s="12">
        <v>0.0141234</v>
      </c>
      <c r="Z629" s="12">
        <v>0.0145272</v>
      </c>
      <c r="AA629" s="12">
        <v>0.0142035</v>
      </c>
      <c r="AB629" s="12">
        <v>0.0133047</v>
      </c>
      <c r="AC629" s="12">
        <v>0.0141707</v>
      </c>
      <c r="AD629" s="12">
        <v>0.0137538</v>
      </c>
      <c r="AE629" s="12">
        <v>0.0126385</v>
      </c>
      <c r="AF629" s="12">
        <v>0.0119576</v>
      </c>
      <c r="AG629" s="12">
        <v>0.0106015</v>
      </c>
      <c r="AH629" s="12">
        <v>0.0093498</v>
      </c>
      <c r="AI629" s="12">
        <v>0.0087968</v>
      </c>
      <c r="AJ629" s="12">
        <v>0.0082187</v>
      </c>
      <c r="AK629" s="12">
        <v>0.0074742</v>
      </c>
      <c r="AL629" s="12">
        <v>0.0053261</v>
      </c>
      <c r="AM629" s="12">
        <v>0.0027201</v>
      </c>
      <c r="AN629" s="12">
        <v>0.0026022</v>
      </c>
      <c r="AO629" s="12">
        <v>0.0</v>
      </c>
      <c r="AP629" s="13"/>
      <c r="AQ629" s="13"/>
      <c r="AR629" s="13"/>
      <c r="AS629" s="13"/>
      <c r="AT629" s="12"/>
      <c r="AU629" s="12">
        <f t="shared" si="69"/>
        <v>0.01234871034</v>
      </c>
      <c r="AV629" s="15"/>
      <c r="AW629" s="15"/>
    </row>
    <row r="630" ht="15.75" customHeight="1">
      <c r="A630" s="7">
        <v>240701.0</v>
      </c>
      <c r="B630" s="7">
        <v>80.0</v>
      </c>
      <c r="C630" s="7">
        <v>2.0</v>
      </c>
      <c r="D630" s="8" t="s">
        <v>313</v>
      </c>
      <c r="E630" s="7">
        <v>14.0</v>
      </c>
      <c r="F630" s="8" t="s">
        <v>56</v>
      </c>
      <c r="G630" s="8" t="s">
        <v>49</v>
      </c>
      <c r="H630" s="8" t="s">
        <v>65</v>
      </c>
      <c r="I630" s="11" t="s">
        <v>51</v>
      </c>
      <c r="J630" s="22" t="s">
        <v>52</v>
      </c>
      <c r="K630" s="11" t="s">
        <v>59</v>
      </c>
      <c r="L630" s="12">
        <v>0.0278828</v>
      </c>
      <c r="M630" s="12">
        <v>0.0245747</v>
      </c>
      <c r="N630" s="12">
        <v>0.0205906</v>
      </c>
      <c r="O630" s="12">
        <v>0.0178784</v>
      </c>
      <c r="P630" s="12">
        <v>0.0173441</v>
      </c>
      <c r="Q630" s="12">
        <v>0.0175245</v>
      </c>
      <c r="R630" s="12">
        <v>0.0188077</v>
      </c>
      <c r="S630" s="12">
        <v>0.0201932</v>
      </c>
      <c r="T630" s="12">
        <v>0.0203484</v>
      </c>
      <c r="U630" s="12">
        <v>0.0201858</v>
      </c>
      <c r="V630" s="12">
        <v>0.0199488</v>
      </c>
      <c r="W630" s="12">
        <v>0.0199797</v>
      </c>
      <c r="X630" s="12">
        <v>0.0197817</v>
      </c>
      <c r="Y630" s="12">
        <v>0.0177464</v>
      </c>
      <c r="Z630" s="12">
        <v>0.0178992</v>
      </c>
      <c r="AA630" s="12">
        <v>0.0197282</v>
      </c>
      <c r="AB630" s="12">
        <v>0.0190983</v>
      </c>
      <c r="AC630" s="12">
        <v>0.018775</v>
      </c>
      <c r="AD630" s="12">
        <v>0.0197331</v>
      </c>
      <c r="AE630" s="12">
        <v>0.0222299</v>
      </c>
      <c r="AF630" s="12">
        <v>0.0246282</v>
      </c>
      <c r="AG630" s="12">
        <v>0.0241617</v>
      </c>
      <c r="AH630" s="12">
        <v>0.0237522</v>
      </c>
      <c r="AI630" s="12">
        <v>0.0233381</v>
      </c>
      <c r="AJ630" s="12">
        <v>0.0234403</v>
      </c>
      <c r="AK630" s="12">
        <v>0.0246888</v>
      </c>
      <c r="AL630" s="12">
        <v>0.0240255</v>
      </c>
      <c r="AM630" s="12">
        <v>0.0206019</v>
      </c>
      <c r="AN630" s="12">
        <v>0.0147015</v>
      </c>
      <c r="AO630" s="12">
        <v>0.0100346</v>
      </c>
      <c r="AP630" s="13"/>
      <c r="AQ630" s="13"/>
      <c r="AR630" s="13"/>
      <c r="AS630" s="13"/>
      <c r="AT630" s="12"/>
      <c r="AU630" s="12">
        <f t="shared" si="69"/>
        <v>0.02045411</v>
      </c>
      <c r="AV630" s="15"/>
      <c r="AW630" s="15"/>
    </row>
    <row r="631" ht="15.75" customHeight="1">
      <c r="A631" s="7">
        <v>240701.0</v>
      </c>
      <c r="B631" s="7">
        <v>80.0</v>
      </c>
      <c r="C631" s="7">
        <v>2.0</v>
      </c>
      <c r="D631" s="8" t="s">
        <v>314</v>
      </c>
      <c r="E631" s="7">
        <v>14.0</v>
      </c>
      <c r="F631" s="8" t="s">
        <v>56</v>
      </c>
      <c r="G631" s="8" t="s">
        <v>49</v>
      </c>
      <c r="H631" s="8" t="s">
        <v>63</v>
      </c>
      <c r="I631" s="11" t="s">
        <v>51</v>
      </c>
      <c r="J631" s="22" t="s">
        <v>52</v>
      </c>
      <c r="K631" s="11" t="s">
        <v>59</v>
      </c>
      <c r="L631" s="12">
        <v>0.014737</v>
      </c>
      <c r="M631" s="12">
        <v>0.014974</v>
      </c>
      <c r="N631" s="12">
        <v>0.0146183</v>
      </c>
      <c r="O631" s="12">
        <v>0.0125469</v>
      </c>
      <c r="P631" s="12">
        <v>0.0100391</v>
      </c>
      <c r="Q631" s="12">
        <v>0.010333</v>
      </c>
      <c r="R631" s="12">
        <v>0.0117156</v>
      </c>
      <c r="S631" s="12">
        <v>0.0120502</v>
      </c>
      <c r="T631" s="12">
        <v>0.0108615</v>
      </c>
      <c r="U631" s="12">
        <v>0.0114555</v>
      </c>
      <c r="V631" s="12">
        <v>0.0116556</v>
      </c>
      <c r="W631" s="12">
        <v>0.0106272</v>
      </c>
      <c r="X631" s="12">
        <v>0.0106085</v>
      </c>
      <c r="Y631" s="12">
        <v>0.010293</v>
      </c>
      <c r="Z631" s="12">
        <v>0.0109351</v>
      </c>
      <c r="AA631" s="12">
        <v>0.0108717</v>
      </c>
      <c r="AB631" s="12">
        <v>0.012144</v>
      </c>
      <c r="AC631" s="12">
        <v>0.014208</v>
      </c>
      <c r="AD631" s="12">
        <v>0.015452</v>
      </c>
      <c r="AE631" s="12">
        <v>0.0154288</v>
      </c>
      <c r="AF631" s="12">
        <v>0.0153945</v>
      </c>
      <c r="AG631" s="12">
        <v>0.0163265</v>
      </c>
      <c r="AH631" s="12">
        <v>0.0156229</v>
      </c>
      <c r="AI631" s="12">
        <v>0.0138701</v>
      </c>
      <c r="AJ631" s="12">
        <v>0.0125965</v>
      </c>
      <c r="AK631" s="12">
        <v>0.0096211</v>
      </c>
      <c r="AL631" s="12">
        <v>0.0046292</v>
      </c>
      <c r="AM631" s="12">
        <v>0.0014896</v>
      </c>
      <c r="AN631" s="12">
        <v>5.641E-4</v>
      </c>
      <c r="AO631" s="12">
        <v>0.0</v>
      </c>
      <c r="AP631" s="13"/>
      <c r="AQ631" s="13"/>
      <c r="AR631" s="13"/>
      <c r="AS631" s="13"/>
      <c r="AT631" s="12"/>
      <c r="AU631" s="12">
        <f t="shared" si="69"/>
        <v>0.01157481034</v>
      </c>
      <c r="AV631" s="15"/>
      <c r="AW631" s="15"/>
    </row>
    <row r="632" ht="15.75" customHeight="1">
      <c r="A632" s="7">
        <v>240701.0</v>
      </c>
      <c r="B632" s="7">
        <v>80.0</v>
      </c>
      <c r="C632" s="7">
        <v>2.0</v>
      </c>
      <c r="D632" s="8" t="s">
        <v>315</v>
      </c>
      <c r="E632" s="7">
        <v>14.0</v>
      </c>
      <c r="F632" s="8" t="s">
        <v>56</v>
      </c>
      <c r="G632" s="8" t="s">
        <v>49</v>
      </c>
      <c r="H632" s="8" t="s">
        <v>50</v>
      </c>
      <c r="I632" s="11" t="s">
        <v>51</v>
      </c>
      <c r="J632" s="22" t="s">
        <v>52</v>
      </c>
      <c r="K632" s="11" t="s">
        <v>59</v>
      </c>
      <c r="L632" s="12">
        <v>0.0225849</v>
      </c>
      <c r="M632" s="12">
        <v>0.0197004</v>
      </c>
      <c r="N632" s="12">
        <v>0.017873</v>
      </c>
      <c r="O632" s="12">
        <v>0.0154658</v>
      </c>
      <c r="P632" s="12">
        <v>0.0132646</v>
      </c>
      <c r="Q632" s="12">
        <v>0.0124522</v>
      </c>
      <c r="R632" s="12">
        <v>0.0113331</v>
      </c>
      <c r="S632" s="12">
        <v>0.0118487</v>
      </c>
      <c r="T632" s="12">
        <v>0.0142623</v>
      </c>
      <c r="U632" s="12">
        <v>0.015256</v>
      </c>
      <c r="V632" s="12">
        <v>0.0178114</v>
      </c>
      <c r="W632" s="12">
        <v>0.0187406</v>
      </c>
      <c r="X632" s="12">
        <v>0.0178559</v>
      </c>
      <c r="Y632" s="12">
        <v>0.0185829</v>
      </c>
      <c r="Z632" s="12">
        <v>0.0185224</v>
      </c>
      <c r="AA632" s="12">
        <v>0.0204478</v>
      </c>
      <c r="AB632" s="12">
        <v>0.0200478</v>
      </c>
      <c r="AC632" s="12">
        <v>0.0187347</v>
      </c>
      <c r="AD632" s="12">
        <v>0.0197744</v>
      </c>
      <c r="AE632" s="12">
        <v>0.0198662</v>
      </c>
      <c r="AF632" s="12">
        <v>0.0202443</v>
      </c>
      <c r="AG632" s="12">
        <v>0.0187377</v>
      </c>
      <c r="AH632" s="12">
        <v>0.0166547</v>
      </c>
      <c r="AI632" s="12">
        <v>0.015704</v>
      </c>
      <c r="AJ632" s="12">
        <v>0.0120047</v>
      </c>
      <c r="AK632" s="12">
        <v>0.0051464</v>
      </c>
      <c r="AL632" s="12">
        <v>3.817E-4</v>
      </c>
      <c r="AM632" s="12">
        <v>0.0</v>
      </c>
      <c r="AN632" s="12">
        <v>0.0</v>
      </c>
      <c r="AO632" s="12">
        <v>0.0</v>
      </c>
      <c r="AP632" s="13"/>
      <c r="AQ632" s="13"/>
      <c r="AR632" s="13"/>
      <c r="AS632" s="13"/>
      <c r="AT632" s="12"/>
      <c r="AU632" s="12">
        <f t="shared" si="69"/>
        <v>0.0160480963</v>
      </c>
      <c r="AV632" s="15"/>
      <c r="AW632" s="15"/>
    </row>
    <row r="633" ht="15.75" customHeight="1">
      <c r="A633" s="7">
        <v>240705.0</v>
      </c>
      <c r="B633" s="7">
        <v>80.0</v>
      </c>
      <c r="C633" s="7">
        <v>2.0</v>
      </c>
      <c r="D633" s="8" t="s">
        <v>316</v>
      </c>
      <c r="E633" s="7">
        <v>14.0</v>
      </c>
      <c r="F633" s="8" t="s">
        <v>56</v>
      </c>
      <c r="G633" s="8" t="s">
        <v>49</v>
      </c>
      <c r="H633" s="8" t="s">
        <v>61</v>
      </c>
      <c r="I633" s="11" t="s">
        <v>51</v>
      </c>
      <c r="J633" s="22" t="s">
        <v>52</v>
      </c>
      <c r="K633" s="11" t="s">
        <v>59</v>
      </c>
      <c r="L633" s="12">
        <v>0.0182441</v>
      </c>
      <c r="M633" s="12">
        <v>0.017009</v>
      </c>
      <c r="N633" s="12">
        <v>0.0162483</v>
      </c>
      <c r="O633" s="12">
        <v>0.0173243</v>
      </c>
      <c r="P633" s="12">
        <v>0.0196317</v>
      </c>
      <c r="Q633" s="12">
        <v>0.0201497</v>
      </c>
      <c r="R633" s="12">
        <v>0.019563</v>
      </c>
      <c r="S633" s="12">
        <v>0.02086</v>
      </c>
      <c r="T633" s="12">
        <v>0.0222798</v>
      </c>
      <c r="U633" s="12">
        <v>0.0226415</v>
      </c>
      <c r="V633" s="12">
        <v>0.0217033</v>
      </c>
      <c r="W633" s="12">
        <v>0.0216968</v>
      </c>
      <c r="X633" s="12">
        <v>0.0223555</v>
      </c>
      <c r="Y633" s="12">
        <v>0.0225575</v>
      </c>
      <c r="Z633" s="12">
        <v>0.0238333</v>
      </c>
      <c r="AA633" s="12">
        <v>0.0245723</v>
      </c>
      <c r="AB633" s="12">
        <v>0.0242584</v>
      </c>
      <c r="AC633" s="12">
        <v>0.0232623</v>
      </c>
      <c r="AD633" s="12">
        <v>0.0238899</v>
      </c>
      <c r="AE633" s="12">
        <v>0.0237247</v>
      </c>
      <c r="AF633" s="12">
        <v>0.0228592</v>
      </c>
      <c r="AG633" s="12">
        <v>0.023835</v>
      </c>
      <c r="AH633" s="12">
        <v>0.0210417</v>
      </c>
      <c r="AI633" s="12">
        <v>0.015822</v>
      </c>
      <c r="AJ633" s="12">
        <v>0.0091153</v>
      </c>
      <c r="AK633" s="12">
        <v>5.87E-4</v>
      </c>
      <c r="AL633" s="12">
        <v>0.0</v>
      </c>
      <c r="AM633" s="12">
        <v>0.0</v>
      </c>
      <c r="AN633" s="12">
        <v>0.0</v>
      </c>
      <c r="AO633" s="12">
        <v>0.0</v>
      </c>
      <c r="AP633" s="13"/>
      <c r="AQ633" s="13"/>
      <c r="AR633" s="13"/>
      <c r="AS633" s="13"/>
      <c r="AT633" s="12"/>
      <c r="AU633" s="12">
        <f t="shared" si="69"/>
        <v>0.01996406154</v>
      </c>
      <c r="AV633" s="15"/>
      <c r="AW633" s="15"/>
    </row>
    <row r="634" ht="15.75" customHeight="1">
      <c r="A634" s="7">
        <v>240723.0</v>
      </c>
      <c r="B634" s="7">
        <v>80.0</v>
      </c>
      <c r="C634" s="7">
        <v>2.0</v>
      </c>
      <c r="D634" s="8" t="s">
        <v>317</v>
      </c>
      <c r="E634" s="7">
        <v>14.0</v>
      </c>
      <c r="F634" s="8" t="s">
        <v>48</v>
      </c>
      <c r="G634" s="8" t="s">
        <v>49</v>
      </c>
      <c r="H634" s="8" t="s">
        <v>63</v>
      </c>
      <c r="I634" s="11" t="s">
        <v>51</v>
      </c>
      <c r="J634" s="22" t="s">
        <v>52</v>
      </c>
      <c r="K634" s="11" t="s">
        <v>70</v>
      </c>
      <c r="L634" s="12">
        <v>0.0213572</v>
      </c>
      <c r="M634" s="12">
        <v>0.0187635</v>
      </c>
      <c r="N634" s="12">
        <v>0.0181036</v>
      </c>
      <c r="O634" s="12">
        <v>0.0183442</v>
      </c>
      <c r="P634" s="12">
        <v>0.01806</v>
      </c>
      <c r="Q634" s="12">
        <v>0.0171971</v>
      </c>
      <c r="R634" s="12">
        <v>0.0160686</v>
      </c>
      <c r="S634" s="12">
        <v>0.0164035</v>
      </c>
      <c r="T634" s="12">
        <v>0.0161802</v>
      </c>
      <c r="U634" s="12">
        <v>0.0159506</v>
      </c>
      <c r="V634" s="12">
        <v>0.0183448</v>
      </c>
      <c r="W634" s="12">
        <v>0.0187314</v>
      </c>
      <c r="X634" s="12">
        <v>0.0185205</v>
      </c>
      <c r="Y634" s="12">
        <v>0.0189715</v>
      </c>
      <c r="Z634" s="12">
        <v>0.0185502</v>
      </c>
      <c r="AA634" s="12">
        <v>0.0190224</v>
      </c>
      <c r="AB634" s="12">
        <v>0.0193236</v>
      </c>
      <c r="AC634" s="12">
        <v>0.019928</v>
      </c>
      <c r="AD634" s="12">
        <v>0.0204436</v>
      </c>
      <c r="AE634" s="12">
        <v>0.0205001</v>
      </c>
      <c r="AF634" s="12">
        <v>0.0216716</v>
      </c>
      <c r="AG634" s="12">
        <v>0.0228398</v>
      </c>
      <c r="AH634" s="12">
        <v>0.0230775</v>
      </c>
      <c r="AI634" s="12">
        <v>0.0242768</v>
      </c>
      <c r="AJ634" s="12">
        <v>0.0261949</v>
      </c>
      <c r="AK634" s="12">
        <v>0.0261724</v>
      </c>
      <c r="AL634" s="12">
        <v>0.0224318</v>
      </c>
      <c r="AM634" s="12">
        <v>0.0161308</v>
      </c>
      <c r="AN634" s="12">
        <v>0.0047406</v>
      </c>
      <c r="AO634" s="12">
        <v>0.0</v>
      </c>
      <c r="AP634" s="13"/>
      <c r="AQ634" s="13"/>
      <c r="AR634" s="13"/>
      <c r="AS634" s="13"/>
      <c r="AT634" s="12"/>
      <c r="AU634" s="12">
        <f t="shared" si="69"/>
        <v>0.01918278621</v>
      </c>
      <c r="AV634" s="15"/>
      <c r="AW634" s="15"/>
    </row>
    <row r="635" ht="15.75" customHeight="1">
      <c r="A635" s="7">
        <v>240723.0</v>
      </c>
      <c r="B635" s="7">
        <v>80.0</v>
      </c>
      <c r="C635" s="7">
        <v>2.0</v>
      </c>
      <c r="D635" s="8" t="s">
        <v>318</v>
      </c>
      <c r="E635" s="7">
        <v>14.0</v>
      </c>
      <c r="F635" s="8" t="s">
        <v>48</v>
      </c>
      <c r="G635" s="8" t="s">
        <v>49</v>
      </c>
      <c r="H635" s="8" t="s">
        <v>65</v>
      </c>
      <c r="I635" s="11" t="s">
        <v>51</v>
      </c>
      <c r="J635" s="22" t="s">
        <v>52</v>
      </c>
      <c r="K635" s="11" t="s">
        <v>70</v>
      </c>
      <c r="L635" s="12">
        <v>0.0201661</v>
      </c>
      <c r="M635" s="12">
        <v>0.0186049</v>
      </c>
      <c r="N635" s="12">
        <v>0.017366</v>
      </c>
      <c r="O635" s="12">
        <v>0.0174477</v>
      </c>
      <c r="P635" s="12">
        <v>0.0171221</v>
      </c>
      <c r="Q635" s="12">
        <v>0.0172154</v>
      </c>
      <c r="R635" s="12">
        <v>0.0173078</v>
      </c>
      <c r="S635" s="12">
        <v>0.0174824</v>
      </c>
      <c r="T635" s="12">
        <v>0.0182521</v>
      </c>
      <c r="U635" s="12">
        <v>0.0168133</v>
      </c>
      <c r="V635" s="12">
        <v>0.0157683</v>
      </c>
      <c r="W635" s="12">
        <v>0.0159721</v>
      </c>
      <c r="X635" s="12">
        <v>0.014755</v>
      </c>
      <c r="Y635" s="12">
        <v>0.0150414</v>
      </c>
      <c r="Z635" s="12">
        <v>0.0175955</v>
      </c>
      <c r="AA635" s="12">
        <v>0.0191451</v>
      </c>
      <c r="AB635" s="12">
        <v>0.0199541</v>
      </c>
      <c r="AC635" s="12">
        <v>0.0194061</v>
      </c>
      <c r="AD635" s="12">
        <v>0.0188792</v>
      </c>
      <c r="AE635" s="12">
        <v>0.0200515</v>
      </c>
      <c r="AF635" s="12">
        <v>0.0214238</v>
      </c>
      <c r="AG635" s="12">
        <v>0.0231065</v>
      </c>
      <c r="AH635" s="12">
        <v>0.0248919</v>
      </c>
      <c r="AI635" s="12">
        <v>0.0262257</v>
      </c>
      <c r="AJ635" s="12">
        <v>0.027651</v>
      </c>
      <c r="AK635" s="12">
        <v>0.0264577</v>
      </c>
      <c r="AL635" s="12">
        <v>0.0183192</v>
      </c>
      <c r="AM635" s="12">
        <v>0.0064076</v>
      </c>
      <c r="AN635" s="12">
        <v>0.0</v>
      </c>
      <c r="AO635" s="12">
        <v>0.0</v>
      </c>
      <c r="AP635" s="13"/>
      <c r="AQ635" s="13"/>
      <c r="AR635" s="13"/>
      <c r="AS635" s="13"/>
      <c r="AT635" s="12"/>
      <c r="AU635" s="12">
        <f t="shared" si="69"/>
        <v>0.01888676786</v>
      </c>
      <c r="AV635" s="15"/>
      <c r="AW635" s="15"/>
    </row>
    <row r="636" ht="15.75" customHeight="1">
      <c r="A636" s="7">
        <v>240723.0</v>
      </c>
      <c r="B636" s="7">
        <v>80.0</v>
      </c>
      <c r="C636" s="7">
        <v>2.0</v>
      </c>
      <c r="D636" s="8" t="s">
        <v>319</v>
      </c>
      <c r="E636" s="7">
        <v>14.0</v>
      </c>
      <c r="F636" s="8" t="s">
        <v>48</v>
      </c>
      <c r="G636" s="8" t="s">
        <v>49</v>
      </c>
      <c r="H636" s="8" t="s">
        <v>61</v>
      </c>
      <c r="I636" s="11" t="s">
        <v>51</v>
      </c>
      <c r="J636" s="22" t="s">
        <v>52</v>
      </c>
      <c r="K636" s="11" t="s">
        <v>70</v>
      </c>
      <c r="L636" s="12">
        <v>0.0147754</v>
      </c>
      <c r="M636" s="12">
        <v>0.0163842</v>
      </c>
      <c r="N636" s="12">
        <v>0.0171149</v>
      </c>
      <c r="O636" s="12">
        <v>0.0168504</v>
      </c>
      <c r="P636" s="12">
        <v>0.0164137</v>
      </c>
      <c r="Q636" s="12">
        <v>0.0163756</v>
      </c>
      <c r="R636" s="12">
        <v>0.0168744</v>
      </c>
      <c r="S636" s="12">
        <v>0.0156592</v>
      </c>
      <c r="T636" s="12">
        <v>0.014347</v>
      </c>
      <c r="U636" s="12">
        <v>0.0150284</v>
      </c>
      <c r="V636" s="12">
        <v>0.0170293</v>
      </c>
      <c r="W636" s="12">
        <v>0.0167577</v>
      </c>
      <c r="X636" s="12">
        <v>0.0162207</v>
      </c>
      <c r="Y636" s="12">
        <v>0.0174378</v>
      </c>
      <c r="Z636" s="12">
        <v>0.0183037</v>
      </c>
      <c r="AA636" s="12">
        <v>0.0187265</v>
      </c>
      <c r="AB636" s="12">
        <v>0.0183829</v>
      </c>
      <c r="AC636" s="12">
        <v>0.0184936</v>
      </c>
      <c r="AD636" s="12">
        <v>0.0187616</v>
      </c>
      <c r="AE636" s="12">
        <v>0.0192188</v>
      </c>
      <c r="AF636" s="12">
        <v>0.0190611</v>
      </c>
      <c r="AG636" s="12">
        <v>0.021122</v>
      </c>
      <c r="AH636" s="12">
        <v>0.0239046</v>
      </c>
      <c r="AI636" s="12">
        <v>0.0242644</v>
      </c>
      <c r="AJ636" s="12">
        <v>0.0226683</v>
      </c>
      <c r="AK636" s="12">
        <v>0.0190895</v>
      </c>
      <c r="AL636" s="12">
        <v>0.0137653</v>
      </c>
      <c r="AM636" s="12">
        <v>0.0</v>
      </c>
      <c r="AN636" s="12">
        <v>0.0</v>
      </c>
      <c r="AO636" s="12">
        <v>0.0</v>
      </c>
      <c r="AP636" s="13"/>
      <c r="AQ636" s="13"/>
      <c r="AR636" s="13"/>
      <c r="AS636" s="13"/>
      <c r="AT636" s="12"/>
      <c r="AU636" s="12">
        <f t="shared" si="69"/>
        <v>0.01789003704</v>
      </c>
      <c r="AV636" s="15"/>
      <c r="AW636" s="15"/>
    </row>
    <row r="637" ht="15.75" customHeight="1">
      <c r="A637" s="7">
        <v>240723.0</v>
      </c>
      <c r="B637" s="7">
        <v>80.0</v>
      </c>
      <c r="C637" s="7">
        <v>2.0</v>
      </c>
      <c r="D637" s="8" t="s">
        <v>320</v>
      </c>
      <c r="E637" s="7">
        <v>14.0</v>
      </c>
      <c r="F637" s="8" t="s">
        <v>48</v>
      </c>
      <c r="G637" s="8" t="s">
        <v>49</v>
      </c>
      <c r="H637" s="8" t="s">
        <v>50</v>
      </c>
      <c r="I637" s="11" t="s">
        <v>51</v>
      </c>
      <c r="J637" s="22" t="s">
        <v>52</v>
      </c>
      <c r="K637" s="11" t="s">
        <v>70</v>
      </c>
      <c r="L637" s="12">
        <v>0.0139042</v>
      </c>
      <c r="M637" s="12">
        <v>0.015438</v>
      </c>
      <c r="N637" s="12">
        <v>0.0157167</v>
      </c>
      <c r="O637" s="12">
        <v>0.0166744</v>
      </c>
      <c r="P637" s="12">
        <v>0.0180936</v>
      </c>
      <c r="Q637" s="12">
        <v>0.0179819</v>
      </c>
      <c r="R637" s="12">
        <v>0.0180212</v>
      </c>
      <c r="S637" s="12">
        <v>0.0176082</v>
      </c>
      <c r="T637" s="12">
        <v>0.0159954</v>
      </c>
      <c r="U637" s="12">
        <v>0.0153468</v>
      </c>
      <c r="V637" s="12">
        <v>0.0148971</v>
      </c>
      <c r="W637" s="12">
        <v>0.0144823</v>
      </c>
      <c r="X637" s="12">
        <v>0.0166308</v>
      </c>
      <c r="Y637" s="12">
        <v>0.0166257</v>
      </c>
      <c r="Z637" s="12">
        <v>0.0152028</v>
      </c>
      <c r="AA637" s="12">
        <v>0.0154785</v>
      </c>
      <c r="AB637" s="12">
        <v>0.0168965</v>
      </c>
      <c r="AC637" s="12">
        <v>0.0187442</v>
      </c>
      <c r="AD637" s="12">
        <v>0.0190433</v>
      </c>
      <c r="AE637" s="12">
        <v>0.0191312</v>
      </c>
      <c r="AF637" s="12">
        <v>0.0177206</v>
      </c>
      <c r="AG637" s="12">
        <v>0.0169788</v>
      </c>
      <c r="AH637" s="12">
        <v>0.0167636</v>
      </c>
      <c r="AI637" s="12">
        <v>0.0169626</v>
      </c>
      <c r="AJ637" s="12">
        <v>0.0164619</v>
      </c>
      <c r="AK637" s="12">
        <v>0.0156696</v>
      </c>
      <c r="AL637" s="12">
        <v>0.013022</v>
      </c>
      <c r="AM637" s="12">
        <v>0.0074919</v>
      </c>
      <c r="AN637" s="12">
        <v>0.005435</v>
      </c>
      <c r="AO637" s="12">
        <v>0.0</v>
      </c>
      <c r="AP637" s="13"/>
      <c r="AQ637" s="13"/>
      <c r="AR637" s="13"/>
      <c r="AS637" s="13"/>
      <c r="AT637" s="12"/>
      <c r="AU637" s="12">
        <f t="shared" si="69"/>
        <v>0.01580754483</v>
      </c>
      <c r="AV637" s="15"/>
      <c r="AW637" s="15"/>
    </row>
    <row r="638" ht="15.75" customHeight="1"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3"/>
      <c r="AQ638" s="13"/>
      <c r="AR638" s="13"/>
      <c r="AS638" s="13"/>
      <c r="AT638" s="12"/>
      <c r="AU638" s="12"/>
      <c r="AV638" s="14"/>
      <c r="AW638" s="15"/>
      <c r="AX638" s="15"/>
    </row>
    <row r="639" ht="15.75" customHeight="1"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3"/>
      <c r="AQ639" s="13"/>
      <c r="AR639" s="13"/>
      <c r="AS639" s="13"/>
      <c r="AT639" s="12"/>
      <c r="AU639" s="12"/>
      <c r="AV639" s="14"/>
      <c r="AW639" s="15"/>
      <c r="AX639" s="15"/>
    </row>
    <row r="640" ht="15.75" customHeight="1"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3"/>
      <c r="AQ640" s="13"/>
      <c r="AR640" s="13"/>
      <c r="AS640" s="13"/>
      <c r="AT640" s="12"/>
      <c r="AU640" s="12"/>
      <c r="AV640" s="14"/>
      <c r="AW640" s="15"/>
      <c r="AX640" s="15"/>
    </row>
    <row r="641" ht="15.75" customHeight="1"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3"/>
      <c r="AQ641" s="13"/>
      <c r="AR641" s="13"/>
      <c r="AS641" s="13"/>
      <c r="AT641" s="12"/>
      <c r="AU641" s="12"/>
      <c r="AV641" s="14"/>
      <c r="AW641" s="15"/>
      <c r="AX641" s="15"/>
    </row>
    <row r="642" ht="15.75" customHeight="1"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3"/>
      <c r="AQ642" s="13"/>
      <c r="AR642" s="13"/>
      <c r="AS642" s="13"/>
      <c r="AT642" s="12"/>
      <c r="AU642" s="12"/>
      <c r="AV642" s="14"/>
      <c r="AW642" s="15"/>
      <c r="AX642" s="15"/>
    </row>
    <row r="643" ht="15.75" customHeight="1"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3"/>
      <c r="AQ643" s="13"/>
      <c r="AR643" s="13"/>
      <c r="AS643" s="13"/>
      <c r="AT643" s="12"/>
      <c r="AU643" s="12"/>
      <c r="AV643" s="14"/>
      <c r="AW643" s="15"/>
      <c r="AX643" s="15"/>
    </row>
    <row r="644" ht="15.75" customHeight="1"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3"/>
      <c r="AQ644" s="13"/>
      <c r="AR644" s="13"/>
      <c r="AS644" s="13"/>
      <c r="AT644" s="12"/>
      <c r="AU644" s="12"/>
      <c r="AV644" s="14"/>
      <c r="AW644" s="15"/>
      <c r="AX644" s="15"/>
    </row>
    <row r="645" ht="15.75" customHeight="1"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3"/>
      <c r="AQ645" s="13"/>
      <c r="AR645" s="13"/>
      <c r="AS645" s="13"/>
      <c r="AT645" s="12"/>
      <c r="AU645" s="12"/>
      <c r="AV645" s="14"/>
      <c r="AW645" s="15"/>
      <c r="AX645" s="15"/>
    </row>
    <row r="646" ht="15.75" customHeight="1"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3"/>
      <c r="AQ646" s="13"/>
      <c r="AR646" s="13"/>
      <c r="AS646" s="13"/>
      <c r="AT646" s="12"/>
      <c r="AU646" s="12"/>
      <c r="AV646" s="14"/>
      <c r="AW646" s="15"/>
      <c r="AX646" s="15"/>
    </row>
    <row r="647" ht="15.75" customHeight="1"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3"/>
      <c r="AQ647" s="13"/>
      <c r="AR647" s="13"/>
      <c r="AS647" s="13"/>
      <c r="AT647" s="12"/>
      <c r="AU647" s="12"/>
      <c r="AV647" s="14"/>
      <c r="AW647" s="15"/>
      <c r="AX647" s="15"/>
    </row>
    <row r="648" ht="15.75" customHeight="1"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3"/>
      <c r="AQ648" s="13"/>
      <c r="AR648" s="13"/>
      <c r="AS648" s="13"/>
      <c r="AT648" s="12"/>
      <c r="AU648" s="12"/>
      <c r="AV648" s="14"/>
      <c r="AW648" s="15"/>
      <c r="AX648" s="15"/>
    </row>
    <row r="649" ht="15.75" customHeight="1"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3"/>
      <c r="AQ649" s="13"/>
      <c r="AR649" s="13"/>
      <c r="AS649" s="13"/>
      <c r="AT649" s="12"/>
      <c r="AU649" s="12"/>
      <c r="AV649" s="14"/>
      <c r="AW649" s="15"/>
      <c r="AX649" s="15"/>
    </row>
    <row r="650" ht="15.75" customHeight="1"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3"/>
      <c r="AQ650" s="13"/>
      <c r="AR650" s="13"/>
      <c r="AS650" s="13"/>
      <c r="AT650" s="12"/>
      <c r="AU650" s="12"/>
      <c r="AV650" s="14"/>
      <c r="AW650" s="15"/>
      <c r="AX650" s="15"/>
    </row>
    <row r="651" ht="15.75" customHeight="1"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3"/>
      <c r="AQ651" s="13"/>
      <c r="AR651" s="13"/>
      <c r="AS651" s="13"/>
      <c r="AT651" s="12"/>
      <c r="AU651" s="12"/>
      <c r="AV651" s="14"/>
      <c r="AW651" s="15"/>
      <c r="AX651" s="15"/>
    </row>
    <row r="652" ht="15.75" customHeight="1"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3"/>
      <c r="AQ652" s="13"/>
      <c r="AR652" s="13"/>
      <c r="AS652" s="13"/>
      <c r="AT652" s="12"/>
      <c r="AU652" s="12"/>
      <c r="AV652" s="14"/>
      <c r="AW652" s="15"/>
      <c r="AX652" s="15"/>
    </row>
    <row r="653" ht="15.75" customHeight="1"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3"/>
      <c r="AQ653" s="13"/>
      <c r="AR653" s="13"/>
      <c r="AS653" s="13"/>
      <c r="AT653" s="12"/>
      <c r="AU653" s="12"/>
      <c r="AV653" s="14"/>
      <c r="AW653" s="15"/>
      <c r="AX653" s="15"/>
    </row>
    <row r="654" ht="15.75" customHeight="1"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3"/>
      <c r="AQ654" s="13"/>
      <c r="AR654" s="13"/>
      <c r="AS654" s="13"/>
      <c r="AT654" s="12"/>
      <c r="AU654" s="12"/>
      <c r="AV654" s="14"/>
      <c r="AW654" s="15"/>
      <c r="AX654" s="15"/>
    </row>
    <row r="655" ht="15.75" customHeight="1"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3"/>
      <c r="AQ655" s="13"/>
      <c r="AR655" s="13"/>
      <c r="AS655" s="13"/>
      <c r="AT655" s="12"/>
      <c r="AU655" s="12"/>
      <c r="AV655" s="14"/>
      <c r="AW655" s="15"/>
      <c r="AX655" s="15"/>
    </row>
    <row r="656" ht="15.75" customHeight="1"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3"/>
      <c r="AQ656" s="13"/>
      <c r="AR656" s="13"/>
      <c r="AS656" s="13"/>
      <c r="AT656" s="12"/>
      <c r="AU656" s="12"/>
      <c r="AV656" s="14"/>
      <c r="AW656" s="15"/>
      <c r="AX656" s="15"/>
    </row>
    <row r="657" ht="15.75" customHeight="1"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3"/>
      <c r="AQ657" s="13"/>
      <c r="AR657" s="13"/>
      <c r="AS657" s="13"/>
      <c r="AT657" s="12"/>
      <c r="AU657" s="12"/>
      <c r="AV657" s="14"/>
      <c r="AW657" s="15"/>
      <c r="AX657" s="15"/>
    </row>
    <row r="658" ht="15.75" customHeight="1"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3"/>
      <c r="AQ658" s="13"/>
      <c r="AR658" s="13"/>
      <c r="AS658" s="13"/>
      <c r="AT658" s="12"/>
      <c r="AU658" s="12"/>
      <c r="AV658" s="14"/>
      <c r="AW658" s="15"/>
      <c r="AX658" s="15"/>
    </row>
    <row r="659" ht="15.75" customHeight="1"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3"/>
      <c r="AQ659" s="13"/>
      <c r="AR659" s="13"/>
      <c r="AS659" s="13"/>
      <c r="AT659" s="12"/>
      <c r="AU659" s="12"/>
      <c r="AV659" s="14"/>
      <c r="AW659" s="15"/>
      <c r="AX659" s="15"/>
    </row>
    <row r="660" ht="15.75" customHeight="1"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3"/>
      <c r="AQ660" s="13"/>
      <c r="AR660" s="13"/>
      <c r="AS660" s="13"/>
      <c r="AT660" s="12"/>
      <c r="AU660" s="12"/>
      <c r="AV660" s="14"/>
      <c r="AW660" s="15"/>
      <c r="AX660" s="15"/>
    </row>
    <row r="661" ht="15.75" customHeight="1"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3"/>
      <c r="AQ661" s="13"/>
      <c r="AR661" s="13"/>
      <c r="AS661" s="13"/>
      <c r="AT661" s="12"/>
      <c r="AU661" s="12"/>
      <c r="AV661" s="14"/>
      <c r="AW661" s="15"/>
      <c r="AX661" s="15"/>
    </row>
    <row r="662" ht="15.75" customHeight="1"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3"/>
      <c r="AQ662" s="13"/>
      <c r="AR662" s="13"/>
      <c r="AS662" s="13"/>
      <c r="AT662" s="12"/>
      <c r="AU662" s="12"/>
      <c r="AV662" s="14"/>
      <c r="AW662" s="15"/>
      <c r="AX662" s="15"/>
    </row>
    <row r="663" ht="15.75" customHeight="1"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3"/>
      <c r="AQ663" s="13"/>
      <c r="AR663" s="13"/>
      <c r="AS663" s="13"/>
      <c r="AT663" s="12"/>
      <c r="AU663" s="12"/>
      <c r="AV663" s="14"/>
      <c r="AW663" s="15"/>
      <c r="AX663" s="15"/>
    </row>
    <row r="664" ht="15.75" customHeight="1"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3"/>
      <c r="AQ664" s="13"/>
      <c r="AR664" s="13"/>
      <c r="AS664" s="13"/>
      <c r="AT664" s="12"/>
      <c r="AU664" s="12"/>
      <c r="AV664" s="14"/>
      <c r="AW664" s="15"/>
      <c r="AX664" s="15"/>
    </row>
    <row r="665" ht="15.75" customHeight="1"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3"/>
      <c r="AQ665" s="13"/>
      <c r="AR665" s="13"/>
      <c r="AS665" s="13"/>
      <c r="AT665" s="12"/>
      <c r="AU665" s="12"/>
      <c r="AV665" s="14"/>
      <c r="AW665" s="15"/>
      <c r="AX665" s="15"/>
    </row>
    <row r="666" ht="15.75" customHeight="1"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3"/>
      <c r="AQ666" s="13"/>
      <c r="AR666" s="13"/>
      <c r="AS666" s="13"/>
      <c r="AT666" s="12"/>
      <c r="AU666" s="12"/>
      <c r="AV666" s="14"/>
      <c r="AW666" s="15"/>
      <c r="AX666" s="15"/>
    </row>
    <row r="667" ht="15.75" customHeight="1"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3"/>
      <c r="AQ667" s="13"/>
      <c r="AR667" s="13"/>
      <c r="AS667" s="13"/>
      <c r="AT667" s="12"/>
      <c r="AU667" s="12"/>
      <c r="AV667" s="14"/>
      <c r="AW667" s="15"/>
      <c r="AX667" s="15"/>
    </row>
    <row r="668" ht="15.75" customHeight="1"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3"/>
      <c r="AQ668" s="13"/>
      <c r="AR668" s="13"/>
      <c r="AS668" s="13"/>
      <c r="AT668" s="12"/>
      <c r="AU668" s="12"/>
      <c r="AV668" s="14"/>
      <c r="AW668" s="15"/>
      <c r="AX668" s="15"/>
    </row>
    <row r="669" ht="15.75" customHeight="1"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3"/>
      <c r="AQ669" s="13"/>
      <c r="AR669" s="13"/>
      <c r="AS669" s="13"/>
      <c r="AT669" s="12"/>
      <c r="AU669" s="12"/>
      <c r="AV669" s="14"/>
      <c r="AW669" s="15"/>
      <c r="AX669" s="15"/>
    </row>
    <row r="670" ht="15.75" customHeight="1"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3"/>
      <c r="AQ670" s="13"/>
      <c r="AR670" s="13"/>
      <c r="AS670" s="13"/>
      <c r="AT670" s="12"/>
      <c r="AU670" s="12"/>
      <c r="AV670" s="14"/>
      <c r="AW670" s="15"/>
      <c r="AX670" s="15"/>
    </row>
    <row r="671" ht="15.75" customHeight="1"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3"/>
      <c r="AQ671" s="13"/>
      <c r="AR671" s="13"/>
      <c r="AS671" s="13"/>
      <c r="AT671" s="12"/>
      <c r="AU671" s="12"/>
      <c r="AV671" s="14"/>
      <c r="AW671" s="15"/>
      <c r="AX671" s="15"/>
    </row>
    <row r="672" ht="15.75" customHeight="1"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3"/>
      <c r="AQ672" s="13"/>
      <c r="AR672" s="13"/>
      <c r="AS672" s="13"/>
      <c r="AT672" s="12"/>
      <c r="AU672" s="12"/>
      <c r="AV672" s="14"/>
      <c r="AW672" s="15"/>
      <c r="AX672" s="15"/>
    </row>
    <row r="673" ht="15.75" customHeight="1"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3"/>
      <c r="AQ673" s="13"/>
      <c r="AR673" s="13"/>
      <c r="AS673" s="13"/>
      <c r="AT673" s="12"/>
      <c r="AU673" s="12"/>
      <c r="AV673" s="14"/>
      <c r="AW673" s="15"/>
      <c r="AX673" s="15"/>
    </row>
    <row r="674" ht="15.75" customHeight="1"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3"/>
      <c r="AQ674" s="13"/>
      <c r="AR674" s="13"/>
      <c r="AS674" s="13"/>
      <c r="AT674" s="12"/>
      <c r="AU674" s="12"/>
      <c r="AV674" s="14"/>
      <c r="AW674" s="15"/>
      <c r="AX674" s="15"/>
    </row>
    <row r="675" ht="15.75" customHeight="1"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3"/>
      <c r="AQ675" s="13"/>
      <c r="AR675" s="13"/>
      <c r="AS675" s="13"/>
      <c r="AT675" s="12"/>
      <c r="AU675" s="12"/>
      <c r="AV675" s="14"/>
      <c r="AW675" s="15"/>
      <c r="AX675" s="15"/>
    </row>
    <row r="676" ht="15.75" customHeight="1"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3"/>
      <c r="AQ676" s="13"/>
      <c r="AR676" s="13"/>
      <c r="AS676" s="13"/>
      <c r="AT676" s="12"/>
      <c r="AU676" s="12"/>
      <c r="AV676" s="14"/>
      <c r="AW676" s="15"/>
      <c r="AX676" s="15"/>
    </row>
    <row r="677" ht="15.75" customHeight="1"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3"/>
      <c r="AQ677" s="13"/>
      <c r="AR677" s="13"/>
      <c r="AS677" s="13"/>
      <c r="AT677" s="12"/>
      <c r="AU677" s="12"/>
      <c r="AV677" s="14"/>
      <c r="AW677" s="15"/>
      <c r="AX677" s="15"/>
    </row>
    <row r="678" ht="15.75" customHeight="1"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3"/>
      <c r="AQ678" s="13"/>
      <c r="AR678" s="13"/>
      <c r="AS678" s="13"/>
      <c r="AT678" s="12"/>
      <c r="AU678" s="12"/>
      <c r="AV678" s="14"/>
      <c r="AW678" s="15"/>
      <c r="AX678" s="15"/>
    </row>
    <row r="679" ht="15.75" customHeight="1"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3"/>
      <c r="AQ679" s="13"/>
      <c r="AR679" s="13"/>
      <c r="AS679" s="13"/>
      <c r="AT679" s="12"/>
      <c r="AU679" s="12"/>
      <c r="AV679" s="14"/>
      <c r="AW679" s="15"/>
      <c r="AX679" s="15"/>
    </row>
    <row r="680" ht="15.75" customHeight="1"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3"/>
      <c r="AQ680" s="13"/>
      <c r="AR680" s="13"/>
      <c r="AS680" s="13"/>
      <c r="AT680" s="12"/>
      <c r="AU680" s="12"/>
      <c r="AV680" s="14"/>
      <c r="AW680" s="15"/>
      <c r="AX680" s="15"/>
    </row>
    <row r="681" ht="15.75" customHeight="1"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3"/>
      <c r="AQ681" s="13"/>
      <c r="AR681" s="13"/>
      <c r="AS681" s="13"/>
      <c r="AT681" s="12"/>
      <c r="AU681" s="12"/>
      <c r="AV681" s="14"/>
      <c r="AW681" s="15"/>
      <c r="AX681" s="15"/>
    </row>
    <row r="682" ht="15.75" customHeight="1"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3"/>
      <c r="AQ682" s="13"/>
      <c r="AR682" s="13"/>
      <c r="AS682" s="13"/>
      <c r="AT682" s="12"/>
      <c r="AU682" s="12"/>
      <c r="AV682" s="14"/>
      <c r="AW682" s="15"/>
      <c r="AX682" s="15"/>
    </row>
    <row r="683" ht="15.75" customHeight="1"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3"/>
      <c r="AQ683" s="13"/>
      <c r="AR683" s="13"/>
      <c r="AS683" s="13"/>
      <c r="AT683" s="12"/>
      <c r="AU683" s="12"/>
      <c r="AV683" s="14"/>
      <c r="AW683" s="15"/>
      <c r="AX683" s="15"/>
    </row>
    <row r="684" ht="15.75" customHeight="1"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3"/>
      <c r="AQ684" s="13"/>
      <c r="AR684" s="13"/>
      <c r="AS684" s="13"/>
      <c r="AT684" s="12"/>
      <c r="AU684" s="12"/>
      <c r="AV684" s="14"/>
      <c r="AW684" s="15"/>
      <c r="AX684" s="15"/>
    </row>
    <row r="685" ht="15.75" customHeight="1"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3"/>
      <c r="AQ685" s="13"/>
      <c r="AR685" s="13"/>
      <c r="AS685" s="13"/>
      <c r="AT685" s="12"/>
      <c r="AU685" s="12"/>
      <c r="AV685" s="14"/>
      <c r="AW685" s="15"/>
      <c r="AX685" s="15"/>
    </row>
    <row r="686" ht="15.75" customHeight="1"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3"/>
      <c r="AQ686" s="13"/>
      <c r="AR686" s="13"/>
      <c r="AS686" s="13"/>
      <c r="AT686" s="12"/>
      <c r="AU686" s="12"/>
      <c r="AV686" s="14"/>
      <c r="AW686" s="15"/>
      <c r="AX686" s="15"/>
    </row>
    <row r="687" ht="15.75" customHeight="1"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3"/>
      <c r="AQ687" s="13"/>
      <c r="AR687" s="13"/>
      <c r="AS687" s="13"/>
      <c r="AT687" s="12"/>
      <c r="AU687" s="12"/>
      <c r="AV687" s="14"/>
      <c r="AW687" s="15"/>
      <c r="AX687" s="15"/>
    </row>
    <row r="688" ht="15.75" customHeight="1"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3"/>
      <c r="AQ688" s="13"/>
      <c r="AR688" s="13"/>
      <c r="AS688" s="13"/>
      <c r="AT688" s="12"/>
      <c r="AU688" s="12"/>
      <c r="AV688" s="14"/>
      <c r="AW688" s="15"/>
      <c r="AX688" s="15"/>
    </row>
    <row r="689" ht="15.75" customHeight="1"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3"/>
      <c r="AQ689" s="13"/>
      <c r="AR689" s="13"/>
      <c r="AS689" s="13"/>
      <c r="AT689" s="12"/>
      <c r="AU689" s="12"/>
      <c r="AV689" s="14"/>
      <c r="AW689" s="15"/>
      <c r="AX689" s="15"/>
    </row>
    <row r="690" ht="15.75" customHeight="1"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3"/>
      <c r="AQ690" s="13"/>
      <c r="AR690" s="13"/>
      <c r="AS690" s="13"/>
      <c r="AT690" s="12"/>
      <c r="AU690" s="12"/>
      <c r="AV690" s="14"/>
      <c r="AW690" s="15"/>
      <c r="AX690" s="15"/>
    </row>
    <row r="691" ht="15.75" customHeight="1"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3"/>
      <c r="AQ691" s="13"/>
      <c r="AR691" s="13"/>
      <c r="AS691" s="13"/>
      <c r="AT691" s="12"/>
      <c r="AU691" s="12"/>
      <c r="AV691" s="14"/>
      <c r="AW691" s="15"/>
      <c r="AX691" s="15"/>
    </row>
    <row r="692" ht="15.75" customHeight="1"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3"/>
      <c r="AQ692" s="13"/>
      <c r="AR692" s="13"/>
      <c r="AS692" s="13"/>
      <c r="AT692" s="12"/>
      <c r="AU692" s="12"/>
      <c r="AV692" s="14"/>
      <c r="AW692" s="15"/>
      <c r="AX692" s="15"/>
    </row>
    <row r="693" ht="15.75" customHeight="1"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3"/>
      <c r="AQ693" s="13"/>
      <c r="AR693" s="13"/>
      <c r="AS693" s="13"/>
      <c r="AT693" s="12"/>
      <c r="AU693" s="12"/>
      <c r="AV693" s="14"/>
      <c r="AW693" s="15"/>
      <c r="AX693" s="15"/>
    </row>
    <row r="694" ht="15.75" customHeight="1"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3"/>
      <c r="AQ694" s="13"/>
      <c r="AR694" s="13"/>
      <c r="AS694" s="13"/>
      <c r="AT694" s="12"/>
      <c r="AU694" s="12"/>
      <c r="AV694" s="14"/>
      <c r="AW694" s="15"/>
      <c r="AX694" s="15"/>
    </row>
    <row r="695" ht="15.75" customHeight="1"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3"/>
      <c r="AQ695" s="13"/>
      <c r="AR695" s="13"/>
      <c r="AS695" s="13"/>
      <c r="AT695" s="12"/>
      <c r="AU695" s="12"/>
      <c r="AV695" s="14"/>
      <c r="AW695" s="15"/>
      <c r="AX695" s="15"/>
    </row>
    <row r="696" ht="15.75" customHeight="1"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3"/>
      <c r="AQ696" s="13"/>
      <c r="AR696" s="13"/>
      <c r="AS696" s="13"/>
      <c r="AT696" s="12"/>
      <c r="AU696" s="12"/>
      <c r="AV696" s="14"/>
      <c r="AW696" s="15"/>
      <c r="AX696" s="15"/>
    </row>
    <row r="697" ht="15.75" customHeight="1"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3"/>
      <c r="AQ697" s="13"/>
      <c r="AR697" s="13"/>
      <c r="AS697" s="13"/>
      <c r="AT697" s="12"/>
      <c r="AU697" s="12"/>
      <c r="AV697" s="14"/>
      <c r="AW697" s="15"/>
      <c r="AX697" s="15"/>
    </row>
    <row r="698" ht="15.75" customHeight="1"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3"/>
      <c r="AQ698" s="13"/>
      <c r="AR698" s="13"/>
      <c r="AS698" s="13"/>
      <c r="AT698" s="12"/>
      <c r="AU698" s="12"/>
      <c r="AV698" s="14"/>
      <c r="AW698" s="15"/>
      <c r="AX698" s="15"/>
    </row>
    <row r="699" ht="15.75" customHeight="1"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3"/>
      <c r="AQ699" s="13"/>
      <c r="AR699" s="13"/>
      <c r="AS699" s="13"/>
      <c r="AT699" s="12"/>
      <c r="AU699" s="12"/>
      <c r="AV699" s="14"/>
      <c r="AW699" s="15"/>
      <c r="AX699" s="15"/>
    </row>
    <row r="700" ht="15.75" customHeight="1"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3"/>
      <c r="AQ700" s="13"/>
      <c r="AR700" s="13"/>
      <c r="AS700" s="13"/>
      <c r="AT700" s="12"/>
      <c r="AU700" s="12"/>
      <c r="AV700" s="14"/>
      <c r="AW700" s="15"/>
      <c r="AX700" s="15"/>
    </row>
    <row r="701" ht="15.75" customHeight="1"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3"/>
      <c r="AQ701" s="13"/>
      <c r="AR701" s="13"/>
      <c r="AS701" s="13"/>
      <c r="AT701" s="12"/>
      <c r="AU701" s="12"/>
      <c r="AV701" s="14"/>
      <c r="AW701" s="15"/>
      <c r="AX701" s="15"/>
    </row>
    <row r="702" ht="15.75" customHeight="1"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3"/>
      <c r="AQ702" s="13"/>
      <c r="AR702" s="13"/>
      <c r="AS702" s="13"/>
      <c r="AT702" s="12"/>
      <c r="AU702" s="12"/>
      <c r="AV702" s="14"/>
      <c r="AW702" s="15"/>
      <c r="AX702" s="15"/>
    </row>
    <row r="703" ht="15.75" customHeight="1"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3"/>
      <c r="AQ703" s="13"/>
      <c r="AR703" s="13"/>
      <c r="AS703" s="13"/>
      <c r="AT703" s="12"/>
      <c r="AU703" s="12"/>
      <c r="AV703" s="14"/>
      <c r="AW703" s="15"/>
      <c r="AX703" s="15"/>
    </row>
    <row r="704" ht="15.75" customHeight="1"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3"/>
      <c r="AQ704" s="13"/>
      <c r="AR704" s="13"/>
      <c r="AS704" s="13"/>
      <c r="AT704" s="12"/>
      <c r="AU704" s="12"/>
      <c r="AV704" s="14"/>
      <c r="AW704" s="15"/>
      <c r="AX704" s="15"/>
    </row>
    <row r="705" ht="15.75" customHeight="1"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3"/>
      <c r="AQ705" s="13"/>
      <c r="AR705" s="13"/>
      <c r="AS705" s="13"/>
      <c r="AT705" s="12"/>
      <c r="AU705" s="12"/>
      <c r="AV705" s="14"/>
      <c r="AW705" s="15"/>
      <c r="AX705" s="15"/>
    </row>
    <row r="706" ht="15.75" customHeight="1"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3"/>
      <c r="AQ706" s="13"/>
      <c r="AR706" s="13"/>
      <c r="AS706" s="13"/>
      <c r="AT706" s="12"/>
      <c r="AU706" s="12"/>
      <c r="AV706" s="14"/>
      <c r="AW706" s="15"/>
      <c r="AX706" s="15"/>
    </row>
    <row r="707" ht="15.75" customHeight="1"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3"/>
      <c r="AQ707" s="13"/>
      <c r="AR707" s="13"/>
      <c r="AS707" s="13"/>
      <c r="AT707" s="12"/>
      <c r="AU707" s="12"/>
      <c r="AV707" s="14"/>
      <c r="AW707" s="15"/>
      <c r="AX707" s="15"/>
    </row>
    <row r="708" ht="15.75" customHeight="1"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3"/>
      <c r="AQ708" s="13"/>
      <c r="AR708" s="13"/>
      <c r="AS708" s="13"/>
      <c r="AT708" s="12"/>
      <c r="AU708" s="12"/>
      <c r="AV708" s="14"/>
      <c r="AW708" s="15"/>
      <c r="AX708" s="15"/>
    </row>
    <row r="709" ht="15.75" customHeight="1"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3"/>
      <c r="AQ709" s="13"/>
      <c r="AR709" s="13"/>
      <c r="AS709" s="13"/>
      <c r="AT709" s="12"/>
      <c r="AU709" s="12"/>
      <c r="AV709" s="14"/>
      <c r="AW709" s="15"/>
      <c r="AX709" s="15"/>
    </row>
    <row r="710" ht="15.75" customHeight="1"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3"/>
      <c r="AQ710" s="13"/>
      <c r="AR710" s="13"/>
      <c r="AS710" s="13"/>
      <c r="AT710" s="12"/>
      <c r="AU710" s="12"/>
      <c r="AV710" s="14"/>
      <c r="AW710" s="15"/>
      <c r="AX710" s="15"/>
    </row>
    <row r="711" ht="15.75" customHeight="1"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3"/>
      <c r="AQ711" s="13"/>
      <c r="AR711" s="13"/>
      <c r="AS711" s="13"/>
      <c r="AT711" s="12"/>
      <c r="AU711" s="12"/>
      <c r="AV711" s="14"/>
      <c r="AW711" s="15"/>
      <c r="AX711" s="15"/>
    </row>
    <row r="712" ht="15.75" customHeight="1"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3"/>
      <c r="AQ712" s="13"/>
      <c r="AR712" s="13"/>
      <c r="AS712" s="13"/>
      <c r="AT712" s="12"/>
      <c r="AU712" s="12"/>
      <c r="AV712" s="14"/>
      <c r="AW712" s="15"/>
      <c r="AX712" s="15"/>
    </row>
    <row r="713" ht="15.75" customHeight="1"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3"/>
      <c r="AQ713" s="13"/>
      <c r="AR713" s="13"/>
      <c r="AS713" s="13"/>
      <c r="AT713" s="12"/>
      <c r="AU713" s="12"/>
      <c r="AV713" s="14"/>
      <c r="AW713" s="15"/>
      <c r="AX713" s="15"/>
    </row>
    <row r="714" ht="15.75" customHeight="1"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3"/>
      <c r="AQ714" s="13"/>
      <c r="AR714" s="13"/>
      <c r="AS714" s="13"/>
      <c r="AT714" s="12"/>
      <c r="AU714" s="12"/>
      <c r="AV714" s="14"/>
      <c r="AW714" s="15"/>
      <c r="AX714" s="15"/>
    </row>
    <row r="715" ht="15.75" customHeight="1"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3"/>
      <c r="AQ715" s="13"/>
      <c r="AR715" s="13"/>
      <c r="AS715" s="13"/>
      <c r="AT715" s="12"/>
      <c r="AU715" s="12"/>
      <c r="AV715" s="14"/>
      <c r="AW715" s="15"/>
      <c r="AX715" s="15"/>
    </row>
    <row r="716" ht="15.75" customHeight="1"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3"/>
      <c r="AQ716" s="13"/>
      <c r="AR716" s="13"/>
      <c r="AS716" s="13"/>
      <c r="AT716" s="12"/>
      <c r="AU716" s="12"/>
      <c r="AV716" s="14"/>
      <c r="AW716" s="15"/>
      <c r="AX716" s="15"/>
    </row>
    <row r="717" ht="15.75" customHeight="1"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3"/>
      <c r="AQ717" s="13"/>
      <c r="AR717" s="13"/>
      <c r="AS717" s="13"/>
      <c r="AT717" s="12"/>
      <c r="AU717" s="12"/>
      <c r="AV717" s="14"/>
      <c r="AW717" s="15"/>
      <c r="AX717" s="15"/>
    </row>
    <row r="718" ht="15.75" customHeight="1"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3"/>
      <c r="AQ718" s="13"/>
      <c r="AR718" s="13"/>
      <c r="AS718" s="13"/>
      <c r="AT718" s="12"/>
      <c r="AU718" s="12"/>
      <c r="AV718" s="14"/>
      <c r="AW718" s="15"/>
      <c r="AX718" s="15"/>
    </row>
    <row r="719" ht="15.75" customHeight="1"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3"/>
      <c r="AQ719" s="13"/>
      <c r="AR719" s="13"/>
      <c r="AS719" s="13"/>
      <c r="AT719" s="12"/>
      <c r="AU719" s="12"/>
      <c r="AV719" s="14"/>
      <c r="AW719" s="15"/>
      <c r="AX719" s="15"/>
    </row>
    <row r="720" ht="15.75" customHeight="1"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3"/>
      <c r="AQ720" s="13"/>
      <c r="AR720" s="13"/>
      <c r="AS720" s="13"/>
      <c r="AT720" s="12"/>
      <c r="AU720" s="12"/>
      <c r="AV720" s="14"/>
      <c r="AW720" s="15"/>
      <c r="AX720" s="15"/>
    </row>
    <row r="721" ht="15.75" customHeight="1"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3"/>
      <c r="AQ721" s="13"/>
      <c r="AR721" s="13"/>
      <c r="AS721" s="13"/>
      <c r="AT721" s="12"/>
      <c r="AU721" s="12"/>
      <c r="AV721" s="14"/>
      <c r="AW721" s="15"/>
      <c r="AX721" s="15"/>
    </row>
    <row r="722" ht="15.75" customHeight="1"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3"/>
      <c r="AQ722" s="13"/>
      <c r="AR722" s="13"/>
      <c r="AS722" s="13"/>
      <c r="AT722" s="12"/>
      <c r="AU722" s="12"/>
      <c r="AV722" s="14"/>
      <c r="AW722" s="15"/>
      <c r="AX722" s="15"/>
    </row>
    <row r="723" ht="15.75" customHeight="1"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3"/>
      <c r="AQ723" s="13"/>
      <c r="AR723" s="13"/>
      <c r="AS723" s="13"/>
      <c r="AT723" s="12"/>
      <c r="AU723" s="12"/>
      <c r="AV723" s="14"/>
      <c r="AW723" s="15"/>
      <c r="AX723" s="15"/>
    </row>
    <row r="724" ht="15.75" customHeight="1"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3"/>
      <c r="AQ724" s="13"/>
      <c r="AR724" s="13"/>
      <c r="AS724" s="13"/>
      <c r="AT724" s="12"/>
      <c r="AU724" s="12"/>
      <c r="AV724" s="14"/>
      <c r="AW724" s="15"/>
      <c r="AX724" s="15"/>
    </row>
    <row r="725" ht="15.75" customHeight="1"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3"/>
      <c r="AQ725" s="13"/>
      <c r="AR725" s="13"/>
      <c r="AS725" s="13"/>
      <c r="AT725" s="12"/>
      <c r="AU725" s="12"/>
      <c r="AV725" s="14"/>
      <c r="AW725" s="15"/>
      <c r="AX725" s="15"/>
    </row>
    <row r="726" ht="15.75" customHeight="1"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3"/>
      <c r="AQ726" s="13"/>
      <c r="AR726" s="13"/>
      <c r="AS726" s="13"/>
      <c r="AT726" s="12"/>
      <c r="AU726" s="12"/>
      <c r="AV726" s="14"/>
      <c r="AW726" s="15"/>
      <c r="AX726" s="15"/>
    </row>
    <row r="727" ht="15.75" customHeight="1"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3"/>
      <c r="AQ727" s="13"/>
      <c r="AR727" s="13"/>
      <c r="AS727" s="13"/>
      <c r="AT727" s="12"/>
      <c r="AU727" s="12"/>
      <c r="AV727" s="14"/>
      <c r="AW727" s="15"/>
      <c r="AX727" s="15"/>
    </row>
    <row r="728" ht="15.75" customHeight="1"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3"/>
      <c r="AQ728" s="13"/>
      <c r="AR728" s="13"/>
      <c r="AS728" s="13"/>
      <c r="AT728" s="12"/>
      <c r="AU728" s="12"/>
      <c r="AV728" s="14"/>
      <c r="AW728" s="15"/>
      <c r="AX728" s="15"/>
    </row>
    <row r="729" ht="15.75" customHeight="1"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3"/>
      <c r="AQ729" s="13"/>
      <c r="AR729" s="13"/>
      <c r="AS729" s="13"/>
      <c r="AT729" s="12"/>
      <c r="AU729" s="12"/>
      <c r="AV729" s="14"/>
      <c r="AW729" s="15"/>
      <c r="AX729" s="15"/>
    </row>
    <row r="730" ht="15.75" customHeight="1"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3"/>
      <c r="AQ730" s="13"/>
      <c r="AR730" s="13"/>
      <c r="AS730" s="13"/>
      <c r="AT730" s="12"/>
      <c r="AU730" s="12"/>
      <c r="AV730" s="14"/>
      <c r="AW730" s="15"/>
      <c r="AX730" s="15"/>
    </row>
    <row r="731" ht="15.75" customHeight="1"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3"/>
      <c r="AQ731" s="13"/>
      <c r="AR731" s="13"/>
      <c r="AS731" s="13"/>
      <c r="AT731" s="12"/>
      <c r="AU731" s="12"/>
      <c r="AV731" s="14"/>
      <c r="AW731" s="15"/>
      <c r="AX731" s="15"/>
    </row>
    <row r="732" ht="15.75" customHeight="1"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3"/>
      <c r="AQ732" s="13"/>
      <c r="AR732" s="13"/>
      <c r="AS732" s="13"/>
      <c r="AT732" s="12"/>
      <c r="AU732" s="12"/>
      <c r="AV732" s="14"/>
      <c r="AW732" s="15"/>
      <c r="AX732" s="15"/>
    </row>
    <row r="733" ht="15.75" customHeight="1"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3"/>
      <c r="AQ733" s="13"/>
      <c r="AR733" s="13"/>
      <c r="AS733" s="13"/>
      <c r="AT733" s="12"/>
      <c r="AU733" s="12"/>
      <c r="AV733" s="14"/>
      <c r="AW733" s="15"/>
      <c r="AX733" s="15"/>
    </row>
    <row r="734" ht="15.75" customHeight="1"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3"/>
      <c r="AQ734" s="13"/>
      <c r="AR734" s="13"/>
      <c r="AS734" s="13"/>
      <c r="AT734" s="12"/>
      <c r="AU734" s="12"/>
      <c r="AV734" s="14"/>
      <c r="AW734" s="15"/>
      <c r="AX734" s="15"/>
    </row>
    <row r="735" ht="15.75" customHeight="1"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3"/>
      <c r="AQ735" s="13"/>
      <c r="AR735" s="13"/>
      <c r="AS735" s="13"/>
      <c r="AT735" s="12"/>
      <c r="AU735" s="12"/>
      <c r="AV735" s="14"/>
      <c r="AW735" s="15"/>
      <c r="AX735" s="15"/>
    </row>
    <row r="736" ht="15.75" customHeight="1"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3"/>
      <c r="AQ736" s="13"/>
      <c r="AR736" s="13"/>
      <c r="AS736" s="13"/>
      <c r="AT736" s="12"/>
      <c r="AU736" s="12"/>
      <c r="AV736" s="14"/>
      <c r="AW736" s="15"/>
      <c r="AX736" s="15"/>
    </row>
    <row r="737" ht="15.75" customHeight="1"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3"/>
      <c r="AQ737" s="13"/>
      <c r="AR737" s="13"/>
      <c r="AS737" s="13"/>
      <c r="AT737" s="12"/>
      <c r="AU737" s="12"/>
      <c r="AV737" s="14"/>
      <c r="AW737" s="15"/>
      <c r="AX737" s="15"/>
    </row>
    <row r="738" ht="15.75" customHeight="1"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3"/>
      <c r="AQ738" s="13"/>
      <c r="AR738" s="13"/>
      <c r="AS738" s="13"/>
      <c r="AT738" s="12"/>
      <c r="AU738" s="12"/>
      <c r="AV738" s="14"/>
      <c r="AW738" s="15"/>
      <c r="AX738" s="15"/>
    </row>
    <row r="739" ht="15.75" customHeight="1"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3"/>
      <c r="AQ739" s="13"/>
      <c r="AR739" s="13"/>
      <c r="AS739" s="13"/>
      <c r="AT739" s="12"/>
      <c r="AU739" s="12"/>
      <c r="AV739" s="14"/>
      <c r="AW739" s="15"/>
      <c r="AX739" s="15"/>
    </row>
    <row r="740" ht="15.75" customHeight="1"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3"/>
      <c r="AQ740" s="13"/>
      <c r="AR740" s="13"/>
      <c r="AS740" s="13"/>
      <c r="AT740" s="12"/>
      <c r="AU740" s="12"/>
      <c r="AV740" s="14"/>
      <c r="AW740" s="15"/>
      <c r="AX740" s="15"/>
    </row>
    <row r="741" ht="15.75" customHeight="1"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3"/>
      <c r="AQ741" s="13"/>
      <c r="AR741" s="13"/>
      <c r="AS741" s="13"/>
      <c r="AT741" s="12"/>
      <c r="AU741" s="12"/>
      <c r="AV741" s="14"/>
      <c r="AW741" s="15"/>
      <c r="AX741" s="15"/>
    </row>
    <row r="742" ht="15.75" customHeight="1"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3"/>
      <c r="AQ742" s="13"/>
      <c r="AR742" s="13"/>
      <c r="AS742" s="13"/>
      <c r="AT742" s="12"/>
      <c r="AU742" s="12"/>
      <c r="AV742" s="14"/>
      <c r="AW742" s="15"/>
      <c r="AX742" s="15"/>
    </row>
    <row r="743" ht="15.75" customHeight="1"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3"/>
      <c r="AQ743" s="13"/>
      <c r="AR743" s="13"/>
      <c r="AS743" s="13"/>
      <c r="AT743" s="12"/>
      <c r="AU743" s="12"/>
      <c r="AV743" s="14"/>
      <c r="AW743" s="15"/>
      <c r="AX743" s="15"/>
    </row>
    <row r="744" ht="15.75" customHeight="1"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3"/>
      <c r="AQ744" s="13"/>
      <c r="AR744" s="13"/>
      <c r="AS744" s="13"/>
      <c r="AT744" s="12"/>
      <c r="AU744" s="12"/>
      <c r="AV744" s="14"/>
      <c r="AW744" s="15"/>
      <c r="AX744" s="15"/>
    </row>
    <row r="745" ht="15.75" customHeight="1"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3"/>
      <c r="AQ745" s="13"/>
      <c r="AR745" s="13"/>
      <c r="AS745" s="13"/>
      <c r="AT745" s="12"/>
      <c r="AU745" s="12"/>
      <c r="AV745" s="14"/>
      <c r="AW745" s="15"/>
      <c r="AX745" s="15"/>
    </row>
    <row r="746" ht="15.75" customHeight="1"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3"/>
      <c r="AQ746" s="13"/>
      <c r="AR746" s="13"/>
      <c r="AS746" s="13"/>
      <c r="AT746" s="12"/>
      <c r="AU746" s="12"/>
      <c r="AV746" s="14"/>
      <c r="AW746" s="15"/>
      <c r="AX746" s="15"/>
    </row>
    <row r="747" ht="15.75" customHeight="1"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3"/>
      <c r="AQ747" s="13"/>
      <c r="AR747" s="13"/>
      <c r="AS747" s="13"/>
      <c r="AT747" s="12"/>
      <c r="AU747" s="12"/>
      <c r="AV747" s="14"/>
      <c r="AW747" s="15"/>
      <c r="AX747" s="15"/>
    </row>
    <row r="748" ht="15.75" customHeight="1"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3"/>
      <c r="AQ748" s="13"/>
      <c r="AR748" s="13"/>
      <c r="AS748" s="13"/>
      <c r="AT748" s="12"/>
      <c r="AU748" s="12"/>
      <c r="AV748" s="14"/>
      <c r="AW748" s="15"/>
      <c r="AX748" s="15"/>
    </row>
    <row r="749" ht="15.75" customHeight="1"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3"/>
      <c r="AQ749" s="13"/>
      <c r="AR749" s="13"/>
      <c r="AS749" s="13"/>
      <c r="AT749" s="12"/>
      <c r="AU749" s="12"/>
      <c r="AV749" s="14"/>
      <c r="AW749" s="15"/>
      <c r="AX749" s="15"/>
    </row>
    <row r="750" ht="15.75" customHeight="1"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3"/>
      <c r="AQ750" s="13"/>
      <c r="AR750" s="13"/>
      <c r="AS750" s="13"/>
      <c r="AT750" s="12"/>
      <c r="AU750" s="12"/>
      <c r="AV750" s="14"/>
      <c r="AW750" s="15"/>
      <c r="AX750" s="15"/>
    </row>
    <row r="751" ht="15.75" customHeight="1"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3"/>
      <c r="AQ751" s="13"/>
      <c r="AR751" s="13"/>
      <c r="AS751" s="13"/>
      <c r="AT751" s="12"/>
      <c r="AU751" s="12"/>
      <c r="AV751" s="14"/>
      <c r="AW751" s="15"/>
      <c r="AX751" s="15"/>
    </row>
    <row r="752" ht="15.75" customHeight="1"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3"/>
      <c r="AQ752" s="13"/>
      <c r="AR752" s="13"/>
      <c r="AS752" s="13"/>
      <c r="AT752" s="12"/>
      <c r="AU752" s="12"/>
      <c r="AV752" s="14"/>
      <c r="AW752" s="15"/>
      <c r="AX752" s="15"/>
    </row>
    <row r="753" ht="15.75" customHeight="1"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3"/>
      <c r="AQ753" s="13"/>
      <c r="AR753" s="13"/>
      <c r="AS753" s="13"/>
      <c r="AT753" s="12"/>
      <c r="AU753" s="12"/>
      <c r="AV753" s="14"/>
      <c r="AW753" s="15"/>
      <c r="AX753" s="15"/>
    </row>
    <row r="754" ht="15.75" customHeight="1"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3"/>
      <c r="AQ754" s="13"/>
      <c r="AR754" s="13"/>
      <c r="AS754" s="13"/>
      <c r="AT754" s="12"/>
      <c r="AU754" s="12"/>
      <c r="AV754" s="14"/>
      <c r="AW754" s="15"/>
      <c r="AX754" s="15"/>
    </row>
    <row r="755" ht="15.75" customHeight="1"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3"/>
      <c r="AQ755" s="13"/>
      <c r="AR755" s="13"/>
      <c r="AS755" s="13"/>
      <c r="AT755" s="12"/>
      <c r="AU755" s="12"/>
      <c r="AV755" s="14"/>
      <c r="AW755" s="15"/>
      <c r="AX755" s="15"/>
    </row>
    <row r="756" ht="15.75" customHeight="1"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3"/>
      <c r="AQ756" s="13"/>
      <c r="AR756" s="13"/>
      <c r="AS756" s="13"/>
      <c r="AT756" s="12"/>
      <c r="AU756" s="12"/>
      <c r="AV756" s="14"/>
      <c r="AW756" s="15"/>
      <c r="AX756" s="15"/>
    </row>
    <row r="757" ht="15.75" customHeight="1"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3"/>
      <c r="AQ757" s="13"/>
      <c r="AR757" s="13"/>
      <c r="AS757" s="13"/>
      <c r="AT757" s="12"/>
      <c r="AU757" s="12"/>
      <c r="AV757" s="14"/>
      <c r="AW757" s="15"/>
      <c r="AX757" s="15"/>
    </row>
    <row r="758" ht="15.75" customHeight="1"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3"/>
      <c r="AQ758" s="13"/>
      <c r="AR758" s="13"/>
      <c r="AS758" s="13"/>
      <c r="AT758" s="12"/>
      <c r="AU758" s="12"/>
      <c r="AV758" s="14"/>
      <c r="AW758" s="15"/>
      <c r="AX758" s="15"/>
    </row>
    <row r="759" ht="15.75" customHeight="1"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3"/>
      <c r="AQ759" s="13"/>
      <c r="AR759" s="13"/>
      <c r="AS759" s="13"/>
      <c r="AT759" s="12"/>
      <c r="AU759" s="12"/>
      <c r="AV759" s="14"/>
      <c r="AW759" s="15"/>
      <c r="AX759" s="15"/>
    </row>
    <row r="760" ht="15.75" customHeight="1"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3"/>
      <c r="AQ760" s="13"/>
      <c r="AR760" s="13"/>
      <c r="AS760" s="13"/>
      <c r="AT760" s="12"/>
      <c r="AU760" s="12"/>
      <c r="AV760" s="14"/>
      <c r="AW760" s="15"/>
      <c r="AX760" s="15"/>
    </row>
    <row r="761" ht="15.75" customHeight="1"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3"/>
      <c r="AQ761" s="13"/>
      <c r="AR761" s="13"/>
      <c r="AS761" s="13"/>
      <c r="AT761" s="12"/>
      <c r="AU761" s="12"/>
      <c r="AV761" s="14"/>
      <c r="AW761" s="15"/>
      <c r="AX761" s="15"/>
    </row>
    <row r="762" ht="15.75" customHeight="1"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3"/>
      <c r="AQ762" s="13"/>
      <c r="AR762" s="13"/>
      <c r="AS762" s="13"/>
      <c r="AT762" s="12"/>
      <c r="AU762" s="12"/>
      <c r="AV762" s="14"/>
      <c r="AW762" s="15"/>
      <c r="AX762" s="15"/>
    </row>
    <row r="763" ht="15.75" customHeight="1"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3"/>
      <c r="AQ763" s="13"/>
      <c r="AR763" s="13"/>
      <c r="AS763" s="13"/>
      <c r="AT763" s="12"/>
      <c r="AU763" s="12"/>
      <c r="AV763" s="14"/>
      <c r="AW763" s="15"/>
      <c r="AX763" s="15"/>
    </row>
    <row r="764" ht="15.75" customHeight="1"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3"/>
      <c r="AQ764" s="13"/>
      <c r="AR764" s="13"/>
      <c r="AS764" s="13"/>
      <c r="AT764" s="12"/>
      <c r="AU764" s="12"/>
      <c r="AV764" s="14"/>
      <c r="AW764" s="15"/>
      <c r="AX764" s="15"/>
    </row>
    <row r="765" ht="15.75" customHeight="1"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3"/>
      <c r="AQ765" s="13"/>
      <c r="AR765" s="13"/>
      <c r="AS765" s="13"/>
      <c r="AT765" s="12"/>
      <c r="AU765" s="12"/>
      <c r="AV765" s="14"/>
      <c r="AW765" s="15"/>
      <c r="AX765" s="15"/>
    </row>
    <row r="766" ht="15.75" customHeight="1"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3"/>
      <c r="AQ766" s="13"/>
      <c r="AR766" s="13"/>
      <c r="AS766" s="13"/>
      <c r="AT766" s="12"/>
      <c r="AU766" s="12"/>
      <c r="AV766" s="14"/>
      <c r="AW766" s="15"/>
      <c r="AX766" s="15"/>
    </row>
    <row r="767" ht="15.75" customHeight="1"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3"/>
      <c r="AQ767" s="13"/>
      <c r="AR767" s="13"/>
      <c r="AS767" s="13"/>
      <c r="AT767" s="12"/>
      <c r="AU767" s="12"/>
      <c r="AV767" s="14"/>
      <c r="AW767" s="15"/>
      <c r="AX767" s="15"/>
    </row>
    <row r="768" ht="15.75" customHeight="1"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3"/>
      <c r="AQ768" s="13"/>
      <c r="AR768" s="13"/>
      <c r="AS768" s="13"/>
      <c r="AT768" s="12"/>
      <c r="AU768" s="12"/>
      <c r="AV768" s="14"/>
      <c r="AW768" s="15"/>
      <c r="AX768" s="15"/>
    </row>
    <row r="769" ht="15.75" customHeight="1"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3"/>
      <c r="AQ769" s="13"/>
      <c r="AR769" s="13"/>
      <c r="AS769" s="13"/>
      <c r="AT769" s="12"/>
      <c r="AU769" s="12"/>
      <c r="AV769" s="14"/>
      <c r="AW769" s="15"/>
      <c r="AX769" s="15"/>
    </row>
    <row r="770" ht="15.75" customHeight="1"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3"/>
      <c r="AQ770" s="13"/>
      <c r="AR770" s="13"/>
      <c r="AS770" s="13"/>
      <c r="AT770" s="12"/>
      <c r="AU770" s="12"/>
      <c r="AV770" s="14"/>
      <c r="AW770" s="15"/>
      <c r="AX770" s="15"/>
    </row>
    <row r="771" ht="15.75" customHeight="1"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3"/>
      <c r="AQ771" s="13"/>
      <c r="AR771" s="13"/>
      <c r="AS771" s="13"/>
      <c r="AT771" s="12"/>
      <c r="AU771" s="12"/>
      <c r="AV771" s="14"/>
      <c r="AW771" s="15"/>
      <c r="AX771" s="15"/>
    </row>
    <row r="772" ht="15.75" customHeight="1"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3"/>
      <c r="AQ772" s="13"/>
      <c r="AR772" s="13"/>
      <c r="AS772" s="13"/>
      <c r="AT772" s="12"/>
      <c r="AU772" s="12"/>
      <c r="AV772" s="14"/>
      <c r="AW772" s="15"/>
      <c r="AX772" s="15"/>
    </row>
    <row r="773" ht="15.75" customHeight="1"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3"/>
      <c r="AQ773" s="13"/>
      <c r="AR773" s="13"/>
      <c r="AS773" s="13"/>
      <c r="AT773" s="12"/>
      <c r="AU773" s="12"/>
      <c r="AV773" s="14"/>
      <c r="AW773" s="15"/>
      <c r="AX773" s="15"/>
    </row>
    <row r="774" ht="15.75" customHeight="1"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3"/>
      <c r="AQ774" s="13"/>
      <c r="AR774" s="13"/>
      <c r="AS774" s="13"/>
      <c r="AT774" s="12"/>
      <c r="AU774" s="12"/>
      <c r="AV774" s="14"/>
      <c r="AW774" s="15"/>
      <c r="AX774" s="15"/>
    </row>
    <row r="775" ht="15.75" customHeight="1"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3"/>
      <c r="AQ775" s="13"/>
      <c r="AR775" s="13"/>
      <c r="AS775" s="13"/>
      <c r="AT775" s="12"/>
      <c r="AU775" s="12"/>
      <c r="AV775" s="14"/>
      <c r="AW775" s="15"/>
      <c r="AX775" s="15"/>
    </row>
    <row r="776" ht="15.75" customHeight="1"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3"/>
      <c r="AQ776" s="13"/>
      <c r="AR776" s="13"/>
      <c r="AS776" s="13"/>
      <c r="AT776" s="12"/>
      <c r="AU776" s="12"/>
      <c r="AV776" s="14"/>
      <c r="AW776" s="15"/>
      <c r="AX776" s="15"/>
    </row>
    <row r="777" ht="15.75" customHeight="1"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3"/>
      <c r="AQ777" s="13"/>
      <c r="AR777" s="13"/>
      <c r="AS777" s="13"/>
      <c r="AT777" s="12"/>
      <c r="AU777" s="12"/>
      <c r="AV777" s="14"/>
      <c r="AW777" s="15"/>
      <c r="AX777" s="15"/>
    </row>
    <row r="778" ht="15.75" customHeight="1"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3"/>
      <c r="AQ778" s="13"/>
      <c r="AR778" s="13"/>
      <c r="AS778" s="13"/>
      <c r="AT778" s="12"/>
      <c r="AU778" s="12"/>
      <c r="AV778" s="14"/>
      <c r="AW778" s="15"/>
      <c r="AX778" s="15"/>
    </row>
    <row r="779" ht="15.75" customHeight="1"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3"/>
      <c r="AQ779" s="13"/>
      <c r="AR779" s="13"/>
      <c r="AS779" s="13"/>
      <c r="AT779" s="12"/>
      <c r="AU779" s="12"/>
      <c r="AV779" s="14"/>
      <c r="AW779" s="15"/>
      <c r="AX779" s="15"/>
    </row>
    <row r="780" ht="15.75" customHeight="1"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3"/>
      <c r="AQ780" s="13"/>
      <c r="AR780" s="13"/>
      <c r="AS780" s="13"/>
      <c r="AT780" s="12"/>
      <c r="AU780" s="12"/>
      <c r="AV780" s="14"/>
      <c r="AW780" s="15"/>
      <c r="AX780" s="15"/>
    </row>
    <row r="781" ht="15.75" customHeight="1"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3"/>
      <c r="AQ781" s="13"/>
      <c r="AR781" s="13"/>
      <c r="AS781" s="13"/>
      <c r="AT781" s="12"/>
      <c r="AU781" s="12"/>
      <c r="AV781" s="14"/>
      <c r="AW781" s="15"/>
      <c r="AX781" s="15"/>
    </row>
    <row r="782" ht="15.75" customHeight="1"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3"/>
      <c r="AQ782" s="13"/>
      <c r="AR782" s="13"/>
      <c r="AS782" s="13"/>
      <c r="AT782" s="12"/>
      <c r="AU782" s="12"/>
      <c r="AV782" s="14"/>
      <c r="AW782" s="15"/>
      <c r="AX782" s="15"/>
    </row>
    <row r="783" ht="15.75" customHeight="1"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3"/>
      <c r="AQ783" s="13"/>
      <c r="AR783" s="13"/>
      <c r="AS783" s="13"/>
      <c r="AT783" s="12"/>
      <c r="AU783" s="12"/>
      <c r="AV783" s="14"/>
      <c r="AW783" s="15"/>
      <c r="AX783" s="15"/>
    </row>
    <row r="784" ht="15.75" customHeight="1"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3"/>
      <c r="AQ784" s="13"/>
      <c r="AR784" s="13"/>
      <c r="AS784" s="13"/>
      <c r="AT784" s="12"/>
      <c r="AU784" s="12"/>
      <c r="AV784" s="14"/>
      <c r="AW784" s="15"/>
      <c r="AX784" s="15"/>
    </row>
    <row r="785" ht="15.75" customHeight="1"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3"/>
      <c r="AQ785" s="13"/>
      <c r="AR785" s="13"/>
      <c r="AS785" s="13"/>
      <c r="AT785" s="12"/>
      <c r="AU785" s="12"/>
      <c r="AV785" s="14"/>
      <c r="AW785" s="15"/>
      <c r="AX785" s="15"/>
    </row>
    <row r="786" ht="15.75" customHeight="1"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3"/>
      <c r="AQ786" s="13"/>
      <c r="AR786" s="13"/>
      <c r="AS786" s="13"/>
      <c r="AT786" s="12"/>
      <c r="AU786" s="12"/>
      <c r="AV786" s="14"/>
      <c r="AW786" s="15"/>
      <c r="AX786" s="15"/>
    </row>
    <row r="787" ht="15.75" customHeight="1"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3"/>
      <c r="AQ787" s="13"/>
      <c r="AR787" s="13"/>
      <c r="AS787" s="13"/>
      <c r="AT787" s="12"/>
      <c r="AU787" s="12"/>
      <c r="AV787" s="14"/>
      <c r="AW787" s="15"/>
      <c r="AX787" s="15"/>
    </row>
    <row r="788" ht="15.75" customHeight="1"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3"/>
      <c r="AQ788" s="13"/>
      <c r="AR788" s="13"/>
      <c r="AS788" s="13"/>
      <c r="AT788" s="12"/>
      <c r="AU788" s="12"/>
      <c r="AV788" s="14"/>
      <c r="AW788" s="15"/>
      <c r="AX788" s="15"/>
    </row>
    <row r="789" ht="15.75" customHeight="1"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3"/>
      <c r="AQ789" s="13"/>
      <c r="AR789" s="13"/>
      <c r="AS789" s="13"/>
      <c r="AT789" s="12"/>
      <c r="AU789" s="12"/>
      <c r="AV789" s="14"/>
      <c r="AW789" s="15"/>
      <c r="AX789" s="15"/>
    </row>
    <row r="790" ht="15.75" customHeight="1"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3"/>
      <c r="AQ790" s="13"/>
      <c r="AR790" s="13"/>
      <c r="AS790" s="13"/>
      <c r="AT790" s="12"/>
      <c r="AU790" s="12"/>
      <c r="AV790" s="14"/>
      <c r="AW790" s="15"/>
      <c r="AX790" s="15"/>
    </row>
    <row r="791" ht="15.75" customHeight="1"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3"/>
      <c r="AQ791" s="13"/>
      <c r="AR791" s="13"/>
      <c r="AS791" s="13"/>
      <c r="AT791" s="12"/>
      <c r="AU791" s="12"/>
      <c r="AV791" s="14"/>
      <c r="AW791" s="15"/>
      <c r="AX791" s="15"/>
    </row>
    <row r="792" ht="15.75" customHeight="1"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3"/>
      <c r="AQ792" s="13"/>
      <c r="AR792" s="13"/>
      <c r="AS792" s="13"/>
      <c r="AT792" s="12"/>
      <c r="AU792" s="12"/>
      <c r="AV792" s="14"/>
      <c r="AW792" s="15"/>
      <c r="AX792" s="15"/>
    </row>
    <row r="793" ht="15.75" customHeight="1"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3"/>
      <c r="AQ793" s="13"/>
      <c r="AR793" s="13"/>
      <c r="AS793" s="13"/>
      <c r="AT793" s="12"/>
      <c r="AU793" s="12"/>
      <c r="AV793" s="14"/>
      <c r="AW793" s="15"/>
      <c r="AX793" s="15"/>
    </row>
    <row r="794" ht="15.75" customHeight="1"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3"/>
      <c r="AQ794" s="13"/>
      <c r="AR794" s="13"/>
      <c r="AS794" s="13"/>
      <c r="AT794" s="12"/>
      <c r="AU794" s="12"/>
      <c r="AV794" s="14"/>
      <c r="AW794" s="15"/>
      <c r="AX794" s="15"/>
    </row>
    <row r="795" ht="15.75" customHeight="1"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3"/>
      <c r="AQ795" s="13"/>
      <c r="AR795" s="13"/>
      <c r="AS795" s="13"/>
      <c r="AT795" s="12"/>
      <c r="AU795" s="12"/>
      <c r="AV795" s="14"/>
      <c r="AW795" s="15"/>
      <c r="AX795" s="15"/>
    </row>
    <row r="796" ht="15.75" customHeight="1"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3"/>
      <c r="AQ796" s="13"/>
      <c r="AR796" s="13"/>
      <c r="AS796" s="13"/>
      <c r="AT796" s="12"/>
      <c r="AU796" s="12"/>
      <c r="AV796" s="14"/>
      <c r="AW796" s="15"/>
      <c r="AX796" s="15"/>
    </row>
    <row r="797" ht="15.75" customHeight="1"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3"/>
      <c r="AQ797" s="13"/>
      <c r="AR797" s="13"/>
      <c r="AS797" s="13"/>
      <c r="AT797" s="12"/>
      <c r="AU797" s="12"/>
      <c r="AV797" s="14"/>
      <c r="AW797" s="15"/>
      <c r="AX797" s="15"/>
    </row>
    <row r="798" ht="15.75" customHeight="1"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3"/>
      <c r="AQ798" s="13"/>
      <c r="AR798" s="13"/>
      <c r="AS798" s="13"/>
      <c r="AT798" s="12"/>
      <c r="AU798" s="12"/>
      <c r="AV798" s="14"/>
      <c r="AW798" s="15"/>
      <c r="AX798" s="15"/>
    </row>
    <row r="799" ht="15.75" customHeight="1"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3"/>
      <c r="AQ799" s="13"/>
      <c r="AR799" s="13"/>
      <c r="AS799" s="13"/>
      <c r="AT799" s="12"/>
      <c r="AU799" s="12"/>
      <c r="AV799" s="14"/>
      <c r="AW799" s="15"/>
      <c r="AX799" s="15"/>
    </row>
    <row r="800" ht="15.75" customHeight="1"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3"/>
      <c r="AQ800" s="13"/>
      <c r="AR800" s="13"/>
      <c r="AS800" s="13"/>
      <c r="AT800" s="12"/>
      <c r="AU800" s="12"/>
      <c r="AV800" s="14"/>
      <c r="AW800" s="15"/>
      <c r="AX800" s="15"/>
    </row>
    <row r="801" ht="15.75" customHeight="1"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3"/>
      <c r="AQ801" s="13"/>
      <c r="AR801" s="13"/>
      <c r="AS801" s="13"/>
      <c r="AT801" s="12"/>
      <c r="AU801" s="12"/>
      <c r="AV801" s="14"/>
      <c r="AW801" s="15"/>
      <c r="AX801" s="15"/>
    </row>
    <row r="802" ht="15.75" customHeight="1"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3"/>
      <c r="AQ802" s="13"/>
      <c r="AR802" s="13"/>
      <c r="AS802" s="13"/>
      <c r="AT802" s="12"/>
      <c r="AU802" s="12"/>
      <c r="AV802" s="14"/>
      <c r="AW802" s="15"/>
      <c r="AX802" s="15"/>
    </row>
    <row r="803" ht="15.75" customHeight="1"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3"/>
      <c r="AQ803" s="13"/>
      <c r="AR803" s="13"/>
      <c r="AS803" s="13"/>
      <c r="AT803" s="12"/>
      <c r="AU803" s="12"/>
      <c r="AV803" s="14"/>
      <c r="AW803" s="15"/>
      <c r="AX803" s="15"/>
    </row>
    <row r="804" ht="15.75" customHeight="1"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3"/>
      <c r="AQ804" s="13"/>
      <c r="AR804" s="13"/>
      <c r="AS804" s="13"/>
      <c r="AT804" s="12"/>
      <c r="AU804" s="12"/>
      <c r="AV804" s="14"/>
      <c r="AW804" s="15"/>
      <c r="AX804" s="15"/>
    </row>
    <row r="805" ht="15.75" customHeight="1"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3"/>
      <c r="AQ805" s="13"/>
      <c r="AR805" s="13"/>
      <c r="AS805" s="13"/>
      <c r="AT805" s="12"/>
      <c r="AU805" s="12"/>
      <c r="AV805" s="14"/>
      <c r="AW805" s="15"/>
      <c r="AX805" s="15"/>
    </row>
    <row r="806" ht="15.75" customHeight="1"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3"/>
      <c r="AQ806" s="13"/>
      <c r="AR806" s="13"/>
      <c r="AS806" s="13"/>
      <c r="AT806" s="12"/>
      <c r="AU806" s="12"/>
      <c r="AV806" s="14"/>
      <c r="AW806" s="15"/>
      <c r="AX806" s="15"/>
    </row>
    <row r="807" ht="15.75" customHeight="1"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3"/>
      <c r="AQ807" s="13"/>
      <c r="AR807" s="13"/>
      <c r="AS807" s="13"/>
      <c r="AT807" s="12"/>
      <c r="AU807" s="12"/>
      <c r="AV807" s="14"/>
      <c r="AW807" s="15"/>
      <c r="AX807" s="15"/>
    </row>
    <row r="808" ht="15.75" customHeight="1"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3"/>
      <c r="AQ808" s="13"/>
      <c r="AR808" s="13"/>
      <c r="AS808" s="13"/>
      <c r="AT808" s="12"/>
      <c r="AU808" s="12"/>
      <c r="AV808" s="14"/>
      <c r="AW808" s="15"/>
      <c r="AX808" s="15"/>
    </row>
    <row r="809" ht="15.75" customHeight="1"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3"/>
      <c r="AQ809" s="13"/>
      <c r="AR809" s="13"/>
      <c r="AS809" s="13"/>
      <c r="AT809" s="12"/>
      <c r="AU809" s="12"/>
      <c r="AV809" s="14"/>
      <c r="AW809" s="15"/>
      <c r="AX809" s="15"/>
    </row>
    <row r="810" ht="15.75" customHeight="1"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3"/>
      <c r="AQ810" s="13"/>
      <c r="AR810" s="13"/>
      <c r="AS810" s="13"/>
      <c r="AT810" s="12"/>
      <c r="AU810" s="12"/>
      <c r="AV810" s="14"/>
      <c r="AW810" s="15"/>
      <c r="AX810" s="15"/>
    </row>
    <row r="811" ht="15.75" customHeight="1"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3"/>
      <c r="AQ811" s="13"/>
      <c r="AR811" s="13"/>
      <c r="AS811" s="13"/>
      <c r="AT811" s="12"/>
      <c r="AU811" s="12"/>
      <c r="AV811" s="14"/>
      <c r="AW811" s="15"/>
      <c r="AX811" s="15"/>
    </row>
    <row r="812" ht="15.75" customHeight="1"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3"/>
      <c r="AQ812" s="13"/>
      <c r="AR812" s="13"/>
      <c r="AS812" s="13"/>
      <c r="AT812" s="12"/>
      <c r="AU812" s="12"/>
      <c r="AV812" s="14"/>
      <c r="AW812" s="15"/>
      <c r="AX812" s="15"/>
    </row>
    <row r="813" ht="15.75" customHeight="1"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3"/>
      <c r="AQ813" s="13"/>
      <c r="AR813" s="13"/>
      <c r="AS813" s="13"/>
      <c r="AT813" s="12"/>
      <c r="AU813" s="12"/>
      <c r="AV813" s="14"/>
      <c r="AW813" s="15"/>
      <c r="AX813" s="15"/>
    </row>
    <row r="814" ht="15.75" customHeight="1"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3"/>
      <c r="AQ814" s="13"/>
      <c r="AR814" s="13"/>
      <c r="AS814" s="13"/>
      <c r="AT814" s="12"/>
      <c r="AU814" s="12"/>
      <c r="AV814" s="14"/>
      <c r="AW814" s="15"/>
      <c r="AX814" s="15"/>
    </row>
    <row r="815" ht="15.75" customHeight="1"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3"/>
      <c r="AQ815" s="13"/>
      <c r="AR815" s="13"/>
      <c r="AS815" s="13"/>
      <c r="AT815" s="12"/>
      <c r="AU815" s="12"/>
      <c r="AV815" s="14"/>
      <c r="AW815" s="15"/>
      <c r="AX815" s="15"/>
    </row>
    <row r="816" ht="15.75" customHeight="1"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3"/>
      <c r="AQ816" s="13"/>
      <c r="AR816" s="13"/>
      <c r="AS816" s="13"/>
      <c r="AT816" s="12"/>
      <c r="AU816" s="12"/>
      <c r="AV816" s="14"/>
      <c r="AW816" s="15"/>
      <c r="AX816" s="15"/>
    </row>
    <row r="817" ht="15.75" customHeight="1"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3"/>
      <c r="AQ817" s="13"/>
      <c r="AR817" s="13"/>
      <c r="AS817" s="13"/>
      <c r="AT817" s="12"/>
      <c r="AU817" s="12"/>
      <c r="AV817" s="14"/>
      <c r="AW817" s="15"/>
      <c r="AX817" s="15"/>
    </row>
    <row r="818" ht="15.75" customHeight="1"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3"/>
      <c r="AQ818" s="13"/>
      <c r="AR818" s="13"/>
      <c r="AS818" s="13"/>
      <c r="AT818" s="12"/>
      <c r="AU818" s="12"/>
      <c r="AV818" s="14"/>
      <c r="AW818" s="15"/>
      <c r="AX818" s="15"/>
    </row>
    <row r="819" ht="15.75" customHeight="1"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3"/>
      <c r="AQ819" s="13"/>
      <c r="AR819" s="13"/>
      <c r="AS819" s="13"/>
      <c r="AT819" s="12"/>
      <c r="AU819" s="12"/>
      <c r="AV819" s="14"/>
      <c r="AW819" s="15"/>
      <c r="AX819" s="15"/>
    </row>
    <row r="820" ht="15.75" customHeight="1"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3"/>
      <c r="AQ820" s="13"/>
      <c r="AR820" s="13"/>
      <c r="AS820" s="13"/>
      <c r="AT820" s="12"/>
      <c r="AU820" s="12"/>
      <c r="AV820" s="14"/>
      <c r="AW820" s="15"/>
      <c r="AX820" s="15"/>
    </row>
    <row r="821" ht="15.75" customHeight="1"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3"/>
      <c r="AQ821" s="13"/>
      <c r="AR821" s="13"/>
      <c r="AS821" s="13"/>
      <c r="AT821" s="12"/>
      <c r="AU821" s="12"/>
      <c r="AV821" s="14"/>
      <c r="AW821" s="15"/>
      <c r="AX821" s="15"/>
    </row>
    <row r="822" ht="15.75" customHeight="1"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3"/>
      <c r="AQ822" s="13"/>
      <c r="AR822" s="13"/>
      <c r="AS822" s="13"/>
      <c r="AT822" s="12"/>
      <c r="AU822" s="12"/>
      <c r="AV822" s="14"/>
      <c r="AW822" s="15"/>
      <c r="AX822" s="15"/>
    </row>
    <row r="823" ht="15.75" customHeight="1"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3"/>
      <c r="AQ823" s="13"/>
      <c r="AR823" s="13"/>
      <c r="AS823" s="13"/>
      <c r="AT823" s="12"/>
      <c r="AU823" s="12"/>
      <c r="AV823" s="14"/>
      <c r="AW823" s="15"/>
      <c r="AX823" s="15"/>
    </row>
    <row r="824" ht="15.75" customHeight="1"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3"/>
      <c r="AQ824" s="13"/>
      <c r="AR824" s="13"/>
      <c r="AS824" s="13"/>
      <c r="AT824" s="12"/>
      <c r="AU824" s="12"/>
      <c r="AV824" s="14"/>
      <c r="AW824" s="15"/>
      <c r="AX824" s="15"/>
    </row>
    <row r="825" ht="15.75" customHeight="1"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3"/>
      <c r="AQ825" s="13"/>
      <c r="AR825" s="13"/>
      <c r="AS825" s="13"/>
      <c r="AT825" s="12"/>
      <c r="AU825" s="12"/>
      <c r="AV825" s="14"/>
      <c r="AW825" s="15"/>
      <c r="AX825" s="15"/>
    </row>
    <row r="826" ht="15.75" customHeight="1"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3"/>
      <c r="AQ826" s="13"/>
      <c r="AR826" s="13"/>
      <c r="AS826" s="13"/>
      <c r="AT826" s="12"/>
      <c r="AU826" s="12"/>
      <c r="AV826" s="14"/>
      <c r="AW826" s="15"/>
      <c r="AX826" s="15"/>
    </row>
    <row r="827" ht="15.75" customHeight="1"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3"/>
      <c r="AQ827" s="13"/>
      <c r="AR827" s="13"/>
      <c r="AS827" s="13"/>
      <c r="AT827" s="12"/>
      <c r="AU827" s="12"/>
      <c r="AV827" s="14"/>
      <c r="AW827" s="15"/>
      <c r="AX827" s="15"/>
    </row>
    <row r="828" ht="15.75" customHeight="1"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3"/>
      <c r="AQ828" s="13"/>
      <c r="AR828" s="13"/>
      <c r="AS828" s="13"/>
      <c r="AT828" s="12"/>
      <c r="AU828" s="12"/>
      <c r="AV828" s="14"/>
      <c r="AW828" s="15"/>
      <c r="AX828" s="15"/>
    </row>
    <row r="829" ht="15.75" customHeight="1"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3"/>
      <c r="AQ829" s="13"/>
      <c r="AR829" s="13"/>
      <c r="AS829" s="13"/>
      <c r="AT829" s="12"/>
      <c r="AU829" s="12"/>
      <c r="AV829" s="14"/>
      <c r="AW829" s="15"/>
      <c r="AX829" s="15"/>
    </row>
    <row r="830" ht="15.75" customHeight="1"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3"/>
      <c r="AQ830" s="13"/>
      <c r="AR830" s="13"/>
      <c r="AS830" s="13"/>
      <c r="AT830" s="12"/>
      <c r="AU830" s="12"/>
      <c r="AV830" s="14"/>
      <c r="AW830" s="15"/>
      <c r="AX830" s="15"/>
    </row>
    <row r="831" ht="15.75" customHeight="1"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3"/>
      <c r="AQ831" s="13"/>
      <c r="AR831" s="13"/>
      <c r="AS831" s="13"/>
      <c r="AT831" s="12"/>
      <c r="AU831" s="12"/>
      <c r="AV831" s="14"/>
      <c r="AW831" s="15"/>
      <c r="AX831" s="15"/>
    </row>
    <row r="832" ht="15.75" customHeight="1"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3"/>
      <c r="AQ832" s="13"/>
      <c r="AR832" s="13"/>
      <c r="AS832" s="13"/>
      <c r="AT832" s="12"/>
      <c r="AU832" s="12"/>
      <c r="AV832" s="14"/>
      <c r="AW832" s="15"/>
      <c r="AX832" s="15"/>
    </row>
    <row r="833" ht="15.75" customHeight="1"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3"/>
      <c r="AQ833" s="13"/>
      <c r="AR833" s="13"/>
      <c r="AS833" s="13"/>
      <c r="AT833" s="12"/>
      <c r="AU833" s="12"/>
      <c r="AV833" s="14"/>
      <c r="AW833" s="15"/>
      <c r="AX833" s="15"/>
    </row>
    <row r="834" ht="15.75" customHeight="1"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3"/>
      <c r="AQ834" s="13"/>
      <c r="AR834" s="13"/>
      <c r="AS834" s="13"/>
      <c r="AT834" s="12"/>
      <c r="AU834" s="12"/>
      <c r="AV834" s="14"/>
      <c r="AW834" s="15"/>
      <c r="AX834" s="15"/>
    </row>
    <row r="835" ht="15.75" customHeight="1"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3"/>
      <c r="AQ835" s="13"/>
      <c r="AR835" s="13"/>
      <c r="AS835" s="13"/>
      <c r="AT835" s="12"/>
      <c r="AU835" s="12"/>
      <c r="AV835" s="14"/>
      <c r="AW835" s="15"/>
      <c r="AX835" s="15"/>
    </row>
    <row r="836" ht="15.75" customHeight="1"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3"/>
      <c r="AQ836" s="13"/>
      <c r="AR836" s="13"/>
      <c r="AS836" s="13"/>
      <c r="AT836" s="12"/>
      <c r="AU836" s="12"/>
      <c r="AV836" s="14"/>
      <c r="AW836" s="15"/>
      <c r="AX836" s="15"/>
    </row>
    <row r="837" ht="15.75" customHeight="1"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3"/>
      <c r="AQ837" s="13"/>
      <c r="AR837" s="13"/>
      <c r="AS837" s="13"/>
      <c r="AT837" s="12"/>
      <c r="AU837" s="12"/>
      <c r="AV837" s="14"/>
      <c r="AW837" s="15"/>
      <c r="AX837" s="15"/>
    </row>
    <row r="838" ht="15.75" customHeight="1"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3"/>
      <c r="AQ838" s="13"/>
      <c r="AR838" s="13"/>
      <c r="AS838" s="13"/>
      <c r="AT838" s="12"/>
      <c r="AU838" s="12"/>
      <c r="AV838" s="14"/>
      <c r="AW838" s="15"/>
      <c r="AX838" s="15"/>
    </row>
    <row r="839" ht="15.75" customHeight="1"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3"/>
      <c r="AQ839" s="13"/>
      <c r="AR839" s="13"/>
      <c r="AS839" s="13"/>
      <c r="AT839" s="12"/>
      <c r="AU839" s="12"/>
      <c r="AV839" s="14"/>
      <c r="AW839" s="15"/>
      <c r="AX839" s="15"/>
    </row>
    <row r="840" ht="15.75" customHeight="1"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3"/>
      <c r="AQ840" s="13"/>
      <c r="AR840" s="13"/>
      <c r="AS840" s="13"/>
      <c r="AT840" s="12"/>
      <c r="AU840" s="12"/>
      <c r="AV840" s="14"/>
      <c r="AW840" s="15"/>
      <c r="AX840" s="15"/>
    </row>
    <row r="841" ht="15.75" customHeight="1"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3"/>
      <c r="AQ841" s="13"/>
      <c r="AR841" s="13"/>
      <c r="AS841" s="13"/>
      <c r="AT841" s="12"/>
      <c r="AU841" s="12"/>
      <c r="AV841" s="14"/>
      <c r="AW841" s="15"/>
      <c r="AX841" s="15"/>
    </row>
    <row r="842" ht="15.75" customHeight="1"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3"/>
      <c r="AQ842" s="13"/>
      <c r="AR842" s="13"/>
      <c r="AS842" s="13"/>
      <c r="AT842" s="12"/>
      <c r="AU842" s="12"/>
      <c r="AV842" s="14"/>
      <c r="AW842" s="15"/>
      <c r="AX842" s="15"/>
    </row>
    <row r="843" ht="15.75" customHeight="1"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3"/>
      <c r="AQ843" s="13"/>
      <c r="AR843" s="13"/>
      <c r="AS843" s="13"/>
      <c r="AT843" s="12"/>
      <c r="AU843" s="12"/>
      <c r="AV843" s="14"/>
      <c r="AW843" s="15"/>
      <c r="AX843" s="15"/>
    </row>
    <row r="844" ht="15.75" customHeight="1"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3"/>
      <c r="AQ844" s="13"/>
      <c r="AR844" s="13"/>
      <c r="AS844" s="13"/>
      <c r="AT844" s="12"/>
      <c r="AU844" s="12"/>
      <c r="AV844" s="14"/>
      <c r="AW844" s="15"/>
      <c r="AX844" s="15"/>
    </row>
    <row r="845" ht="15.75" customHeight="1"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3"/>
      <c r="AQ845" s="13"/>
      <c r="AR845" s="13"/>
      <c r="AS845" s="13"/>
      <c r="AT845" s="12"/>
      <c r="AU845" s="12"/>
      <c r="AV845" s="14"/>
      <c r="AW845" s="15"/>
      <c r="AX845" s="15"/>
    </row>
    <row r="846" ht="15.75" customHeight="1"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3"/>
      <c r="AQ846" s="13"/>
      <c r="AR846" s="13"/>
      <c r="AS846" s="13"/>
      <c r="AT846" s="12"/>
      <c r="AU846" s="12"/>
      <c r="AV846" s="14"/>
      <c r="AW846" s="15"/>
      <c r="AX846" s="15"/>
    </row>
    <row r="847" ht="15.75" customHeight="1"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3"/>
      <c r="AQ847" s="13"/>
      <c r="AR847" s="13"/>
      <c r="AS847" s="13"/>
      <c r="AT847" s="12"/>
      <c r="AU847" s="12"/>
      <c r="AV847" s="14"/>
      <c r="AW847" s="15"/>
      <c r="AX847" s="15"/>
    </row>
    <row r="848" ht="15.75" customHeight="1"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3"/>
      <c r="AQ848" s="13"/>
      <c r="AR848" s="13"/>
      <c r="AS848" s="13"/>
      <c r="AT848" s="12"/>
      <c r="AU848" s="12"/>
      <c r="AV848" s="14"/>
      <c r="AW848" s="15"/>
      <c r="AX848" s="15"/>
    </row>
    <row r="849" ht="15.75" customHeight="1"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3"/>
      <c r="AQ849" s="13"/>
      <c r="AR849" s="13"/>
      <c r="AS849" s="13"/>
      <c r="AT849" s="12"/>
      <c r="AU849" s="12"/>
      <c r="AV849" s="14"/>
      <c r="AW849" s="15"/>
      <c r="AX849" s="15"/>
    </row>
    <row r="850" ht="15.75" customHeight="1"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3"/>
      <c r="AQ850" s="13"/>
      <c r="AR850" s="13"/>
      <c r="AS850" s="13"/>
      <c r="AT850" s="12"/>
      <c r="AU850" s="12"/>
      <c r="AV850" s="14"/>
      <c r="AW850" s="15"/>
      <c r="AX850" s="15"/>
    </row>
    <row r="851" ht="15.75" customHeight="1"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3"/>
      <c r="AQ851" s="13"/>
      <c r="AR851" s="13"/>
      <c r="AS851" s="13"/>
      <c r="AT851" s="12"/>
      <c r="AU851" s="12"/>
      <c r="AV851" s="14"/>
      <c r="AW851" s="15"/>
      <c r="AX851" s="15"/>
    </row>
    <row r="852" ht="15.75" customHeight="1"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3"/>
      <c r="AQ852" s="13"/>
      <c r="AR852" s="13"/>
      <c r="AS852" s="13"/>
      <c r="AT852" s="12"/>
      <c r="AU852" s="12"/>
      <c r="AV852" s="14"/>
      <c r="AW852" s="15"/>
      <c r="AX852" s="15"/>
    </row>
    <row r="853" ht="15.75" customHeight="1"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3"/>
      <c r="AQ853" s="13"/>
      <c r="AR853" s="13"/>
      <c r="AS853" s="13"/>
      <c r="AT853" s="12"/>
      <c r="AU853" s="12"/>
      <c r="AV853" s="14"/>
      <c r="AW853" s="15"/>
      <c r="AX853" s="15"/>
    </row>
    <row r="854" ht="15.75" customHeight="1"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3"/>
      <c r="AQ854" s="13"/>
      <c r="AR854" s="13"/>
      <c r="AS854" s="13"/>
      <c r="AT854" s="12"/>
      <c r="AU854" s="12"/>
      <c r="AV854" s="14"/>
      <c r="AW854" s="15"/>
      <c r="AX854" s="15"/>
    </row>
    <row r="855" ht="15.75" customHeight="1"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3"/>
      <c r="AQ855" s="13"/>
      <c r="AR855" s="13"/>
      <c r="AS855" s="13"/>
      <c r="AT855" s="12"/>
      <c r="AU855" s="12"/>
      <c r="AV855" s="14"/>
      <c r="AW855" s="15"/>
      <c r="AX855" s="15"/>
    </row>
    <row r="856" ht="15.75" customHeight="1"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3"/>
      <c r="AQ856" s="13"/>
      <c r="AR856" s="13"/>
      <c r="AS856" s="13"/>
      <c r="AT856" s="12"/>
      <c r="AU856" s="12"/>
      <c r="AV856" s="14"/>
      <c r="AW856" s="15"/>
      <c r="AX856" s="15"/>
    </row>
    <row r="857" ht="15.75" customHeight="1"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3"/>
      <c r="AQ857" s="13"/>
      <c r="AR857" s="13"/>
      <c r="AS857" s="13"/>
      <c r="AT857" s="12"/>
      <c r="AU857" s="12"/>
      <c r="AV857" s="14"/>
      <c r="AW857" s="15"/>
      <c r="AX857" s="15"/>
    </row>
    <row r="858" ht="15.75" customHeight="1"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3"/>
      <c r="AQ858" s="13"/>
      <c r="AR858" s="13"/>
      <c r="AS858" s="13"/>
      <c r="AT858" s="12"/>
      <c r="AU858" s="12"/>
      <c r="AV858" s="14"/>
      <c r="AW858" s="15"/>
      <c r="AX858" s="15"/>
    </row>
    <row r="859" ht="15.75" customHeight="1"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3"/>
      <c r="AQ859" s="13"/>
      <c r="AR859" s="13"/>
      <c r="AS859" s="13"/>
      <c r="AT859" s="12"/>
      <c r="AU859" s="12"/>
      <c r="AV859" s="14"/>
      <c r="AW859" s="15"/>
      <c r="AX859" s="15"/>
    </row>
    <row r="860" ht="15.75" customHeight="1"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3"/>
      <c r="AQ860" s="13"/>
      <c r="AR860" s="13"/>
      <c r="AS860" s="13"/>
      <c r="AT860" s="12"/>
      <c r="AU860" s="12"/>
      <c r="AV860" s="14"/>
      <c r="AW860" s="15"/>
      <c r="AX860" s="15"/>
    </row>
    <row r="861" ht="15.75" customHeight="1"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3"/>
      <c r="AQ861" s="13"/>
      <c r="AR861" s="13"/>
      <c r="AS861" s="13"/>
      <c r="AT861" s="12"/>
      <c r="AU861" s="12"/>
      <c r="AV861" s="14"/>
      <c r="AW861" s="15"/>
      <c r="AX861" s="15"/>
    </row>
    <row r="862" ht="15.75" customHeight="1"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3"/>
      <c r="AQ862" s="13"/>
      <c r="AR862" s="13"/>
      <c r="AS862" s="13"/>
      <c r="AT862" s="12"/>
      <c r="AU862" s="12"/>
      <c r="AV862" s="14"/>
      <c r="AW862" s="15"/>
      <c r="AX862" s="15"/>
    </row>
    <row r="863" ht="15.75" customHeight="1"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3"/>
      <c r="AQ863" s="13"/>
      <c r="AR863" s="13"/>
      <c r="AS863" s="13"/>
      <c r="AT863" s="12"/>
      <c r="AU863" s="12"/>
      <c r="AV863" s="14"/>
      <c r="AW863" s="15"/>
      <c r="AX863" s="15"/>
    </row>
    <row r="864" ht="15.75" customHeight="1"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3"/>
      <c r="AQ864" s="13"/>
      <c r="AR864" s="13"/>
      <c r="AS864" s="13"/>
      <c r="AT864" s="12"/>
      <c r="AU864" s="12"/>
      <c r="AV864" s="14"/>
      <c r="AW864" s="15"/>
      <c r="AX864" s="15"/>
    </row>
    <row r="865" ht="15.75" customHeight="1"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3"/>
      <c r="AQ865" s="13"/>
      <c r="AR865" s="13"/>
      <c r="AS865" s="13"/>
      <c r="AT865" s="12"/>
      <c r="AU865" s="12"/>
      <c r="AV865" s="14"/>
      <c r="AW865" s="15"/>
      <c r="AX865" s="15"/>
    </row>
    <row r="866" ht="15.75" customHeight="1"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3"/>
      <c r="AQ866" s="13"/>
      <c r="AR866" s="13"/>
      <c r="AS866" s="13"/>
      <c r="AT866" s="12"/>
      <c r="AU866" s="12"/>
      <c r="AV866" s="14"/>
      <c r="AW866" s="15"/>
      <c r="AX866" s="15"/>
    </row>
    <row r="867" ht="15.75" customHeight="1"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3"/>
      <c r="AQ867" s="13"/>
      <c r="AR867" s="13"/>
      <c r="AS867" s="13"/>
      <c r="AT867" s="12"/>
      <c r="AU867" s="12"/>
      <c r="AV867" s="14"/>
      <c r="AW867" s="15"/>
      <c r="AX867" s="15"/>
    </row>
    <row r="868" ht="15.75" customHeight="1"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3"/>
      <c r="AQ868" s="13"/>
      <c r="AR868" s="13"/>
      <c r="AS868" s="13"/>
      <c r="AT868" s="12"/>
      <c r="AU868" s="12"/>
      <c r="AV868" s="14"/>
      <c r="AW868" s="15"/>
      <c r="AX868" s="15"/>
    </row>
    <row r="869" ht="15.75" customHeight="1"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3"/>
      <c r="AQ869" s="13"/>
      <c r="AR869" s="13"/>
      <c r="AS869" s="13"/>
      <c r="AT869" s="12"/>
      <c r="AU869" s="12"/>
      <c r="AV869" s="14"/>
      <c r="AW869" s="15"/>
      <c r="AX869" s="15"/>
    </row>
    <row r="870" ht="15.75" customHeight="1"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3"/>
      <c r="AQ870" s="13"/>
      <c r="AR870" s="13"/>
      <c r="AS870" s="13"/>
      <c r="AT870" s="12"/>
      <c r="AU870" s="12"/>
      <c r="AV870" s="14"/>
      <c r="AW870" s="15"/>
      <c r="AX870" s="15"/>
    </row>
    <row r="871" ht="15.75" customHeight="1"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3"/>
      <c r="AQ871" s="13"/>
      <c r="AR871" s="13"/>
      <c r="AS871" s="13"/>
      <c r="AT871" s="12"/>
      <c r="AU871" s="12"/>
      <c r="AV871" s="14"/>
      <c r="AW871" s="15"/>
      <c r="AX871" s="15"/>
    </row>
    <row r="872" ht="15.75" customHeight="1"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3"/>
      <c r="AQ872" s="13"/>
      <c r="AR872" s="13"/>
      <c r="AS872" s="13"/>
      <c r="AT872" s="12"/>
      <c r="AU872" s="12"/>
      <c r="AV872" s="14"/>
      <c r="AW872" s="15"/>
      <c r="AX872" s="15"/>
    </row>
    <row r="873" ht="15.75" customHeight="1"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3"/>
      <c r="AQ873" s="13"/>
      <c r="AR873" s="13"/>
      <c r="AS873" s="13"/>
      <c r="AT873" s="12"/>
      <c r="AU873" s="12"/>
      <c r="AV873" s="14"/>
      <c r="AW873" s="15"/>
      <c r="AX873" s="15"/>
    </row>
    <row r="874" ht="15.75" customHeight="1"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3"/>
      <c r="AQ874" s="13"/>
      <c r="AR874" s="13"/>
      <c r="AS874" s="13"/>
      <c r="AT874" s="12"/>
      <c r="AU874" s="12"/>
      <c r="AV874" s="14"/>
      <c r="AW874" s="15"/>
      <c r="AX874" s="15"/>
    </row>
    <row r="875" ht="15.75" customHeight="1"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3"/>
      <c r="AQ875" s="13"/>
      <c r="AR875" s="13"/>
      <c r="AS875" s="13"/>
      <c r="AT875" s="12"/>
      <c r="AU875" s="12"/>
      <c r="AV875" s="14"/>
      <c r="AW875" s="15"/>
      <c r="AX875" s="15"/>
    </row>
    <row r="876" ht="15.75" customHeight="1"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3"/>
      <c r="AQ876" s="13"/>
      <c r="AR876" s="13"/>
      <c r="AS876" s="13"/>
      <c r="AT876" s="12"/>
      <c r="AU876" s="12"/>
      <c r="AV876" s="14"/>
      <c r="AW876" s="15"/>
      <c r="AX876" s="15"/>
    </row>
    <row r="877" ht="15.75" customHeight="1"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3"/>
      <c r="AQ877" s="13"/>
      <c r="AR877" s="13"/>
      <c r="AS877" s="13"/>
      <c r="AT877" s="12"/>
      <c r="AU877" s="12"/>
      <c r="AV877" s="14"/>
      <c r="AW877" s="15"/>
      <c r="AX877" s="15"/>
    </row>
    <row r="878" ht="15.75" customHeight="1"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3"/>
      <c r="AQ878" s="13"/>
      <c r="AR878" s="13"/>
      <c r="AS878" s="13"/>
      <c r="AT878" s="12"/>
      <c r="AU878" s="12"/>
      <c r="AV878" s="14"/>
      <c r="AW878" s="15"/>
      <c r="AX878" s="15"/>
    </row>
    <row r="879" ht="15.75" customHeight="1"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3"/>
      <c r="AQ879" s="13"/>
      <c r="AR879" s="13"/>
      <c r="AS879" s="13"/>
      <c r="AT879" s="12"/>
      <c r="AU879" s="12"/>
      <c r="AV879" s="14"/>
      <c r="AW879" s="15"/>
      <c r="AX879" s="15"/>
    </row>
    <row r="880" ht="15.75" customHeight="1"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3"/>
      <c r="AQ880" s="13"/>
      <c r="AR880" s="13"/>
      <c r="AS880" s="13"/>
      <c r="AT880" s="12"/>
      <c r="AU880" s="12"/>
      <c r="AV880" s="14"/>
      <c r="AW880" s="15"/>
      <c r="AX880" s="15"/>
    </row>
    <row r="881" ht="15.75" customHeight="1"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3"/>
      <c r="AQ881" s="13"/>
      <c r="AR881" s="13"/>
      <c r="AS881" s="13"/>
      <c r="AT881" s="12"/>
      <c r="AU881" s="12"/>
      <c r="AV881" s="14"/>
      <c r="AW881" s="15"/>
      <c r="AX881" s="15"/>
    </row>
    <row r="882" ht="15.75" customHeight="1"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3"/>
      <c r="AQ882" s="13"/>
      <c r="AR882" s="13"/>
      <c r="AS882" s="13"/>
      <c r="AT882" s="12"/>
      <c r="AU882" s="12"/>
      <c r="AV882" s="14"/>
      <c r="AW882" s="15"/>
      <c r="AX882" s="15"/>
    </row>
    <row r="883" ht="15.75" customHeight="1"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3"/>
      <c r="AQ883" s="13"/>
      <c r="AR883" s="13"/>
      <c r="AS883" s="13"/>
      <c r="AT883" s="12"/>
      <c r="AU883" s="12"/>
      <c r="AV883" s="14"/>
      <c r="AW883" s="15"/>
      <c r="AX883" s="15"/>
    </row>
    <row r="884" ht="15.75" customHeight="1"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3"/>
      <c r="AQ884" s="13"/>
      <c r="AR884" s="13"/>
      <c r="AS884" s="13"/>
      <c r="AT884" s="12"/>
      <c r="AU884" s="12"/>
      <c r="AV884" s="14"/>
      <c r="AW884" s="15"/>
      <c r="AX884" s="15"/>
    </row>
    <row r="885" ht="15.75" customHeight="1"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3"/>
      <c r="AQ885" s="13"/>
      <c r="AR885" s="13"/>
      <c r="AS885" s="13"/>
      <c r="AT885" s="12"/>
      <c r="AU885" s="12"/>
      <c r="AV885" s="14"/>
      <c r="AW885" s="15"/>
      <c r="AX885" s="15"/>
    </row>
    <row r="886" ht="15.75" customHeight="1"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3"/>
      <c r="AQ886" s="13"/>
      <c r="AR886" s="13"/>
      <c r="AS886" s="13"/>
      <c r="AT886" s="12"/>
      <c r="AU886" s="12"/>
      <c r="AV886" s="14"/>
      <c r="AW886" s="15"/>
      <c r="AX886" s="15"/>
    </row>
    <row r="887" ht="15.75" customHeight="1"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3"/>
      <c r="AQ887" s="13"/>
      <c r="AR887" s="13"/>
      <c r="AS887" s="13"/>
      <c r="AT887" s="12"/>
      <c r="AU887" s="12"/>
      <c r="AV887" s="14"/>
      <c r="AW887" s="15"/>
      <c r="AX887" s="15"/>
    </row>
    <row r="888" ht="15.75" customHeight="1"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3"/>
      <c r="AQ888" s="13"/>
      <c r="AR888" s="13"/>
      <c r="AS888" s="13"/>
      <c r="AT888" s="12"/>
      <c r="AU888" s="12"/>
      <c r="AV888" s="14"/>
      <c r="AW888" s="15"/>
      <c r="AX888" s="15"/>
    </row>
    <row r="889" ht="15.75" customHeight="1"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3"/>
      <c r="AQ889" s="13"/>
      <c r="AR889" s="13"/>
      <c r="AS889" s="13"/>
      <c r="AT889" s="12"/>
      <c r="AU889" s="12"/>
      <c r="AV889" s="14"/>
      <c r="AW889" s="15"/>
      <c r="AX889" s="15"/>
    </row>
    <row r="890" ht="15.75" customHeight="1"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3"/>
      <c r="AQ890" s="13"/>
      <c r="AR890" s="13"/>
      <c r="AS890" s="13"/>
      <c r="AT890" s="12"/>
      <c r="AU890" s="12"/>
      <c r="AV890" s="14"/>
      <c r="AW890" s="15"/>
      <c r="AX890" s="15"/>
    </row>
    <row r="891" ht="15.75" customHeight="1"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3"/>
      <c r="AQ891" s="13"/>
      <c r="AR891" s="13"/>
      <c r="AS891" s="13"/>
      <c r="AT891" s="12"/>
      <c r="AU891" s="12"/>
      <c r="AV891" s="14"/>
      <c r="AW891" s="15"/>
      <c r="AX891" s="15"/>
    </row>
    <row r="892" ht="15.75" customHeight="1"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3"/>
      <c r="AQ892" s="13"/>
      <c r="AR892" s="13"/>
      <c r="AS892" s="13"/>
      <c r="AT892" s="12"/>
      <c r="AU892" s="12"/>
      <c r="AV892" s="14"/>
      <c r="AW892" s="15"/>
      <c r="AX892" s="15"/>
    </row>
    <row r="893" ht="15.75" customHeight="1"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3"/>
      <c r="AQ893" s="13"/>
      <c r="AR893" s="13"/>
      <c r="AS893" s="13"/>
      <c r="AT893" s="12"/>
      <c r="AU893" s="12"/>
      <c r="AV893" s="14"/>
      <c r="AW893" s="15"/>
      <c r="AX893" s="15"/>
    </row>
    <row r="894" ht="15.75" customHeight="1"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3"/>
      <c r="AQ894" s="13"/>
      <c r="AR894" s="13"/>
      <c r="AS894" s="13"/>
      <c r="AT894" s="12"/>
      <c r="AU894" s="12"/>
      <c r="AV894" s="14"/>
      <c r="AW894" s="15"/>
      <c r="AX894" s="15"/>
    </row>
    <row r="895" ht="15.75" customHeight="1"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3"/>
      <c r="AQ895" s="13"/>
      <c r="AR895" s="13"/>
      <c r="AS895" s="13"/>
      <c r="AT895" s="12"/>
      <c r="AU895" s="12"/>
      <c r="AV895" s="14"/>
      <c r="AW895" s="15"/>
      <c r="AX895" s="15"/>
    </row>
    <row r="896" ht="15.75" customHeight="1"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3"/>
      <c r="AQ896" s="13"/>
      <c r="AR896" s="13"/>
      <c r="AS896" s="13"/>
      <c r="AT896" s="12"/>
      <c r="AU896" s="12"/>
      <c r="AV896" s="14"/>
      <c r="AW896" s="15"/>
      <c r="AX896" s="15"/>
    </row>
    <row r="897" ht="15.75" customHeight="1"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3"/>
      <c r="AQ897" s="13"/>
      <c r="AR897" s="13"/>
      <c r="AS897" s="13"/>
      <c r="AT897" s="12"/>
      <c r="AU897" s="12"/>
      <c r="AV897" s="14"/>
      <c r="AW897" s="15"/>
      <c r="AX897" s="15"/>
    </row>
    <row r="898" ht="15.75" customHeight="1"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3"/>
      <c r="AQ898" s="13"/>
      <c r="AR898" s="13"/>
      <c r="AS898" s="13"/>
      <c r="AT898" s="12"/>
      <c r="AU898" s="12"/>
      <c r="AV898" s="14"/>
      <c r="AW898" s="15"/>
      <c r="AX898" s="15"/>
    </row>
    <row r="899" ht="15.75" customHeight="1"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3"/>
      <c r="AQ899" s="13"/>
      <c r="AR899" s="13"/>
      <c r="AS899" s="13"/>
      <c r="AT899" s="12"/>
      <c r="AU899" s="12"/>
      <c r="AV899" s="14"/>
      <c r="AW899" s="15"/>
      <c r="AX899" s="15"/>
    </row>
    <row r="900" ht="15.75" customHeight="1"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3"/>
      <c r="AQ900" s="13"/>
      <c r="AR900" s="13"/>
      <c r="AS900" s="13"/>
      <c r="AT900" s="12"/>
      <c r="AU900" s="12"/>
      <c r="AV900" s="14"/>
      <c r="AW900" s="15"/>
      <c r="AX900" s="15"/>
    </row>
    <row r="901" ht="15.75" customHeight="1"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3"/>
      <c r="AQ901" s="13"/>
      <c r="AR901" s="13"/>
      <c r="AS901" s="13"/>
      <c r="AT901" s="12"/>
      <c r="AU901" s="12"/>
      <c r="AV901" s="14"/>
      <c r="AW901" s="15"/>
      <c r="AX901" s="15"/>
    </row>
    <row r="902" ht="15.75" customHeight="1"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3"/>
      <c r="AQ902" s="13"/>
      <c r="AR902" s="13"/>
      <c r="AS902" s="13"/>
      <c r="AT902" s="12"/>
      <c r="AU902" s="12"/>
      <c r="AV902" s="14"/>
      <c r="AW902" s="15"/>
      <c r="AX902" s="15"/>
    </row>
    <row r="903" ht="15.75" customHeight="1"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3"/>
      <c r="AQ903" s="13"/>
      <c r="AR903" s="13"/>
      <c r="AS903" s="13"/>
      <c r="AT903" s="12"/>
      <c r="AU903" s="12"/>
      <c r="AV903" s="14"/>
      <c r="AW903" s="15"/>
      <c r="AX903" s="15"/>
    </row>
    <row r="904" ht="15.75" customHeight="1"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3"/>
      <c r="AQ904" s="13"/>
      <c r="AR904" s="13"/>
      <c r="AS904" s="13"/>
      <c r="AT904" s="12"/>
      <c r="AU904" s="12"/>
      <c r="AV904" s="14"/>
      <c r="AW904" s="15"/>
      <c r="AX904" s="15"/>
    </row>
    <row r="905" ht="15.75" customHeight="1"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3"/>
      <c r="AQ905" s="13"/>
      <c r="AR905" s="13"/>
      <c r="AS905" s="13"/>
      <c r="AT905" s="12"/>
      <c r="AU905" s="12"/>
      <c r="AV905" s="14"/>
      <c r="AW905" s="15"/>
      <c r="AX905" s="15"/>
    </row>
    <row r="906" ht="15.75" customHeight="1"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3"/>
      <c r="AQ906" s="13"/>
      <c r="AR906" s="13"/>
      <c r="AS906" s="13"/>
      <c r="AT906" s="12"/>
      <c r="AU906" s="12"/>
      <c r="AV906" s="14"/>
      <c r="AW906" s="15"/>
      <c r="AX906" s="15"/>
    </row>
    <row r="907" ht="15.75" customHeight="1"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3"/>
      <c r="AQ907" s="13"/>
      <c r="AR907" s="13"/>
      <c r="AS907" s="13"/>
      <c r="AT907" s="12"/>
      <c r="AU907" s="12"/>
      <c r="AV907" s="14"/>
      <c r="AW907" s="15"/>
      <c r="AX907" s="15"/>
    </row>
    <row r="908" ht="15.75" customHeight="1"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3"/>
      <c r="AQ908" s="13"/>
      <c r="AR908" s="13"/>
      <c r="AS908" s="13"/>
      <c r="AT908" s="12"/>
      <c r="AU908" s="12"/>
      <c r="AV908" s="14"/>
      <c r="AW908" s="15"/>
      <c r="AX908" s="15"/>
    </row>
    <row r="909" ht="15.75" customHeight="1"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3"/>
      <c r="AQ909" s="13"/>
      <c r="AR909" s="13"/>
      <c r="AS909" s="13"/>
      <c r="AT909" s="12"/>
      <c r="AU909" s="12"/>
      <c r="AV909" s="14"/>
      <c r="AW909" s="15"/>
      <c r="AX909" s="15"/>
    </row>
    <row r="910" ht="15.75" customHeight="1"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3"/>
      <c r="AQ910" s="13"/>
      <c r="AR910" s="13"/>
      <c r="AS910" s="13"/>
      <c r="AT910" s="12"/>
      <c r="AU910" s="12"/>
      <c r="AV910" s="14"/>
      <c r="AW910" s="15"/>
      <c r="AX910" s="15"/>
    </row>
    <row r="911" ht="15.75" customHeight="1"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3"/>
      <c r="AQ911" s="13"/>
      <c r="AR911" s="13"/>
      <c r="AS911" s="13"/>
      <c r="AT911" s="12"/>
      <c r="AU911" s="12"/>
      <c r="AV911" s="14"/>
      <c r="AW911" s="15"/>
      <c r="AX911" s="15"/>
    </row>
    <row r="912" ht="15.75" customHeight="1"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3"/>
      <c r="AQ912" s="13"/>
      <c r="AR912" s="13"/>
      <c r="AS912" s="13"/>
      <c r="AT912" s="12"/>
      <c r="AU912" s="12"/>
      <c r="AV912" s="14"/>
      <c r="AW912" s="15"/>
      <c r="AX912" s="15"/>
    </row>
    <row r="913" ht="15.75" customHeight="1"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3"/>
      <c r="AQ913" s="13"/>
      <c r="AR913" s="13"/>
      <c r="AS913" s="13"/>
      <c r="AT913" s="12"/>
      <c r="AU913" s="12"/>
      <c r="AV913" s="14"/>
      <c r="AW913" s="15"/>
      <c r="AX913" s="15"/>
    </row>
    <row r="914" ht="15.75" customHeight="1"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3"/>
      <c r="AQ914" s="13"/>
      <c r="AR914" s="13"/>
      <c r="AS914" s="13"/>
      <c r="AT914" s="12"/>
      <c r="AU914" s="12"/>
      <c r="AV914" s="14"/>
      <c r="AW914" s="15"/>
      <c r="AX914" s="15"/>
    </row>
    <row r="915" ht="15.75" customHeight="1"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3"/>
      <c r="AQ915" s="13"/>
      <c r="AR915" s="13"/>
      <c r="AS915" s="13"/>
      <c r="AT915" s="12"/>
      <c r="AU915" s="12"/>
      <c r="AV915" s="14"/>
      <c r="AW915" s="15"/>
      <c r="AX915" s="15"/>
    </row>
    <row r="916" ht="15.75" customHeight="1"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3"/>
      <c r="AQ916" s="13"/>
      <c r="AR916" s="13"/>
      <c r="AS916" s="13"/>
      <c r="AT916" s="12"/>
      <c r="AU916" s="12"/>
      <c r="AV916" s="14"/>
      <c r="AW916" s="15"/>
      <c r="AX916" s="15"/>
    </row>
    <row r="917" ht="15.75" customHeight="1"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3"/>
      <c r="AQ917" s="13"/>
      <c r="AR917" s="13"/>
      <c r="AS917" s="13"/>
      <c r="AT917" s="12"/>
      <c r="AU917" s="12"/>
      <c r="AV917" s="14"/>
      <c r="AW917" s="15"/>
      <c r="AX917" s="15"/>
    </row>
    <row r="918" ht="15.75" customHeight="1"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3"/>
      <c r="AQ918" s="13"/>
      <c r="AR918" s="13"/>
      <c r="AS918" s="13"/>
      <c r="AT918" s="12"/>
      <c r="AU918" s="12"/>
      <c r="AV918" s="14"/>
      <c r="AW918" s="15"/>
      <c r="AX918" s="15"/>
    </row>
    <row r="919" ht="15.75" customHeight="1"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3"/>
      <c r="AQ919" s="13"/>
      <c r="AR919" s="13"/>
      <c r="AS919" s="13"/>
      <c r="AT919" s="12"/>
      <c r="AU919" s="12"/>
      <c r="AV919" s="14"/>
      <c r="AW919" s="15"/>
      <c r="AX919" s="15"/>
    </row>
    <row r="920" ht="15.75" customHeight="1"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3"/>
      <c r="AQ920" s="13"/>
      <c r="AR920" s="13"/>
      <c r="AS920" s="13"/>
      <c r="AT920" s="12"/>
      <c r="AU920" s="12"/>
      <c r="AV920" s="14"/>
      <c r="AW920" s="15"/>
      <c r="AX920" s="15"/>
    </row>
    <row r="921" ht="15.75" customHeight="1"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3"/>
      <c r="AQ921" s="13"/>
      <c r="AR921" s="13"/>
      <c r="AS921" s="13"/>
      <c r="AT921" s="12"/>
      <c r="AU921" s="12"/>
      <c r="AV921" s="14"/>
      <c r="AW921" s="15"/>
      <c r="AX921" s="15"/>
    </row>
    <row r="922" ht="15.75" customHeight="1"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3"/>
      <c r="AQ922" s="13"/>
      <c r="AR922" s="13"/>
      <c r="AS922" s="13"/>
      <c r="AT922" s="12"/>
      <c r="AU922" s="12"/>
      <c r="AV922" s="14"/>
      <c r="AW922" s="15"/>
      <c r="AX922" s="15"/>
    </row>
    <row r="923" ht="15.75" customHeight="1"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3"/>
      <c r="AQ923" s="13"/>
      <c r="AR923" s="13"/>
      <c r="AS923" s="13"/>
      <c r="AT923" s="12"/>
      <c r="AU923" s="12"/>
      <c r="AV923" s="14"/>
      <c r="AW923" s="15"/>
      <c r="AX923" s="15"/>
    </row>
    <row r="924" ht="15.75" customHeight="1"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3"/>
      <c r="AQ924" s="13"/>
      <c r="AR924" s="13"/>
      <c r="AS924" s="13"/>
      <c r="AT924" s="12"/>
      <c r="AU924" s="12"/>
      <c r="AV924" s="14"/>
      <c r="AW924" s="15"/>
      <c r="AX924" s="15"/>
    </row>
    <row r="925" ht="15.75" customHeight="1"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3"/>
      <c r="AQ925" s="13"/>
      <c r="AR925" s="13"/>
      <c r="AS925" s="13"/>
      <c r="AT925" s="12"/>
      <c r="AU925" s="12"/>
      <c r="AV925" s="14"/>
      <c r="AW925" s="15"/>
      <c r="AX925" s="15"/>
    </row>
    <row r="926" ht="15.75" customHeight="1"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3"/>
      <c r="AQ926" s="13"/>
      <c r="AR926" s="13"/>
      <c r="AS926" s="13"/>
      <c r="AT926" s="12"/>
      <c r="AU926" s="12"/>
      <c r="AV926" s="14"/>
      <c r="AW926" s="15"/>
      <c r="AX926" s="15"/>
    </row>
    <row r="927" ht="15.75" customHeight="1"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3"/>
      <c r="AQ927" s="13"/>
      <c r="AR927" s="13"/>
      <c r="AS927" s="13"/>
      <c r="AT927" s="12"/>
      <c r="AU927" s="12"/>
      <c r="AV927" s="14"/>
      <c r="AW927" s="15"/>
      <c r="AX927" s="15"/>
    </row>
    <row r="928" ht="15.75" customHeight="1"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3"/>
      <c r="AQ928" s="13"/>
      <c r="AR928" s="13"/>
      <c r="AS928" s="13"/>
      <c r="AT928" s="12"/>
      <c r="AU928" s="12"/>
      <c r="AV928" s="14"/>
      <c r="AW928" s="15"/>
      <c r="AX928" s="15"/>
    </row>
    <row r="929" ht="15.75" customHeight="1"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3"/>
      <c r="AQ929" s="13"/>
      <c r="AR929" s="13"/>
      <c r="AS929" s="13"/>
      <c r="AT929" s="12"/>
      <c r="AU929" s="12"/>
      <c r="AV929" s="14"/>
      <c r="AW929" s="15"/>
      <c r="AX929" s="15"/>
    </row>
    <row r="930" ht="15.75" customHeight="1"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3"/>
      <c r="AQ930" s="13"/>
      <c r="AR930" s="13"/>
      <c r="AS930" s="13"/>
      <c r="AT930" s="12"/>
      <c r="AU930" s="12"/>
      <c r="AV930" s="14"/>
      <c r="AW930" s="15"/>
      <c r="AX930" s="15"/>
    </row>
    <row r="931" ht="15.75" customHeight="1"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3"/>
      <c r="AQ931" s="13"/>
      <c r="AR931" s="13"/>
      <c r="AS931" s="13"/>
      <c r="AT931" s="12"/>
      <c r="AU931" s="12"/>
      <c r="AV931" s="14"/>
      <c r="AW931" s="15"/>
      <c r="AX931" s="15"/>
    </row>
    <row r="932" ht="15.75" customHeight="1"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3"/>
      <c r="AQ932" s="13"/>
      <c r="AR932" s="13"/>
      <c r="AS932" s="13"/>
      <c r="AT932" s="12"/>
      <c r="AU932" s="12"/>
      <c r="AV932" s="14"/>
      <c r="AW932" s="15"/>
      <c r="AX932" s="15"/>
    </row>
    <row r="933" ht="15.75" customHeight="1"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3"/>
      <c r="AQ933" s="13"/>
      <c r="AR933" s="13"/>
      <c r="AS933" s="13"/>
      <c r="AT933" s="12"/>
      <c r="AU933" s="12"/>
      <c r="AV933" s="14"/>
      <c r="AW933" s="15"/>
      <c r="AX933" s="15"/>
    </row>
    <row r="934" ht="15.75" customHeight="1"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3"/>
      <c r="AQ934" s="13"/>
      <c r="AR934" s="13"/>
      <c r="AS934" s="13"/>
      <c r="AT934" s="12"/>
      <c r="AU934" s="12"/>
      <c r="AV934" s="14"/>
      <c r="AW934" s="15"/>
      <c r="AX934" s="15"/>
    </row>
    <row r="935" ht="15.75" customHeight="1"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3"/>
      <c r="AQ935" s="13"/>
      <c r="AR935" s="13"/>
      <c r="AS935" s="13"/>
      <c r="AT935" s="12"/>
      <c r="AU935" s="12"/>
      <c r="AV935" s="14"/>
      <c r="AW935" s="15"/>
      <c r="AX935" s="15"/>
    </row>
    <row r="936" ht="15.75" customHeight="1"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3"/>
      <c r="AQ936" s="13"/>
      <c r="AR936" s="13"/>
      <c r="AS936" s="13"/>
      <c r="AT936" s="12"/>
      <c r="AU936" s="12"/>
      <c r="AV936" s="14"/>
      <c r="AW936" s="15"/>
      <c r="AX936" s="15"/>
    </row>
    <row r="937" ht="15.75" customHeight="1"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3"/>
      <c r="AQ937" s="13"/>
      <c r="AR937" s="13"/>
      <c r="AS937" s="13"/>
      <c r="AT937" s="12"/>
      <c r="AU937" s="12"/>
      <c r="AV937" s="14"/>
      <c r="AW937" s="15"/>
      <c r="AX937" s="15"/>
    </row>
    <row r="938" ht="15.75" customHeight="1"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3"/>
      <c r="AQ938" s="13"/>
      <c r="AR938" s="13"/>
      <c r="AS938" s="13"/>
      <c r="AT938" s="12"/>
      <c r="AU938" s="12"/>
      <c r="AV938" s="14"/>
      <c r="AW938" s="15"/>
      <c r="AX938" s="15"/>
    </row>
    <row r="939" ht="15.75" customHeight="1"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3"/>
      <c r="AQ939" s="13"/>
      <c r="AR939" s="13"/>
      <c r="AS939" s="13"/>
      <c r="AT939" s="12"/>
      <c r="AU939" s="12"/>
      <c r="AV939" s="14"/>
      <c r="AW939" s="15"/>
      <c r="AX939" s="15"/>
    </row>
    <row r="940" ht="15.75" customHeight="1"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3"/>
      <c r="AQ940" s="13"/>
      <c r="AR940" s="13"/>
      <c r="AS940" s="13"/>
      <c r="AT940" s="12"/>
      <c r="AU940" s="12"/>
      <c r="AV940" s="14"/>
      <c r="AW940" s="15"/>
      <c r="AX940" s="15"/>
    </row>
    <row r="941" ht="15.75" customHeight="1"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3"/>
      <c r="AQ941" s="13"/>
      <c r="AR941" s="13"/>
      <c r="AS941" s="13"/>
      <c r="AT941" s="12"/>
      <c r="AU941" s="12"/>
      <c r="AV941" s="14"/>
      <c r="AW941" s="15"/>
      <c r="AX941" s="15"/>
    </row>
    <row r="942" ht="15.75" customHeight="1"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3"/>
      <c r="AQ942" s="13"/>
      <c r="AR942" s="13"/>
      <c r="AS942" s="13"/>
      <c r="AT942" s="12"/>
      <c r="AU942" s="12"/>
      <c r="AV942" s="14"/>
      <c r="AW942" s="15"/>
      <c r="AX942" s="15"/>
    </row>
    <row r="943" ht="15.75" customHeight="1"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3"/>
      <c r="AQ943" s="13"/>
      <c r="AR943" s="13"/>
      <c r="AS943" s="13"/>
      <c r="AT943" s="12"/>
      <c r="AU943" s="12"/>
      <c r="AV943" s="14"/>
      <c r="AW943" s="15"/>
      <c r="AX943" s="15"/>
    </row>
    <row r="944" ht="15.75" customHeight="1"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3"/>
      <c r="AQ944" s="13"/>
      <c r="AR944" s="13"/>
      <c r="AS944" s="13"/>
      <c r="AT944" s="12"/>
      <c r="AU944" s="12"/>
      <c r="AV944" s="14"/>
      <c r="AW944" s="15"/>
      <c r="AX944" s="15"/>
    </row>
    <row r="945" ht="15.75" customHeight="1"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3"/>
      <c r="AQ945" s="13"/>
      <c r="AR945" s="13"/>
      <c r="AS945" s="13"/>
      <c r="AT945" s="12"/>
      <c r="AU945" s="12"/>
      <c r="AV945" s="14"/>
      <c r="AW945" s="15"/>
      <c r="AX945" s="15"/>
    </row>
    <row r="946" ht="15.75" customHeight="1"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3"/>
      <c r="AQ946" s="13"/>
      <c r="AR946" s="13"/>
      <c r="AS946" s="13"/>
      <c r="AT946" s="12"/>
      <c r="AU946" s="12"/>
      <c r="AV946" s="14"/>
      <c r="AW946" s="15"/>
      <c r="AX946" s="15"/>
    </row>
    <row r="947" ht="15.75" customHeight="1"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3"/>
      <c r="AQ947" s="13"/>
      <c r="AR947" s="13"/>
      <c r="AS947" s="13"/>
      <c r="AT947" s="12"/>
      <c r="AU947" s="12"/>
      <c r="AV947" s="14"/>
      <c r="AW947" s="15"/>
      <c r="AX947" s="15"/>
    </row>
    <row r="948" ht="15.75" customHeight="1"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3"/>
      <c r="AQ948" s="13"/>
      <c r="AR948" s="13"/>
      <c r="AS948" s="13"/>
      <c r="AT948" s="12"/>
      <c r="AU948" s="12"/>
      <c r="AV948" s="14"/>
      <c r="AW948" s="15"/>
      <c r="AX948" s="15"/>
    </row>
    <row r="949" ht="15.75" customHeight="1"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3"/>
      <c r="AQ949" s="13"/>
      <c r="AR949" s="13"/>
      <c r="AS949" s="13"/>
      <c r="AT949" s="12"/>
      <c r="AU949" s="12"/>
      <c r="AV949" s="14"/>
      <c r="AW949" s="15"/>
      <c r="AX949" s="15"/>
    </row>
    <row r="950" ht="15.75" customHeight="1"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3"/>
      <c r="AQ950" s="13"/>
      <c r="AR950" s="13"/>
      <c r="AS950" s="13"/>
      <c r="AT950" s="12"/>
      <c r="AU950" s="12"/>
      <c r="AV950" s="14"/>
      <c r="AW950" s="15"/>
      <c r="AX950" s="15"/>
    </row>
    <row r="951" ht="15.75" customHeight="1"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3"/>
      <c r="AQ951" s="13"/>
      <c r="AR951" s="13"/>
      <c r="AS951" s="13"/>
      <c r="AT951" s="12"/>
      <c r="AU951" s="12"/>
      <c r="AV951" s="14"/>
      <c r="AW951" s="15"/>
      <c r="AX951" s="15"/>
    </row>
    <row r="952" ht="15.75" customHeight="1"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3"/>
      <c r="AQ952" s="13"/>
      <c r="AR952" s="13"/>
      <c r="AS952" s="13"/>
      <c r="AT952" s="12"/>
      <c r="AU952" s="12"/>
      <c r="AV952" s="14"/>
      <c r="AW952" s="15"/>
      <c r="AX952" s="15"/>
    </row>
    <row r="953" ht="15.75" customHeight="1"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3"/>
      <c r="AQ953" s="13"/>
      <c r="AR953" s="13"/>
      <c r="AS953" s="13"/>
      <c r="AT953" s="12"/>
      <c r="AU953" s="12"/>
      <c r="AV953" s="14"/>
      <c r="AW953" s="15"/>
      <c r="AX953" s="15"/>
    </row>
    <row r="954" ht="15.75" customHeight="1"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3"/>
      <c r="AQ954" s="13"/>
      <c r="AR954" s="13"/>
      <c r="AS954" s="13"/>
      <c r="AT954" s="12"/>
      <c r="AU954" s="12"/>
      <c r="AV954" s="14"/>
      <c r="AW954" s="15"/>
      <c r="AX954" s="15"/>
    </row>
    <row r="955" ht="15.75" customHeight="1"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3"/>
      <c r="AQ955" s="13"/>
      <c r="AR955" s="13"/>
      <c r="AS955" s="13"/>
      <c r="AT955" s="12"/>
      <c r="AU955" s="12"/>
      <c r="AV955" s="14"/>
      <c r="AW955" s="15"/>
      <c r="AX955" s="15"/>
    </row>
    <row r="956" ht="15.75" customHeight="1"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3"/>
      <c r="AQ956" s="13"/>
      <c r="AR956" s="13"/>
      <c r="AS956" s="13"/>
      <c r="AT956" s="12"/>
      <c r="AU956" s="12"/>
      <c r="AV956" s="14"/>
      <c r="AW956" s="15"/>
      <c r="AX956" s="15"/>
    </row>
    <row r="957" ht="15.75" customHeight="1"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3"/>
      <c r="AQ957" s="13"/>
      <c r="AR957" s="13"/>
      <c r="AS957" s="13"/>
      <c r="AT957" s="12"/>
      <c r="AU957" s="12"/>
      <c r="AV957" s="14"/>
      <c r="AW957" s="15"/>
      <c r="AX957" s="15"/>
    </row>
    <row r="958" ht="15.75" customHeight="1"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3"/>
      <c r="AQ958" s="13"/>
      <c r="AR958" s="13"/>
      <c r="AS958" s="13"/>
      <c r="AT958" s="12"/>
      <c r="AU958" s="12"/>
      <c r="AV958" s="14"/>
      <c r="AW958" s="15"/>
      <c r="AX958" s="15"/>
    </row>
    <row r="959" ht="15.75" customHeight="1"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3"/>
      <c r="AQ959" s="13"/>
      <c r="AR959" s="13"/>
      <c r="AS959" s="13"/>
      <c r="AT959" s="12"/>
      <c r="AU959" s="12"/>
      <c r="AV959" s="14"/>
      <c r="AW959" s="15"/>
      <c r="AX959" s="15"/>
    </row>
    <row r="960" ht="15.75" customHeight="1"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3"/>
      <c r="AQ960" s="13"/>
      <c r="AR960" s="13"/>
      <c r="AS960" s="13"/>
      <c r="AT960" s="12"/>
      <c r="AU960" s="12"/>
      <c r="AV960" s="14"/>
      <c r="AW960" s="15"/>
      <c r="AX960" s="15"/>
    </row>
    <row r="961" ht="15.75" customHeight="1"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3"/>
      <c r="AQ961" s="13"/>
      <c r="AR961" s="13"/>
      <c r="AS961" s="13"/>
      <c r="AT961" s="12"/>
      <c r="AU961" s="12"/>
      <c r="AV961" s="14"/>
      <c r="AW961" s="15"/>
      <c r="AX961" s="15"/>
    </row>
    <row r="962" ht="15.75" customHeight="1"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3"/>
      <c r="AQ962" s="13"/>
      <c r="AR962" s="13"/>
      <c r="AS962" s="13"/>
      <c r="AT962" s="12"/>
      <c r="AU962" s="12"/>
      <c r="AV962" s="14"/>
      <c r="AW962" s="15"/>
      <c r="AX962" s="15"/>
    </row>
    <row r="963" ht="15.75" customHeight="1"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3"/>
      <c r="AQ963" s="13"/>
      <c r="AR963" s="13"/>
      <c r="AS963" s="13"/>
      <c r="AT963" s="12"/>
      <c r="AU963" s="12"/>
      <c r="AV963" s="14"/>
      <c r="AW963" s="15"/>
      <c r="AX963" s="15"/>
    </row>
    <row r="964" ht="15.75" customHeight="1"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3"/>
      <c r="AQ964" s="13"/>
      <c r="AR964" s="13"/>
      <c r="AS964" s="13"/>
      <c r="AT964" s="12"/>
      <c r="AU964" s="12"/>
      <c r="AV964" s="14"/>
      <c r="AW964" s="15"/>
      <c r="AX964" s="15"/>
    </row>
    <row r="965" ht="15.75" customHeight="1"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3"/>
      <c r="AQ965" s="13"/>
      <c r="AR965" s="13"/>
      <c r="AS965" s="13"/>
      <c r="AT965" s="12"/>
      <c r="AU965" s="12"/>
      <c r="AV965" s="14"/>
      <c r="AW965" s="15"/>
      <c r="AX965" s="15"/>
    </row>
    <row r="966" ht="15.75" customHeight="1"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3"/>
      <c r="AQ966" s="13"/>
      <c r="AR966" s="13"/>
      <c r="AS966" s="13"/>
      <c r="AT966" s="12"/>
      <c r="AU966" s="12"/>
      <c r="AV966" s="14"/>
      <c r="AW966" s="15"/>
      <c r="AX966" s="15"/>
    </row>
    <row r="967" ht="15.75" customHeight="1"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3"/>
      <c r="AQ967" s="13"/>
      <c r="AR967" s="13"/>
      <c r="AS967" s="13"/>
      <c r="AT967" s="12"/>
      <c r="AU967" s="12"/>
      <c r="AV967" s="14"/>
      <c r="AW967" s="15"/>
      <c r="AX967" s="15"/>
    </row>
    <row r="968" ht="15.75" customHeight="1"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3"/>
      <c r="AQ968" s="13"/>
      <c r="AR968" s="13"/>
      <c r="AS968" s="13"/>
      <c r="AT968" s="12"/>
      <c r="AU968" s="12"/>
      <c r="AV968" s="14"/>
      <c r="AW968" s="15"/>
      <c r="AX968" s="15"/>
    </row>
    <row r="969" ht="15.75" customHeight="1"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3"/>
      <c r="AQ969" s="13"/>
      <c r="AR969" s="13"/>
      <c r="AS969" s="13"/>
      <c r="AT969" s="12"/>
      <c r="AU969" s="12"/>
      <c r="AV969" s="14"/>
      <c r="AW969" s="15"/>
      <c r="AX969" s="15"/>
    </row>
    <row r="970" ht="15.75" customHeight="1"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3"/>
      <c r="AQ970" s="13"/>
      <c r="AR970" s="13"/>
      <c r="AS970" s="13"/>
      <c r="AT970" s="12"/>
      <c r="AU970" s="12"/>
      <c r="AV970" s="14"/>
      <c r="AW970" s="15"/>
      <c r="AX970" s="15"/>
    </row>
    <row r="971" ht="15.75" customHeight="1"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3"/>
      <c r="AQ971" s="13"/>
      <c r="AR971" s="13"/>
      <c r="AS971" s="13"/>
      <c r="AT971" s="12"/>
      <c r="AU971" s="12"/>
      <c r="AV971" s="14"/>
      <c r="AW971" s="15"/>
      <c r="AX971" s="15"/>
    </row>
    <row r="972" ht="15.75" customHeight="1"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3"/>
      <c r="AQ972" s="13"/>
      <c r="AR972" s="13"/>
      <c r="AS972" s="13"/>
      <c r="AT972" s="12"/>
      <c r="AU972" s="12"/>
      <c r="AV972" s="14"/>
      <c r="AW972" s="15"/>
      <c r="AX972" s="15"/>
    </row>
    <row r="973" ht="15.75" customHeight="1"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3"/>
      <c r="AQ973" s="13"/>
      <c r="AR973" s="13"/>
      <c r="AS973" s="13"/>
      <c r="AT973" s="12"/>
      <c r="AU973" s="12"/>
      <c r="AV973" s="14"/>
      <c r="AW973" s="15"/>
      <c r="AX973" s="15"/>
    </row>
    <row r="974" ht="15.75" customHeight="1"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3"/>
      <c r="AQ974" s="13"/>
      <c r="AR974" s="13"/>
      <c r="AS974" s="13"/>
      <c r="AT974" s="12"/>
      <c r="AU974" s="12"/>
      <c r="AV974" s="14"/>
      <c r="AW974" s="15"/>
      <c r="AX974" s="15"/>
    </row>
    <row r="975" ht="15.75" customHeight="1"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3"/>
      <c r="AQ975" s="13"/>
      <c r="AR975" s="13"/>
      <c r="AS975" s="13"/>
      <c r="AT975" s="12"/>
      <c r="AU975" s="12"/>
      <c r="AV975" s="14"/>
      <c r="AW975" s="15"/>
      <c r="AX975" s="15"/>
    </row>
    <row r="976" ht="15.75" customHeight="1"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3"/>
      <c r="AQ976" s="13"/>
      <c r="AR976" s="13"/>
      <c r="AS976" s="13"/>
      <c r="AT976" s="12"/>
      <c r="AU976" s="12"/>
      <c r="AV976" s="14"/>
      <c r="AW976" s="15"/>
      <c r="AX976" s="15"/>
    </row>
    <row r="977" ht="15.75" customHeight="1"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3"/>
      <c r="AQ977" s="13"/>
      <c r="AR977" s="13"/>
      <c r="AS977" s="13"/>
      <c r="AT977" s="12"/>
      <c r="AU977" s="12"/>
      <c r="AV977" s="14"/>
      <c r="AW977" s="15"/>
      <c r="AX977" s="15"/>
    </row>
    <row r="978" ht="15.75" customHeight="1"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3"/>
      <c r="AQ978" s="13"/>
      <c r="AR978" s="13"/>
      <c r="AS978" s="13"/>
      <c r="AT978" s="12"/>
      <c r="AU978" s="12"/>
      <c r="AV978" s="14"/>
      <c r="AW978" s="15"/>
      <c r="AX978" s="15"/>
    </row>
    <row r="979" ht="15.75" customHeight="1"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3"/>
      <c r="AQ979" s="13"/>
      <c r="AR979" s="13"/>
      <c r="AS979" s="13"/>
      <c r="AT979" s="12"/>
      <c r="AU979" s="12"/>
      <c r="AV979" s="14"/>
      <c r="AW979" s="15"/>
      <c r="AX979" s="15"/>
    </row>
    <row r="980" ht="15.75" customHeight="1"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3"/>
      <c r="AQ980" s="13"/>
      <c r="AR980" s="13"/>
      <c r="AS980" s="13"/>
      <c r="AT980" s="12"/>
      <c r="AU980" s="12"/>
      <c r="AV980" s="14"/>
      <c r="AW980" s="15"/>
      <c r="AX980" s="15"/>
    </row>
    <row r="981" ht="15.75" customHeight="1"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3"/>
      <c r="AQ981" s="13"/>
      <c r="AR981" s="13"/>
      <c r="AS981" s="13"/>
      <c r="AT981" s="12"/>
      <c r="AU981" s="12"/>
      <c r="AV981" s="14"/>
      <c r="AW981" s="15"/>
      <c r="AX981" s="15"/>
    </row>
    <row r="982" ht="15.75" customHeight="1"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3"/>
      <c r="AQ982" s="13"/>
      <c r="AR982" s="13"/>
      <c r="AS982" s="13"/>
      <c r="AT982" s="12"/>
      <c r="AU982" s="12"/>
      <c r="AV982" s="14"/>
      <c r="AW982" s="15"/>
      <c r="AX982" s="15"/>
    </row>
    <row r="983" ht="15.75" customHeight="1"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3"/>
      <c r="AQ983" s="13"/>
      <c r="AR983" s="13"/>
      <c r="AS983" s="13"/>
      <c r="AT983" s="12"/>
      <c r="AU983" s="12"/>
      <c r="AV983" s="14"/>
      <c r="AW983" s="15"/>
      <c r="AX983" s="15"/>
    </row>
    <row r="984" ht="15.75" customHeight="1"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3"/>
      <c r="AQ984" s="13"/>
      <c r="AR984" s="13"/>
      <c r="AS984" s="13"/>
      <c r="AT984" s="12"/>
      <c r="AU984" s="12"/>
      <c r="AV984" s="14"/>
      <c r="AW984" s="15"/>
      <c r="AX984" s="15"/>
    </row>
    <row r="985" ht="15.75" customHeight="1"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3"/>
      <c r="AQ985" s="13"/>
      <c r="AR985" s="13"/>
      <c r="AS985" s="13"/>
      <c r="AT985" s="12"/>
      <c r="AU985" s="12"/>
      <c r="AV985" s="14"/>
      <c r="AW985" s="15"/>
      <c r="AX985" s="15"/>
    </row>
    <row r="986" ht="15.75" customHeight="1"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3"/>
      <c r="AQ986" s="13"/>
      <c r="AR986" s="13"/>
      <c r="AS986" s="13"/>
      <c r="AT986" s="12"/>
      <c r="AU986" s="12"/>
      <c r="AV986" s="14"/>
      <c r="AW986" s="15"/>
      <c r="AX986" s="15"/>
    </row>
    <row r="987" ht="15.75" customHeight="1"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3"/>
      <c r="AQ987" s="13"/>
      <c r="AR987" s="13"/>
      <c r="AS987" s="13"/>
      <c r="AT987" s="12"/>
      <c r="AU987" s="12"/>
      <c r="AV987" s="14"/>
      <c r="AW987" s="15"/>
      <c r="AX987" s="15"/>
    </row>
    <row r="988" ht="15.75" customHeight="1"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3"/>
      <c r="AQ988" s="13"/>
      <c r="AR988" s="13"/>
      <c r="AS988" s="13"/>
      <c r="AT988" s="12"/>
      <c r="AU988" s="12"/>
      <c r="AV988" s="14"/>
      <c r="AW988" s="15"/>
      <c r="AX988" s="15"/>
    </row>
    <row r="989" ht="15.75" customHeight="1"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3"/>
      <c r="AQ989" s="13"/>
      <c r="AR989" s="13"/>
      <c r="AS989" s="13"/>
      <c r="AT989" s="12"/>
      <c r="AU989" s="12"/>
      <c r="AV989" s="14"/>
      <c r="AW989" s="15"/>
      <c r="AX989" s="15"/>
    </row>
    <row r="990" ht="15.75" customHeight="1"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3"/>
      <c r="AQ990" s="13"/>
      <c r="AR990" s="13"/>
      <c r="AS990" s="13"/>
      <c r="AT990" s="12"/>
      <c r="AU990" s="12"/>
      <c r="AV990" s="14"/>
      <c r="AW990" s="15"/>
      <c r="AX990" s="15"/>
    </row>
    <row r="991" ht="15.75" customHeight="1"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3"/>
      <c r="AQ991" s="13"/>
      <c r="AR991" s="13"/>
      <c r="AS991" s="13"/>
      <c r="AT991" s="12"/>
      <c r="AU991" s="12"/>
      <c r="AV991" s="14"/>
      <c r="AW991" s="15"/>
      <c r="AX991" s="15"/>
    </row>
    <row r="992" ht="15.75" customHeight="1"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3"/>
      <c r="AQ992" s="13"/>
      <c r="AR992" s="13"/>
      <c r="AS992" s="13"/>
      <c r="AT992" s="12"/>
      <c r="AU992" s="12"/>
      <c r="AV992" s="14"/>
      <c r="AW992" s="15"/>
      <c r="AX992" s="15"/>
    </row>
    <row r="993" ht="15.75" customHeight="1"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3"/>
      <c r="AQ993" s="13"/>
      <c r="AR993" s="13"/>
      <c r="AS993" s="13"/>
      <c r="AT993" s="12"/>
      <c r="AU993" s="12"/>
      <c r="AV993" s="14"/>
      <c r="AW993" s="15"/>
      <c r="AX993" s="15"/>
    </row>
    <row r="994" ht="15.75" customHeight="1"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3"/>
      <c r="AQ994" s="13"/>
      <c r="AR994" s="13"/>
      <c r="AS994" s="13"/>
      <c r="AT994" s="12"/>
      <c r="AU994" s="12"/>
      <c r="AV994" s="14"/>
      <c r="AW994" s="15"/>
      <c r="AX994" s="15"/>
    </row>
    <row r="995" ht="15.75" customHeight="1"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3"/>
      <c r="AQ995" s="13"/>
      <c r="AR995" s="13"/>
      <c r="AS995" s="13"/>
      <c r="AT995" s="12"/>
      <c r="AU995" s="12"/>
      <c r="AV995" s="14"/>
      <c r="AW995" s="15"/>
      <c r="AX995" s="15"/>
    </row>
    <row r="996" ht="15.75" customHeight="1"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3"/>
      <c r="AQ996" s="13"/>
      <c r="AR996" s="13"/>
      <c r="AS996" s="13"/>
      <c r="AT996" s="12"/>
      <c r="AU996" s="12"/>
      <c r="AV996" s="14"/>
      <c r="AW996" s="15"/>
      <c r="AX996" s="15"/>
    </row>
    <row r="997" ht="15.75" customHeight="1"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3"/>
      <c r="AQ997" s="13"/>
      <c r="AR997" s="13"/>
      <c r="AS997" s="13"/>
      <c r="AT997" s="12"/>
      <c r="AU997" s="12"/>
      <c r="AV997" s="14"/>
      <c r="AW997" s="15"/>
      <c r="AX997" s="15"/>
    </row>
    <row r="998" ht="15.75" customHeight="1"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3"/>
      <c r="AQ998" s="13"/>
      <c r="AR998" s="13"/>
      <c r="AS998" s="13"/>
      <c r="AT998" s="12"/>
      <c r="AU998" s="12"/>
      <c r="AV998" s="14"/>
      <c r="AW998" s="15"/>
      <c r="AX998" s="15"/>
    </row>
    <row r="999" ht="15.75" customHeight="1"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3"/>
      <c r="AQ999" s="13"/>
      <c r="AR999" s="13"/>
      <c r="AS999" s="13"/>
      <c r="AT999" s="12"/>
      <c r="AU999" s="12"/>
      <c r="AV999" s="14"/>
      <c r="AW999" s="15"/>
      <c r="AX999" s="15"/>
    </row>
    <row r="1000" ht="15.75" customHeight="1"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3"/>
      <c r="AQ1000" s="13"/>
      <c r="AR1000" s="13"/>
      <c r="AS1000" s="13"/>
      <c r="AT1000" s="12"/>
      <c r="AU1000" s="12"/>
      <c r="AV1000" s="14"/>
      <c r="AW1000" s="15"/>
      <c r="AX1000" s="15"/>
    </row>
    <row r="1001" ht="15.75" customHeight="1"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3"/>
      <c r="AQ1001" s="13"/>
      <c r="AR1001" s="13"/>
      <c r="AS1001" s="13"/>
      <c r="AT1001" s="12"/>
      <c r="AU1001" s="12"/>
      <c r="AV1001" s="14"/>
      <c r="AW1001" s="15"/>
      <c r="AX1001" s="15"/>
    </row>
    <row r="1002" ht="15.75" customHeight="1"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3"/>
      <c r="AQ1002" s="13"/>
      <c r="AR1002" s="13"/>
      <c r="AS1002" s="13"/>
      <c r="AT1002" s="12"/>
      <c r="AU1002" s="12"/>
      <c r="AV1002" s="14"/>
      <c r="AW1002" s="15"/>
      <c r="AX1002" s="15"/>
    </row>
    <row r="1003" ht="15.75" customHeight="1"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3"/>
      <c r="AQ1003" s="13"/>
      <c r="AR1003" s="13"/>
      <c r="AS1003" s="13"/>
      <c r="AT1003" s="12"/>
      <c r="AU1003" s="12"/>
      <c r="AV1003" s="14"/>
      <c r="AW1003" s="15"/>
      <c r="AX1003" s="15"/>
    </row>
    <row r="1004" ht="15.75" customHeight="1"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3"/>
      <c r="AQ1004" s="13"/>
      <c r="AR1004" s="13"/>
      <c r="AS1004" s="13"/>
      <c r="AT1004" s="12"/>
      <c r="AU1004" s="12"/>
      <c r="AV1004" s="14"/>
      <c r="AW1004" s="15"/>
      <c r="AX1004" s="15"/>
    </row>
    <row r="1005" ht="15.75" customHeight="1"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3"/>
      <c r="AQ1005" s="13"/>
      <c r="AR1005" s="13"/>
      <c r="AS1005" s="13"/>
      <c r="AT1005" s="12"/>
      <c r="AU1005" s="12"/>
      <c r="AV1005" s="14"/>
      <c r="AW1005" s="15"/>
      <c r="AX1005" s="15"/>
    </row>
    <row r="1006" ht="15.75" customHeight="1"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3"/>
      <c r="AQ1006" s="13"/>
      <c r="AR1006" s="13"/>
      <c r="AS1006" s="13"/>
      <c r="AT1006" s="12"/>
      <c r="AU1006" s="12"/>
      <c r="AV1006" s="14"/>
      <c r="AW1006" s="15"/>
      <c r="AX1006" s="15"/>
    </row>
    <row r="1007" ht="15.75" customHeight="1"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3"/>
      <c r="AQ1007" s="13"/>
      <c r="AR1007" s="13"/>
      <c r="AS1007" s="13"/>
      <c r="AT1007" s="12"/>
      <c r="AU1007" s="12"/>
      <c r="AV1007" s="14"/>
      <c r="AW1007" s="15"/>
      <c r="AX1007" s="15"/>
    </row>
    <row r="1008" ht="15.75" customHeight="1"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3"/>
      <c r="AQ1008" s="13"/>
      <c r="AR1008" s="13"/>
      <c r="AS1008" s="13"/>
      <c r="AT1008" s="12"/>
      <c r="AU1008" s="12"/>
      <c r="AV1008" s="14"/>
      <c r="AW1008" s="15"/>
      <c r="AX1008" s="15"/>
    </row>
    <row r="1009" ht="15.75" customHeight="1"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3"/>
      <c r="AQ1009" s="13"/>
      <c r="AR1009" s="13"/>
      <c r="AS1009" s="13"/>
      <c r="AT1009" s="12"/>
      <c r="AU1009" s="12"/>
      <c r="AV1009" s="14"/>
      <c r="AW1009" s="15"/>
      <c r="AX1009" s="15"/>
    </row>
    <row r="1010" ht="15.75" customHeight="1"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3"/>
      <c r="AQ1010" s="13"/>
      <c r="AR1010" s="13"/>
      <c r="AS1010" s="13"/>
      <c r="AT1010" s="12"/>
      <c r="AU1010" s="12"/>
      <c r="AV1010" s="14"/>
      <c r="AW1010" s="15"/>
      <c r="AX1010" s="15"/>
    </row>
    <row r="1011" ht="15.75" customHeight="1"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3"/>
      <c r="AQ1011" s="13"/>
      <c r="AR1011" s="13"/>
      <c r="AS1011" s="13"/>
      <c r="AT1011" s="12"/>
      <c r="AU1011" s="12"/>
      <c r="AV1011" s="14"/>
      <c r="AW1011" s="15"/>
      <c r="AX1011" s="15"/>
    </row>
    <row r="1012" ht="15.75" customHeight="1"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3"/>
      <c r="AQ1012" s="13"/>
      <c r="AR1012" s="13"/>
      <c r="AS1012" s="13"/>
      <c r="AT1012" s="12"/>
      <c r="AU1012" s="12"/>
      <c r="AV1012" s="14"/>
      <c r="AW1012" s="15"/>
      <c r="AX1012" s="15"/>
    </row>
    <row r="1013" ht="15.75" customHeight="1"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3"/>
      <c r="AQ1013" s="13"/>
      <c r="AR1013" s="13"/>
      <c r="AS1013" s="13"/>
      <c r="AT1013" s="12"/>
      <c r="AU1013" s="12"/>
      <c r="AV1013" s="14"/>
      <c r="AW1013" s="15"/>
      <c r="AX1013" s="15"/>
    </row>
    <row r="1014" ht="15.75" customHeight="1"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3"/>
      <c r="AQ1014" s="13"/>
      <c r="AR1014" s="13"/>
      <c r="AS1014" s="13"/>
      <c r="AT1014" s="12"/>
      <c r="AU1014" s="12"/>
      <c r="AV1014" s="14"/>
      <c r="AW1014" s="15"/>
      <c r="AX1014" s="15"/>
    </row>
    <row r="1015" ht="15.75" customHeight="1"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3"/>
      <c r="AQ1015" s="13"/>
      <c r="AR1015" s="13"/>
      <c r="AS1015" s="13"/>
      <c r="AT1015" s="12"/>
      <c r="AU1015" s="12"/>
      <c r="AV1015" s="14"/>
      <c r="AW1015" s="15"/>
      <c r="AX1015" s="15"/>
    </row>
    <row r="1016" ht="15.75" customHeight="1"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3"/>
      <c r="AQ1016" s="13"/>
      <c r="AR1016" s="13"/>
      <c r="AS1016" s="13"/>
      <c r="AT1016" s="12"/>
      <c r="AU1016" s="12"/>
      <c r="AV1016" s="14"/>
      <c r="AW1016" s="15"/>
      <c r="AX1016" s="15"/>
    </row>
    <row r="1017" ht="15.75" customHeight="1"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3"/>
      <c r="AQ1017" s="13"/>
      <c r="AR1017" s="13"/>
      <c r="AS1017" s="13"/>
      <c r="AT1017" s="12"/>
      <c r="AU1017" s="12"/>
      <c r="AV1017" s="14"/>
      <c r="AW1017" s="15"/>
      <c r="AX1017" s="15"/>
    </row>
    <row r="1018" ht="15.75" customHeight="1"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3"/>
      <c r="AQ1018" s="13"/>
      <c r="AR1018" s="13"/>
      <c r="AS1018" s="13"/>
      <c r="AT1018" s="12"/>
      <c r="AU1018" s="12"/>
      <c r="AV1018" s="14"/>
      <c r="AW1018" s="15"/>
      <c r="AX1018" s="15"/>
    </row>
    <row r="1019" ht="15.75" customHeight="1"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3"/>
      <c r="AQ1019" s="13"/>
      <c r="AR1019" s="13"/>
      <c r="AS1019" s="13"/>
      <c r="AT1019" s="12"/>
      <c r="AU1019" s="12"/>
      <c r="AV1019" s="14"/>
      <c r="AW1019" s="15"/>
      <c r="AX1019" s="15"/>
    </row>
    <row r="1020" ht="15.75" customHeight="1"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3"/>
      <c r="AQ1020" s="13"/>
      <c r="AR1020" s="13"/>
      <c r="AS1020" s="13"/>
      <c r="AT1020" s="12"/>
      <c r="AU1020" s="12"/>
      <c r="AV1020" s="14"/>
      <c r="AW1020" s="15"/>
      <c r="AX1020" s="15"/>
    </row>
    <row r="1021" ht="15.75" customHeight="1"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3"/>
      <c r="AQ1021" s="13"/>
      <c r="AR1021" s="13"/>
      <c r="AS1021" s="13"/>
      <c r="AT1021" s="12"/>
      <c r="AU1021" s="12"/>
      <c r="AV1021" s="14"/>
      <c r="AW1021" s="15"/>
      <c r="AX1021" s="15"/>
    </row>
    <row r="1022" ht="15.75" customHeight="1"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3"/>
      <c r="AQ1022" s="13"/>
      <c r="AR1022" s="13"/>
      <c r="AS1022" s="13"/>
      <c r="AT1022" s="12"/>
      <c r="AU1022" s="12"/>
      <c r="AV1022" s="14"/>
      <c r="AW1022" s="15"/>
      <c r="AX1022" s="15"/>
    </row>
    <row r="1023" ht="15.75" customHeight="1"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3"/>
      <c r="AQ1023" s="13"/>
      <c r="AR1023" s="13"/>
      <c r="AS1023" s="13"/>
      <c r="AT1023" s="12"/>
      <c r="AU1023" s="12"/>
      <c r="AV1023" s="14"/>
      <c r="AW1023" s="15"/>
      <c r="AX1023" s="15"/>
    </row>
    <row r="1024" ht="15.75" customHeight="1"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3"/>
      <c r="AQ1024" s="13"/>
      <c r="AR1024" s="13"/>
      <c r="AS1024" s="13"/>
      <c r="AT1024" s="12"/>
      <c r="AU1024" s="12"/>
      <c r="AV1024" s="14"/>
      <c r="AW1024" s="15"/>
      <c r="AX1024" s="15"/>
    </row>
    <row r="1025" ht="15.75" customHeight="1"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3"/>
      <c r="AQ1025" s="13"/>
      <c r="AR1025" s="13"/>
      <c r="AS1025" s="13"/>
      <c r="AT1025" s="12"/>
      <c r="AU1025" s="12"/>
      <c r="AV1025" s="14"/>
      <c r="AW1025" s="15"/>
      <c r="AX1025" s="15"/>
    </row>
    <row r="1026" ht="15.75" customHeight="1"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3"/>
      <c r="AQ1026" s="13"/>
      <c r="AR1026" s="13"/>
      <c r="AS1026" s="13"/>
      <c r="AT1026" s="12"/>
      <c r="AU1026" s="12"/>
      <c r="AV1026" s="14"/>
      <c r="AW1026" s="15"/>
      <c r="AX1026" s="15"/>
    </row>
    <row r="1027" ht="15.75" customHeight="1"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3"/>
      <c r="AQ1027" s="13"/>
      <c r="AR1027" s="13"/>
      <c r="AS1027" s="13"/>
      <c r="AT1027" s="12"/>
      <c r="AU1027" s="12"/>
      <c r="AV1027" s="14"/>
      <c r="AW1027" s="15"/>
      <c r="AX1027" s="15"/>
    </row>
    <row r="1028" ht="15.75" customHeight="1"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3"/>
      <c r="AQ1028" s="13"/>
      <c r="AR1028" s="13"/>
      <c r="AS1028" s="13"/>
      <c r="AT1028" s="12"/>
      <c r="AU1028" s="12"/>
      <c r="AV1028" s="14"/>
      <c r="AW1028" s="15"/>
      <c r="AX1028" s="15"/>
    </row>
    <row r="1029" ht="15.75" customHeight="1"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3"/>
      <c r="AQ1029" s="13"/>
      <c r="AR1029" s="13"/>
      <c r="AS1029" s="13"/>
      <c r="AT1029" s="12"/>
      <c r="AU1029" s="12"/>
      <c r="AV1029" s="14"/>
      <c r="AW1029" s="15"/>
      <c r="AX1029" s="15"/>
    </row>
    <row r="1030" ht="15.75" customHeight="1"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3"/>
      <c r="AQ1030" s="13"/>
      <c r="AR1030" s="13"/>
      <c r="AS1030" s="13"/>
      <c r="AT1030" s="12"/>
      <c r="AU1030" s="12"/>
      <c r="AV1030" s="14"/>
      <c r="AW1030" s="15"/>
      <c r="AX1030" s="15"/>
    </row>
    <row r="1031" ht="15.75" customHeight="1"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3"/>
      <c r="AQ1031" s="13"/>
      <c r="AR1031" s="13"/>
      <c r="AS1031" s="13"/>
      <c r="AT1031" s="12"/>
      <c r="AU1031" s="12"/>
      <c r="AV1031" s="14"/>
      <c r="AW1031" s="15"/>
      <c r="AX1031" s="15"/>
    </row>
    <row r="1032" ht="15.75" customHeight="1"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3"/>
      <c r="AQ1032" s="13"/>
      <c r="AR1032" s="13"/>
      <c r="AS1032" s="13"/>
      <c r="AT1032" s="12"/>
      <c r="AU1032" s="12"/>
      <c r="AV1032" s="14"/>
      <c r="AW1032" s="15"/>
      <c r="AX1032" s="15"/>
    </row>
    <row r="1033" ht="15.75" customHeight="1"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3"/>
      <c r="AQ1033" s="13"/>
      <c r="AR1033" s="13"/>
      <c r="AS1033" s="13"/>
      <c r="AT1033" s="12"/>
      <c r="AU1033" s="12"/>
      <c r="AV1033" s="14"/>
      <c r="AW1033" s="15"/>
      <c r="AX1033" s="15"/>
    </row>
    <row r="1034" ht="15.75" customHeight="1"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3"/>
      <c r="AQ1034" s="13"/>
      <c r="AR1034" s="13"/>
      <c r="AS1034" s="13"/>
      <c r="AT1034" s="12"/>
      <c r="AU1034" s="12"/>
      <c r="AV1034" s="14"/>
      <c r="AW1034" s="15"/>
      <c r="AX1034" s="15"/>
    </row>
    <row r="1035" ht="15.75" customHeight="1"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3"/>
      <c r="AQ1035" s="13"/>
      <c r="AR1035" s="13"/>
      <c r="AS1035" s="13"/>
      <c r="AT1035" s="12"/>
      <c r="AU1035" s="12"/>
      <c r="AV1035" s="14"/>
      <c r="AW1035" s="15"/>
      <c r="AX1035" s="15"/>
    </row>
    <row r="1036" ht="15.75" customHeight="1"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3"/>
      <c r="AQ1036" s="13"/>
      <c r="AR1036" s="13"/>
      <c r="AS1036" s="13"/>
      <c r="AT1036" s="12"/>
      <c r="AU1036" s="12"/>
      <c r="AV1036" s="14"/>
      <c r="AW1036" s="15"/>
      <c r="AX1036" s="15"/>
    </row>
    <row r="1037" ht="15.75" customHeight="1"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3"/>
      <c r="AQ1037" s="13"/>
      <c r="AR1037" s="13"/>
      <c r="AS1037" s="13"/>
      <c r="AT1037" s="12"/>
      <c r="AU1037" s="12"/>
      <c r="AV1037" s="14"/>
      <c r="AW1037" s="15"/>
      <c r="AX1037" s="15"/>
    </row>
    <row r="1038" ht="15.75" customHeight="1"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3"/>
      <c r="AQ1038" s="13"/>
      <c r="AR1038" s="13"/>
      <c r="AS1038" s="13"/>
      <c r="AT1038" s="12"/>
      <c r="AU1038" s="12"/>
      <c r="AV1038" s="14"/>
      <c r="AW1038" s="15"/>
      <c r="AX1038" s="15"/>
    </row>
    <row r="1039" ht="15.75" customHeight="1"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3"/>
      <c r="AQ1039" s="13"/>
      <c r="AR1039" s="13"/>
      <c r="AS1039" s="13"/>
      <c r="AT1039" s="12"/>
      <c r="AU1039" s="12"/>
      <c r="AV1039" s="14"/>
      <c r="AW1039" s="15"/>
      <c r="AX1039" s="15"/>
    </row>
    <row r="1040" ht="15.75" customHeight="1"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3"/>
      <c r="AQ1040" s="13"/>
      <c r="AR1040" s="13"/>
      <c r="AS1040" s="13"/>
      <c r="AT1040" s="12"/>
      <c r="AU1040" s="12"/>
      <c r="AV1040" s="14"/>
      <c r="AW1040" s="15"/>
      <c r="AX1040" s="15"/>
    </row>
    <row r="1041" ht="15.75" customHeight="1"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3"/>
      <c r="AQ1041" s="13"/>
      <c r="AR1041" s="13"/>
      <c r="AS1041" s="13"/>
      <c r="AT1041" s="12"/>
      <c r="AU1041" s="12"/>
      <c r="AV1041" s="14"/>
      <c r="AW1041" s="15"/>
      <c r="AX1041" s="15"/>
    </row>
    <row r="1042" ht="15.75" customHeight="1"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3"/>
      <c r="AQ1042" s="13"/>
      <c r="AR1042" s="13"/>
      <c r="AS1042" s="13"/>
      <c r="AT1042" s="12"/>
      <c r="AU1042" s="12"/>
      <c r="AV1042" s="14"/>
      <c r="AW1042" s="15"/>
      <c r="AX1042" s="15"/>
    </row>
    <row r="1043" ht="15.75" customHeight="1"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3"/>
      <c r="AQ1043" s="13"/>
      <c r="AR1043" s="13"/>
      <c r="AS1043" s="13"/>
      <c r="AT1043" s="12"/>
      <c r="AU1043" s="12"/>
      <c r="AV1043" s="14"/>
      <c r="AW1043" s="15"/>
      <c r="AX1043" s="15"/>
    </row>
    <row r="1044" ht="15.75" customHeight="1"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3"/>
      <c r="AQ1044" s="13"/>
      <c r="AR1044" s="13"/>
      <c r="AS1044" s="13"/>
      <c r="AT1044" s="12"/>
      <c r="AU1044" s="12"/>
      <c r="AV1044" s="14"/>
      <c r="AW1044" s="15"/>
      <c r="AX1044" s="15"/>
    </row>
    <row r="1045" ht="15.75" customHeight="1"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3"/>
      <c r="AQ1045" s="13"/>
      <c r="AR1045" s="13"/>
      <c r="AS1045" s="13"/>
      <c r="AT1045" s="12"/>
      <c r="AU1045" s="12"/>
      <c r="AV1045" s="14"/>
      <c r="AW1045" s="15"/>
      <c r="AX1045" s="15"/>
    </row>
    <row r="1046" ht="15.75" customHeight="1"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3"/>
      <c r="AQ1046" s="13"/>
      <c r="AR1046" s="13"/>
      <c r="AS1046" s="13"/>
      <c r="AT1046" s="12"/>
      <c r="AU1046" s="12"/>
      <c r="AV1046" s="14"/>
      <c r="AW1046" s="15"/>
      <c r="AX1046" s="15"/>
    </row>
    <row r="1047" ht="15.75" customHeight="1"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3"/>
      <c r="AQ1047" s="13"/>
      <c r="AR1047" s="13"/>
      <c r="AS1047" s="13"/>
      <c r="AT1047" s="12"/>
      <c r="AU1047" s="12"/>
      <c r="AV1047" s="14"/>
      <c r="AW1047" s="15"/>
      <c r="AX1047" s="15"/>
    </row>
    <row r="1048" ht="15.75" customHeight="1"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3"/>
      <c r="AQ1048" s="13"/>
      <c r="AR1048" s="13"/>
      <c r="AS1048" s="13"/>
      <c r="AT1048" s="12"/>
      <c r="AU1048" s="12"/>
      <c r="AV1048" s="14"/>
      <c r="AW1048" s="15"/>
      <c r="AX1048" s="15"/>
    </row>
    <row r="1049" ht="15.75" customHeight="1"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3"/>
      <c r="AQ1049" s="13"/>
      <c r="AR1049" s="13"/>
      <c r="AS1049" s="13"/>
      <c r="AT1049" s="12"/>
      <c r="AU1049" s="12"/>
      <c r="AV1049" s="14"/>
      <c r="AW1049" s="15"/>
      <c r="AX1049" s="15"/>
    </row>
    <row r="1050" ht="15.75" customHeight="1"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3"/>
      <c r="AQ1050" s="13"/>
      <c r="AR1050" s="13"/>
      <c r="AS1050" s="13"/>
      <c r="AT1050" s="12"/>
      <c r="AU1050" s="12"/>
      <c r="AV1050" s="14"/>
      <c r="AW1050" s="15"/>
      <c r="AX1050" s="15"/>
    </row>
    <row r="1051" ht="15.75" customHeight="1"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3"/>
      <c r="AQ1051" s="13"/>
      <c r="AR1051" s="13"/>
      <c r="AS1051" s="13"/>
      <c r="AT1051" s="12"/>
      <c r="AU1051" s="12"/>
      <c r="AV1051" s="14"/>
      <c r="AW1051" s="15"/>
      <c r="AX1051" s="15"/>
    </row>
    <row r="1052" ht="15.75" customHeight="1"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3"/>
      <c r="AQ1052" s="13"/>
      <c r="AR1052" s="13"/>
      <c r="AS1052" s="13"/>
      <c r="AT1052" s="12"/>
      <c r="AU1052" s="12"/>
      <c r="AV1052" s="14"/>
      <c r="AW1052" s="15"/>
      <c r="AX1052" s="15"/>
    </row>
    <row r="1053" ht="15.75" customHeight="1"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3"/>
      <c r="AQ1053" s="13"/>
      <c r="AR1053" s="13"/>
      <c r="AS1053" s="13"/>
      <c r="AT1053" s="12"/>
      <c r="AU1053" s="12"/>
      <c r="AV1053" s="14"/>
      <c r="AW1053" s="15"/>
      <c r="AX1053" s="15"/>
    </row>
    <row r="1054" ht="15.75" customHeight="1"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3"/>
      <c r="AQ1054" s="13"/>
      <c r="AR1054" s="13"/>
      <c r="AS1054" s="13"/>
      <c r="AT1054" s="12"/>
      <c r="AU1054" s="12"/>
      <c r="AV1054" s="14"/>
      <c r="AW1054" s="15"/>
      <c r="AX1054" s="15"/>
    </row>
    <row r="1055" ht="15.75" customHeight="1"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3"/>
      <c r="AQ1055" s="13"/>
      <c r="AR1055" s="13"/>
      <c r="AS1055" s="13"/>
      <c r="AT1055" s="12"/>
      <c r="AU1055" s="12"/>
      <c r="AV1055" s="14"/>
      <c r="AW1055" s="15"/>
      <c r="AX1055" s="15"/>
    </row>
    <row r="1056" ht="15.75" customHeight="1"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3"/>
      <c r="AQ1056" s="13"/>
      <c r="AR1056" s="13"/>
      <c r="AS1056" s="13"/>
      <c r="AT1056" s="12"/>
      <c r="AU1056" s="12"/>
      <c r="AV1056" s="14"/>
      <c r="AW1056" s="15"/>
      <c r="AX1056" s="15"/>
    </row>
    <row r="1057" ht="15.75" customHeight="1"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3"/>
      <c r="AQ1057" s="13"/>
      <c r="AR1057" s="13"/>
      <c r="AS1057" s="13"/>
      <c r="AT1057" s="12"/>
      <c r="AU1057" s="12"/>
      <c r="AV1057" s="14"/>
      <c r="AW1057" s="15"/>
      <c r="AX1057" s="15"/>
    </row>
    <row r="1058" ht="15.75" customHeight="1"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3"/>
      <c r="AQ1058" s="13"/>
      <c r="AR1058" s="13"/>
      <c r="AS1058" s="13"/>
      <c r="AT1058" s="12"/>
      <c r="AU1058" s="12"/>
      <c r="AV1058" s="14"/>
      <c r="AW1058" s="15"/>
      <c r="AX1058" s="15"/>
    </row>
    <row r="1059" ht="15.75" customHeight="1"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3"/>
      <c r="AQ1059" s="13"/>
      <c r="AR1059" s="13"/>
      <c r="AS1059" s="13"/>
      <c r="AT1059" s="12"/>
      <c r="AU1059" s="12"/>
      <c r="AV1059" s="14"/>
      <c r="AW1059" s="15"/>
      <c r="AX1059" s="15"/>
    </row>
    <row r="1060" ht="15.75" customHeight="1"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3"/>
      <c r="AQ1060" s="13"/>
      <c r="AR1060" s="13"/>
      <c r="AS1060" s="13"/>
      <c r="AT1060" s="12"/>
      <c r="AU1060" s="12"/>
      <c r="AV1060" s="14"/>
      <c r="AW1060" s="15"/>
      <c r="AX1060" s="15"/>
    </row>
    <row r="1061" ht="15.75" customHeight="1"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3"/>
      <c r="AQ1061" s="13"/>
      <c r="AR1061" s="13"/>
      <c r="AS1061" s="13"/>
      <c r="AT1061" s="12"/>
      <c r="AU1061" s="12"/>
      <c r="AV1061" s="14"/>
      <c r="AW1061" s="15"/>
      <c r="AX1061" s="15"/>
    </row>
    <row r="1062" ht="15.75" customHeight="1"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3"/>
      <c r="AQ1062" s="13"/>
      <c r="AR1062" s="13"/>
      <c r="AS1062" s="13"/>
      <c r="AT1062" s="12"/>
      <c r="AU1062" s="12"/>
      <c r="AV1062" s="14"/>
      <c r="AW1062" s="15"/>
      <c r="AX1062" s="15"/>
    </row>
    <row r="1063" ht="15.75" customHeight="1"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3"/>
      <c r="AQ1063" s="13"/>
      <c r="AR1063" s="13"/>
      <c r="AS1063" s="13"/>
      <c r="AT1063" s="12"/>
      <c r="AU1063" s="12"/>
      <c r="AV1063" s="14"/>
      <c r="AW1063" s="15"/>
      <c r="AX1063" s="15"/>
    </row>
    <row r="1064" ht="15.75" customHeight="1"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3"/>
      <c r="AQ1064" s="13"/>
      <c r="AR1064" s="13"/>
      <c r="AS1064" s="13"/>
      <c r="AT1064" s="12"/>
      <c r="AU1064" s="12"/>
      <c r="AV1064" s="14"/>
      <c r="AW1064" s="15"/>
      <c r="AX1064" s="15"/>
    </row>
    <row r="1065" ht="15.75" customHeight="1"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3"/>
      <c r="AQ1065" s="13"/>
      <c r="AR1065" s="13"/>
      <c r="AS1065" s="13"/>
      <c r="AT1065" s="12"/>
      <c r="AU1065" s="12"/>
      <c r="AV1065" s="14"/>
      <c r="AW1065" s="15"/>
      <c r="AX1065" s="15"/>
    </row>
    <row r="1066" ht="15.75" customHeight="1"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3"/>
      <c r="AQ1066" s="13"/>
      <c r="AR1066" s="13"/>
      <c r="AS1066" s="13"/>
      <c r="AT1066" s="12"/>
      <c r="AU1066" s="12"/>
      <c r="AV1066" s="14"/>
      <c r="AW1066" s="15"/>
      <c r="AX1066" s="15"/>
    </row>
    <row r="1067" ht="15.75" customHeight="1"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3"/>
      <c r="AQ1067" s="13"/>
      <c r="AR1067" s="13"/>
      <c r="AS1067" s="13"/>
      <c r="AT1067" s="12"/>
      <c r="AU1067" s="12"/>
      <c r="AV1067" s="14"/>
      <c r="AW1067" s="15"/>
      <c r="AX1067" s="15"/>
    </row>
    <row r="1068" ht="15.75" customHeight="1"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3"/>
      <c r="AQ1068" s="13"/>
      <c r="AR1068" s="13"/>
      <c r="AS1068" s="13"/>
      <c r="AT1068" s="12"/>
      <c r="AU1068" s="12"/>
      <c r="AV1068" s="14"/>
      <c r="AW1068" s="15"/>
      <c r="AX1068" s="15"/>
    </row>
    <row r="1069" ht="15.75" customHeight="1"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3"/>
      <c r="AQ1069" s="13"/>
      <c r="AR1069" s="13"/>
      <c r="AS1069" s="13"/>
      <c r="AT1069" s="12"/>
      <c r="AU1069" s="12"/>
      <c r="AV1069" s="14"/>
      <c r="AW1069" s="15"/>
      <c r="AX1069" s="15"/>
    </row>
    <row r="1070" ht="15.75" customHeight="1"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3"/>
      <c r="AQ1070" s="13"/>
      <c r="AR1070" s="13"/>
      <c r="AS1070" s="13"/>
      <c r="AT1070" s="12"/>
      <c r="AU1070" s="12"/>
      <c r="AV1070" s="14"/>
      <c r="AW1070" s="15"/>
      <c r="AX1070" s="15"/>
    </row>
    <row r="1071" ht="15.75" customHeight="1"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3"/>
      <c r="AQ1071" s="13"/>
      <c r="AR1071" s="13"/>
      <c r="AS1071" s="13"/>
      <c r="AT1071" s="12"/>
      <c r="AU1071" s="12"/>
      <c r="AV1071" s="14"/>
      <c r="AW1071" s="15"/>
      <c r="AX1071" s="15"/>
    </row>
    <row r="1072" ht="15.75" customHeight="1"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3"/>
      <c r="AQ1072" s="13"/>
      <c r="AR1072" s="13"/>
      <c r="AS1072" s="13"/>
      <c r="AT1072" s="12"/>
      <c r="AU1072" s="12"/>
      <c r="AV1072" s="14"/>
      <c r="AW1072" s="15"/>
      <c r="AX1072" s="15"/>
    </row>
    <row r="1073" ht="15.75" customHeight="1"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3"/>
      <c r="AQ1073" s="13"/>
      <c r="AR1073" s="13"/>
      <c r="AS1073" s="13"/>
      <c r="AT1073" s="12"/>
      <c r="AU1073" s="12"/>
      <c r="AV1073" s="14"/>
      <c r="AW1073" s="15"/>
      <c r="AX1073" s="15"/>
    </row>
    <row r="1074" ht="15.75" customHeight="1"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3"/>
      <c r="AQ1074" s="13"/>
      <c r="AR1074" s="13"/>
      <c r="AS1074" s="13"/>
      <c r="AT1074" s="12"/>
      <c r="AU1074" s="12"/>
      <c r="AV1074" s="14"/>
      <c r="AW1074" s="15"/>
      <c r="AX1074" s="15"/>
    </row>
    <row r="1075" ht="15.75" customHeight="1"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3"/>
      <c r="AQ1075" s="13"/>
      <c r="AR1075" s="13"/>
      <c r="AS1075" s="13"/>
      <c r="AT1075" s="12"/>
      <c r="AU1075" s="12"/>
      <c r="AV1075" s="14"/>
      <c r="AW1075" s="15"/>
      <c r="AX1075" s="15"/>
    </row>
    <row r="1076" ht="15.75" customHeight="1"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3"/>
      <c r="AQ1076" s="13"/>
      <c r="AR1076" s="13"/>
      <c r="AS1076" s="13"/>
      <c r="AT1076" s="12"/>
      <c r="AU1076" s="12"/>
      <c r="AV1076" s="14"/>
      <c r="AW1076" s="15"/>
      <c r="AX1076" s="15"/>
    </row>
    <row r="1077" ht="15.75" customHeight="1"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3"/>
      <c r="AQ1077" s="13"/>
      <c r="AR1077" s="13"/>
      <c r="AS1077" s="13"/>
      <c r="AT1077" s="12"/>
      <c r="AU1077" s="12"/>
      <c r="AV1077" s="14"/>
      <c r="AW1077" s="15"/>
      <c r="AX1077" s="15"/>
    </row>
    <row r="1078" ht="15.75" customHeight="1"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3"/>
      <c r="AQ1078" s="13"/>
      <c r="AR1078" s="13"/>
      <c r="AS1078" s="13"/>
      <c r="AT1078" s="12"/>
      <c r="AU1078" s="12"/>
      <c r="AV1078" s="14"/>
      <c r="AW1078" s="15"/>
      <c r="AX1078" s="15"/>
    </row>
    <row r="1079" ht="15.75" customHeight="1"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3"/>
      <c r="AQ1079" s="13"/>
      <c r="AR1079" s="13"/>
      <c r="AS1079" s="13"/>
      <c r="AT1079" s="12"/>
      <c r="AU1079" s="12"/>
      <c r="AV1079" s="14"/>
      <c r="AW1079" s="15"/>
      <c r="AX1079" s="15"/>
    </row>
    <row r="1080" ht="15.75" customHeight="1"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3"/>
      <c r="AQ1080" s="13"/>
      <c r="AR1080" s="13"/>
      <c r="AS1080" s="13"/>
      <c r="AT1080" s="12"/>
      <c r="AU1080" s="12"/>
      <c r="AV1080" s="14"/>
      <c r="AW1080" s="15"/>
      <c r="AX1080" s="15"/>
    </row>
    <row r="1081" ht="15.75" customHeight="1"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3"/>
      <c r="AQ1081" s="13"/>
      <c r="AR1081" s="13"/>
      <c r="AS1081" s="13"/>
      <c r="AT1081" s="12"/>
      <c r="AU1081" s="12"/>
      <c r="AV1081" s="14"/>
      <c r="AW1081" s="15"/>
      <c r="AX1081" s="15"/>
    </row>
    <row r="1082" ht="15.75" customHeight="1"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3"/>
      <c r="AQ1082" s="13"/>
      <c r="AR1082" s="13"/>
      <c r="AS1082" s="13"/>
      <c r="AT1082" s="12"/>
      <c r="AU1082" s="12"/>
      <c r="AV1082" s="14"/>
      <c r="AW1082" s="15"/>
      <c r="AX1082" s="15"/>
    </row>
    <row r="1083" ht="15.75" customHeight="1"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3"/>
      <c r="AQ1083" s="13"/>
      <c r="AR1083" s="13"/>
      <c r="AS1083" s="13"/>
      <c r="AT1083" s="12"/>
      <c r="AU1083" s="12"/>
      <c r="AV1083" s="14"/>
      <c r="AW1083" s="15"/>
      <c r="AX1083" s="15"/>
    </row>
    <row r="1084" ht="15.75" customHeight="1"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3"/>
      <c r="AQ1084" s="13"/>
      <c r="AR1084" s="13"/>
      <c r="AS1084" s="13"/>
      <c r="AT1084" s="12"/>
      <c r="AU1084" s="12"/>
      <c r="AV1084" s="14"/>
      <c r="AW1084" s="15"/>
      <c r="AX1084" s="15"/>
    </row>
    <row r="1085" ht="15.75" customHeight="1"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3"/>
      <c r="AQ1085" s="13"/>
      <c r="AR1085" s="13"/>
      <c r="AS1085" s="13"/>
      <c r="AT1085" s="12"/>
      <c r="AU1085" s="12"/>
      <c r="AV1085" s="14"/>
      <c r="AW1085" s="15"/>
      <c r="AX1085" s="15"/>
    </row>
    <row r="1086" ht="15.75" customHeight="1"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3"/>
      <c r="AQ1086" s="13"/>
      <c r="AR1086" s="13"/>
      <c r="AS1086" s="13"/>
      <c r="AT1086" s="12"/>
      <c r="AU1086" s="12"/>
      <c r="AV1086" s="14"/>
      <c r="AW1086" s="15"/>
      <c r="AX1086" s="15"/>
    </row>
    <row r="1087" ht="15.75" customHeight="1"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3"/>
      <c r="AQ1087" s="13"/>
      <c r="AR1087" s="13"/>
      <c r="AS1087" s="13"/>
      <c r="AT1087" s="12"/>
      <c r="AU1087" s="12"/>
      <c r="AV1087" s="14"/>
      <c r="AW1087" s="15"/>
      <c r="AX1087" s="15"/>
    </row>
    <row r="1088" ht="15.75" customHeight="1"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3"/>
      <c r="AQ1088" s="13"/>
      <c r="AR1088" s="13"/>
      <c r="AS1088" s="13"/>
      <c r="AT1088" s="12"/>
      <c r="AU1088" s="12"/>
      <c r="AV1088" s="14"/>
      <c r="AW1088" s="15"/>
      <c r="AX1088" s="15"/>
    </row>
    <row r="1089" ht="15.75" customHeight="1"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3"/>
      <c r="AQ1089" s="13"/>
      <c r="AR1089" s="13"/>
      <c r="AS1089" s="13"/>
      <c r="AT1089" s="12"/>
      <c r="AU1089" s="12"/>
      <c r="AV1089" s="14"/>
      <c r="AW1089" s="15"/>
      <c r="AX1089" s="15"/>
    </row>
    <row r="1090" ht="15.75" customHeight="1"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3"/>
      <c r="AQ1090" s="13"/>
      <c r="AR1090" s="13"/>
      <c r="AS1090" s="13"/>
      <c r="AT1090" s="12"/>
      <c r="AU1090" s="12"/>
      <c r="AV1090" s="14"/>
      <c r="AW1090" s="15"/>
      <c r="AX1090" s="15"/>
    </row>
    <row r="1091" ht="15.75" customHeight="1"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3"/>
      <c r="AQ1091" s="13"/>
      <c r="AR1091" s="13"/>
      <c r="AS1091" s="13"/>
      <c r="AT1091" s="12"/>
      <c r="AU1091" s="12"/>
      <c r="AV1091" s="14"/>
      <c r="AW1091" s="15"/>
      <c r="AX1091" s="15"/>
    </row>
    <row r="1092" ht="15.75" customHeight="1"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3"/>
      <c r="AQ1092" s="13"/>
      <c r="AR1092" s="13"/>
      <c r="AS1092" s="13"/>
      <c r="AT1092" s="12"/>
      <c r="AU1092" s="12"/>
      <c r="AV1092" s="14"/>
      <c r="AW1092" s="15"/>
      <c r="AX1092" s="15"/>
    </row>
    <row r="1093" ht="15.75" customHeight="1"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3"/>
      <c r="AQ1093" s="13"/>
      <c r="AR1093" s="13"/>
      <c r="AS1093" s="13"/>
      <c r="AT1093" s="12"/>
      <c r="AU1093" s="12"/>
      <c r="AV1093" s="14"/>
      <c r="AW1093" s="15"/>
      <c r="AX1093" s="15"/>
    </row>
    <row r="1094" ht="15.75" customHeight="1"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3"/>
      <c r="AQ1094" s="13"/>
      <c r="AR1094" s="13"/>
      <c r="AS1094" s="13"/>
      <c r="AT1094" s="12"/>
      <c r="AU1094" s="12"/>
      <c r="AV1094" s="14"/>
      <c r="AW1094" s="15"/>
      <c r="AX1094" s="15"/>
    </row>
    <row r="1095" ht="15.75" customHeight="1"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3"/>
      <c r="AQ1095" s="13"/>
      <c r="AR1095" s="13"/>
      <c r="AS1095" s="13"/>
      <c r="AT1095" s="12"/>
      <c r="AU1095" s="12"/>
      <c r="AV1095" s="14"/>
      <c r="AW1095" s="15"/>
      <c r="AX1095" s="15"/>
    </row>
    <row r="1096" ht="15.75" customHeight="1"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3"/>
      <c r="AQ1096" s="13"/>
      <c r="AR1096" s="13"/>
      <c r="AS1096" s="13"/>
      <c r="AT1096" s="12"/>
      <c r="AU1096" s="12"/>
      <c r="AV1096" s="14"/>
      <c r="AW1096" s="15"/>
      <c r="AX1096" s="15"/>
    </row>
    <row r="1097" ht="15.75" customHeight="1"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3"/>
      <c r="AQ1097" s="13"/>
      <c r="AR1097" s="13"/>
      <c r="AS1097" s="13"/>
      <c r="AT1097" s="12"/>
      <c r="AU1097" s="12"/>
      <c r="AV1097" s="14"/>
      <c r="AW1097" s="15"/>
      <c r="AX1097" s="15"/>
    </row>
    <row r="1098" ht="15.75" customHeight="1"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3"/>
      <c r="AQ1098" s="13"/>
      <c r="AR1098" s="13"/>
      <c r="AS1098" s="13"/>
      <c r="AT1098" s="12"/>
      <c r="AU1098" s="12"/>
      <c r="AV1098" s="14"/>
      <c r="AW1098" s="15"/>
      <c r="AX1098" s="15"/>
    </row>
    <row r="1099" ht="15.75" customHeight="1"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3"/>
      <c r="AQ1099" s="13"/>
      <c r="AR1099" s="13"/>
      <c r="AS1099" s="13"/>
      <c r="AT1099" s="12"/>
      <c r="AU1099" s="12"/>
      <c r="AV1099" s="14"/>
      <c r="AW1099" s="15"/>
      <c r="AX1099" s="15"/>
    </row>
    <row r="1100" ht="15.75" customHeight="1"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3"/>
      <c r="AQ1100" s="13"/>
      <c r="AR1100" s="13"/>
      <c r="AS1100" s="13"/>
      <c r="AT1100" s="12"/>
      <c r="AU1100" s="12"/>
      <c r="AV1100" s="14"/>
      <c r="AW1100" s="15"/>
      <c r="AX1100" s="15"/>
    </row>
    <row r="1101" ht="15.75" customHeight="1"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3"/>
      <c r="AQ1101" s="13"/>
      <c r="AR1101" s="13"/>
      <c r="AS1101" s="13"/>
      <c r="AT1101" s="12"/>
      <c r="AU1101" s="12"/>
      <c r="AV1101" s="14"/>
      <c r="AW1101" s="15"/>
      <c r="AX1101" s="15"/>
    </row>
    <row r="1102" ht="15.75" customHeight="1"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3"/>
      <c r="AQ1102" s="13"/>
      <c r="AR1102" s="13"/>
      <c r="AS1102" s="13"/>
      <c r="AT1102" s="12"/>
      <c r="AU1102" s="12"/>
      <c r="AV1102" s="14"/>
      <c r="AW1102" s="15"/>
      <c r="AX1102" s="15"/>
    </row>
    <row r="1103" ht="15.75" customHeight="1"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3"/>
      <c r="AQ1103" s="13"/>
      <c r="AR1103" s="13"/>
      <c r="AS1103" s="13"/>
      <c r="AT1103" s="12"/>
      <c r="AU1103" s="12"/>
      <c r="AV1103" s="14"/>
      <c r="AW1103" s="15"/>
      <c r="AX1103" s="15"/>
    </row>
    <row r="1104" ht="15.75" customHeight="1"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3"/>
      <c r="AQ1104" s="13"/>
      <c r="AR1104" s="13"/>
      <c r="AS1104" s="13"/>
      <c r="AT1104" s="12"/>
      <c r="AU1104" s="12"/>
      <c r="AV1104" s="14"/>
      <c r="AW1104" s="15"/>
      <c r="AX1104" s="15"/>
    </row>
    <row r="1105" ht="15.75" customHeight="1"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3"/>
      <c r="AQ1105" s="13"/>
      <c r="AR1105" s="13"/>
      <c r="AS1105" s="13"/>
      <c r="AT1105" s="12"/>
      <c r="AU1105" s="12"/>
      <c r="AV1105" s="14"/>
      <c r="AW1105" s="15"/>
      <c r="AX1105" s="15"/>
    </row>
    <row r="1106" ht="15.75" customHeight="1"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3"/>
      <c r="AQ1106" s="13"/>
      <c r="AR1106" s="13"/>
      <c r="AS1106" s="13"/>
      <c r="AT1106" s="12"/>
      <c r="AU1106" s="12"/>
      <c r="AV1106" s="14"/>
      <c r="AW1106" s="15"/>
      <c r="AX1106" s="15"/>
    </row>
    <row r="1107" ht="15.75" customHeight="1"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3"/>
      <c r="AQ1107" s="13"/>
      <c r="AR1107" s="13"/>
      <c r="AS1107" s="13"/>
      <c r="AT1107" s="12"/>
      <c r="AU1107" s="12"/>
      <c r="AV1107" s="14"/>
      <c r="AW1107" s="15"/>
      <c r="AX1107" s="15"/>
    </row>
    <row r="1108" ht="15.75" customHeight="1"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3"/>
      <c r="AQ1108" s="13"/>
      <c r="AR1108" s="13"/>
      <c r="AS1108" s="13"/>
      <c r="AT1108" s="12"/>
      <c r="AU1108" s="12"/>
      <c r="AV1108" s="14"/>
      <c r="AW1108" s="15"/>
      <c r="AX1108" s="15"/>
    </row>
    <row r="1109" ht="15.75" customHeight="1"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3"/>
      <c r="AQ1109" s="13"/>
      <c r="AR1109" s="13"/>
      <c r="AS1109" s="13"/>
      <c r="AT1109" s="12"/>
      <c r="AU1109" s="12"/>
      <c r="AV1109" s="14"/>
      <c r="AW1109" s="15"/>
      <c r="AX1109" s="15"/>
    </row>
    <row r="1110" ht="15.75" customHeight="1"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3"/>
      <c r="AQ1110" s="13"/>
      <c r="AR1110" s="13"/>
      <c r="AS1110" s="13"/>
      <c r="AT1110" s="12"/>
      <c r="AU1110" s="12"/>
      <c r="AV1110" s="14"/>
      <c r="AW1110" s="15"/>
      <c r="AX1110" s="15"/>
    </row>
    <row r="1111" ht="15.75" customHeight="1"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3"/>
      <c r="AQ1111" s="13"/>
      <c r="AR1111" s="13"/>
      <c r="AS1111" s="13"/>
      <c r="AT1111" s="12"/>
      <c r="AU1111" s="12"/>
      <c r="AV1111" s="14"/>
      <c r="AW1111" s="15"/>
      <c r="AX1111" s="15"/>
    </row>
    <row r="1112" ht="15.75" customHeight="1"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3"/>
      <c r="AQ1112" s="13"/>
      <c r="AR1112" s="13"/>
      <c r="AS1112" s="13"/>
      <c r="AT1112" s="12"/>
      <c r="AU1112" s="12"/>
      <c r="AV1112" s="14"/>
      <c r="AW1112" s="15"/>
      <c r="AX1112" s="15"/>
    </row>
    <row r="1113" ht="15.75" customHeight="1"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3"/>
      <c r="AQ1113" s="13"/>
      <c r="AR1113" s="13"/>
      <c r="AS1113" s="13"/>
      <c r="AT1113" s="12"/>
      <c r="AU1113" s="12"/>
      <c r="AV1113" s="14"/>
      <c r="AW1113" s="15"/>
      <c r="AX1113" s="15"/>
    </row>
    <row r="1114" ht="15.75" customHeight="1"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3"/>
      <c r="AQ1114" s="13"/>
      <c r="AR1114" s="13"/>
      <c r="AS1114" s="13"/>
      <c r="AT1114" s="12"/>
      <c r="AU1114" s="12"/>
      <c r="AV1114" s="14"/>
      <c r="AW1114" s="15"/>
      <c r="AX1114" s="15"/>
    </row>
    <row r="1115" ht="15.75" customHeight="1"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3"/>
      <c r="AQ1115" s="13"/>
      <c r="AR1115" s="13"/>
      <c r="AS1115" s="13"/>
      <c r="AT1115" s="12"/>
      <c r="AU1115" s="12"/>
      <c r="AV1115" s="14"/>
      <c r="AW1115" s="15"/>
      <c r="AX1115" s="15"/>
    </row>
    <row r="1116" ht="15.75" customHeight="1"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3"/>
      <c r="AQ1116" s="13"/>
      <c r="AR1116" s="13"/>
      <c r="AS1116" s="13"/>
      <c r="AT1116" s="12"/>
      <c r="AU1116" s="12"/>
      <c r="AV1116" s="14"/>
      <c r="AW1116" s="15"/>
      <c r="AX1116" s="15"/>
    </row>
    <row r="1117" ht="15.75" customHeight="1"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3"/>
      <c r="AQ1117" s="13"/>
      <c r="AR1117" s="13"/>
      <c r="AS1117" s="13"/>
      <c r="AT1117" s="12"/>
      <c r="AU1117" s="12"/>
      <c r="AV1117" s="14"/>
      <c r="AW1117" s="15"/>
      <c r="AX1117" s="15"/>
    </row>
    <row r="1118" ht="15.75" customHeight="1"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3"/>
      <c r="AQ1118" s="13"/>
      <c r="AR1118" s="13"/>
      <c r="AS1118" s="13"/>
      <c r="AT1118" s="12"/>
      <c r="AU1118" s="12"/>
      <c r="AV1118" s="14"/>
      <c r="AW1118" s="15"/>
      <c r="AX1118" s="15"/>
    </row>
    <row r="1119" ht="15.75" customHeight="1"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3"/>
      <c r="AQ1119" s="13"/>
      <c r="AR1119" s="13"/>
      <c r="AS1119" s="13"/>
      <c r="AT1119" s="12"/>
      <c r="AU1119" s="12"/>
      <c r="AV1119" s="14"/>
      <c r="AW1119" s="15"/>
      <c r="AX1119" s="15"/>
    </row>
    <row r="1120" ht="15.75" customHeight="1"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3"/>
      <c r="AQ1120" s="13"/>
      <c r="AR1120" s="13"/>
      <c r="AS1120" s="13"/>
      <c r="AT1120" s="12"/>
      <c r="AU1120" s="12"/>
      <c r="AV1120" s="14"/>
      <c r="AW1120" s="15"/>
      <c r="AX1120" s="15"/>
    </row>
    <row r="1121" ht="15.75" customHeight="1"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3"/>
      <c r="AQ1121" s="13"/>
      <c r="AR1121" s="13"/>
      <c r="AS1121" s="13"/>
      <c r="AT1121" s="12"/>
      <c r="AU1121" s="12"/>
      <c r="AV1121" s="14"/>
      <c r="AW1121" s="15"/>
      <c r="AX1121" s="15"/>
    </row>
    <row r="1122" ht="15.75" customHeight="1"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3"/>
      <c r="AQ1122" s="13"/>
      <c r="AR1122" s="13"/>
      <c r="AS1122" s="13"/>
      <c r="AT1122" s="12"/>
      <c r="AU1122" s="12"/>
      <c r="AV1122" s="14"/>
      <c r="AW1122" s="15"/>
      <c r="AX1122" s="15"/>
    </row>
    <row r="1123" ht="15.75" customHeight="1"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3"/>
      <c r="AQ1123" s="13"/>
      <c r="AR1123" s="13"/>
      <c r="AS1123" s="13"/>
      <c r="AT1123" s="12"/>
      <c r="AU1123" s="12"/>
      <c r="AV1123" s="14"/>
      <c r="AW1123" s="15"/>
      <c r="AX1123" s="15"/>
    </row>
    <row r="1124" ht="15.75" customHeight="1"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3"/>
      <c r="AQ1124" s="13"/>
      <c r="AR1124" s="13"/>
      <c r="AS1124" s="13"/>
      <c r="AT1124" s="12"/>
      <c r="AU1124" s="12"/>
      <c r="AV1124" s="14"/>
      <c r="AW1124" s="15"/>
      <c r="AX1124" s="15"/>
    </row>
    <row r="1125" ht="15.75" customHeight="1"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3"/>
      <c r="AQ1125" s="13"/>
      <c r="AR1125" s="13"/>
      <c r="AS1125" s="13"/>
      <c r="AT1125" s="12"/>
      <c r="AU1125" s="12"/>
      <c r="AV1125" s="14"/>
      <c r="AW1125" s="15"/>
      <c r="AX1125" s="15"/>
    </row>
    <row r="1126" ht="15.75" customHeight="1"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3"/>
      <c r="AQ1126" s="13"/>
      <c r="AR1126" s="13"/>
      <c r="AS1126" s="13"/>
      <c r="AT1126" s="12"/>
      <c r="AU1126" s="12"/>
      <c r="AV1126" s="14"/>
      <c r="AW1126" s="15"/>
      <c r="AX1126" s="15"/>
    </row>
    <row r="1127" ht="15.75" customHeight="1"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3"/>
      <c r="AQ1127" s="13"/>
      <c r="AR1127" s="13"/>
      <c r="AS1127" s="13"/>
      <c r="AT1127" s="12"/>
      <c r="AU1127" s="12"/>
      <c r="AV1127" s="14"/>
      <c r="AW1127" s="15"/>
      <c r="AX1127" s="15"/>
    </row>
    <row r="1128" ht="15.75" customHeight="1"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3"/>
      <c r="AQ1128" s="13"/>
      <c r="AR1128" s="13"/>
      <c r="AS1128" s="13"/>
      <c r="AT1128" s="12"/>
      <c r="AU1128" s="12"/>
      <c r="AV1128" s="14"/>
      <c r="AW1128" s="15"/>
      <c r="AX1128" s="15"/>
    </row>
    <row r="1129" ht="15.75" customHeight="1"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3"/>
      <c r="AQ1129" s="13"/>
      <c r="AR1129" s="13"/>
      <c r="AS1129" s="13"/>
      <c r="AT1129" s="12"/>
      <c r="AU1129" s="12"/>
      <c r="AV1129" s="14"/>
      <c r="AW1129" s="15"/>
      <c r="AX1129" s="15"/>
    </row>
    <row r="1130" ht="15.75" customHeight="1"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3"/>
      <c r="AQ1130" s="13"/>
      <c r="AR1130" s="13"/>
      <c r="AS1130" s="13"/>
      <c r="AT1130" s="12"/>
      <c r="AU1130" s="12"/>
      <c r="AV1130" s="14"/>
      <c r="AW1130" s="15"/>
      <c r="AX1130" s="15"/>
    </row>
    <row r="1131" ht="15.75" customHeight="1"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3"/>
      <c r="AQ1131" s="13"/>
      <c r="AR1131" s="13"/>
      <c r="AS1131" s="13"/>
      <c r="AT1131" s="12"/>
      <c r="AU1131" s="12"/>
      <c r="AV1131" s="14"/>
      <c r="AW1131" s="15"/>
      <c r="AX1131" s="15"/>
    </row>
    <row r="1132" ht="15.75" customHeight="1"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3"/>
      <c r="AQ1132" s="13"/>
      <c r="AR1132" s="13"/>
      <c r="AS1132" s="13"/>
      <c r="AT1132" s="12"/>
      <c r="AU1132" s="12"/>
      <c r="AV1132" s="14"/>
      <c r="AW1132" s="15"/>
      <c r="AX1132" s="15"/>
    </row>
    <row r="1133" ht="15.75" customHeight="1"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3"/>
      <c r="AQ1133" s="13"/>
      <c r="AR1133" s="13"/>
      <c r="AS1133" s="13"/>
      <c r="AT1133" s="12"/>
      <c r="AU1133" s="12"/>
      <c r="AV1133" s="14"/>
      <c r="AW1133" s="15"/>
      <c r="AX1133" s="15"/>
    </row>
    <row r="1134" ht="15.75" customHeight="1"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3"/>
      <c r="AQ1134" s="13"/>
      <c r="AR1134" s="13"/>
      <c r="AS1134" s="13"/>
      <c r="AT1134" s="12"/>
      <c r="AU1134" s="12"/>
      <c r="AV1134" s="14"/>
      <c r="AW1134" s="15"/>
      <c r="AX1134" s="15"/>
    </row>
    <row r="1135" ht="15.75" customHeight="1"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3"/>
      <c r="AQ1135" s="13"/>
      <c r="AR1135" s="13"/>
      <c r="AS1135" s="13"/>
      <c r="AT1135" s="12"/>
      <c r="AU1135" s="12"/>
      <c r="AV1135" s="14"/>
      <c r="AW1135" s="15"/>
      <c r="AX1135" s="15"/>
    </row>
    <row r="1136" ht="15.75" customHeight="1"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3"/>
      <c r="AQ1136" s="13"/>
      <c r="AR1136" s="13"/>
      <c r="AS1136" s="13"/>
      <c r="AT1136" s="12"/>
      <c r="AU1136" s="12"/>
      <c r="AV1136" s="14"/>
      <c r="AW1136" s="15"/>
      <c r="AX1136" s="15"/>
    </row>
    <row r="1137" ht="15.75" customHeight="1"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3"/>
      <c r="AQ1137" s="13"/>
      <c r="AR1137" s="13"/>
      <c r="AS1137" s="13"/>
      <c r="AT1137" s="12"/>
      <c r="AU1137" s="12"/>
      <c r="AV1137" s="14"/>
      <c r="AW1137" s="15"/>
      <c r="AX1137" s="15"/>
    </row>
    <row r="1138" ht="15.75" customHeight="1"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3"/>
      <c r="AQ1138" s="13"/>
      <c r="AR1138" s="13"/>
      <c r="AS1138" s="13"/>
      <c r="AT1138" s="12"/>
      <c r="AU1138" s="12"/>
      <c r="AV1138" s="14"/>
      <c r="AW1138" s="15"/>
      <c r="AX1138" s="15"/>
    </row>
    <row r="1139" ht="15.75" customHeight="1"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3"/>
      <c r="AQ1139" s="13"/>
      <c r="AR1139" s="13"/>
      <c r="AS1139" s="13"/>
      <c r="AT1139" s="12"/>
      <c r="AU1139" s="12"/>
      <c r="AV1139" s="14"/>
      <c r="AW1139" s="15"/>
      <c r="AX1139" s="15"/>
    </row>
    <row r="1140" ht="15.75" customHeight="1"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3"/>
      <c r="AQ1140" s="13"/>
      <c r="AR1140" s="13"/>
      <c r="AS1140" s="13"/>
      <c r="AT1140" s="12"/>
      <c r="AU1140" s="12"/>
      <c r="AV1140" s="14"/>
      <c r="AW1140" s="15"/>
      <c r="AX1140" s="15"/>
    </row>
    <row r="1141" ht="15.75" customHeight="1"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3"/>
      <c r="AQ1141" s="13"/>
      <c r="AR1141" s="13"/>
      <c r="AS1141" s="13"/>
      <c r="AT1141" s="12"/>
      <c r="AU1141" s="12"/>
      <c r="AV1141" s="14"/>
      <c r="AW1141" s="15"/>
      <c r="AX1141" s="15"/>
    </row>
    <row r="1142" ht="15.75" customHeight="1"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3"/>
      <c r="AQ1142" s="13"/>
      <c r="AR1142" s="13"/>
      <c r="AS1142" s="13"/>
      <c r="AT1142" s="12"/>
      <c r="AU1142" s="12"/>
      <c r="AV1142" s="14"/>
      <c r="AW1142" s="15"/>
      <c r="AX1142" s="15"/>
    </row>
    <row r="1143" ht="15.75" customHeight="1"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3"/>
      <c r="AQ1143" s="13"/>
      <c r="AR1143" s="13"/>
      <c r="AS1143" s="13"/>
      <c r="AT1143" s="12"/>
      <c r="AU1143" s="12"/>
      <c r="AV1143" s="14"/>
      <c r="AW1143" s="15"/>
      <c r="AX1143" s="15"/>
    </row>
    <row r="1144" ht="15.75" customHeight="1"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3"/>
      <c r="AQ1144" s="13"/>
      <c r="AR1144" s="13"/>
      <c r="AS1144" s="13"/>
      <c r="AT1144" s="12"/>
      <c r="AU1144" s="12"/>
      <c r="AV1144" s="14"/>
      <c r="AW1144" s="15"/>
      <c r="AX1144" s="15"/>
    </row>
    <row r="1145" ht="15.75" customHeight="1"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3"/>
      <c r="AQ1145" s="13"/>
      <c r="AR1145" s="13"/>
      <c r="AS1145" s="13"/>
      <c r="AT1145" s="12"/>
      <c r="AU1145" s="12"/>
      <c r="AV1145" s="14"/>
      <c r="AW1145" s="15"/>
      <c r="AX1145" s="15"/>
    </row>
    <row r="1146" ht="15.75" customHeight="1"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3"/>
      <c r="AQ1146" s="13"/>
      <c r="AR1146" s="13"/>
      <c r="AS1146" s="13"/>
      <c r="AT1146" s="12"/>
      <c r="AU1146" s="12"/>
      <c r="AV1146" s="14"/>
      <c r="AW1146" s="15"/>
      <c r="AX1146" s="15"/>
    </row>
    <row r="1147" ht="15.75" customHeight="1"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3"/>
      <c r="AQ1147" s="13"/>
      <c r="AR1147" s="13"/>
      <c r="AS1147" s="13"/>
      <c r="AT1147" s="12"/>
      <c r="AU1147" s="12"/>
      <c r="AV1147" s="14"/>
      <c r="AW1147" s="15"/>
      <c r="AX1147" s="15"/>
    </row>
    <row r="1148" ht="15.75" customHeight="1"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3"/>
      <c r="AQ1148" s="13"/>
      <c r="AR1148" s="13"/>
      <c r="AS1148" s="13"/>
      <c r="AT1148" s="12"/>
      <c r="AU1148" s="12"/>
      <c r="AV1148" s="14"/>
      <c r="AW1148" s="15"/>
      <c r="AX1148" s="15"/>
    </row>
    <row r="1149" ht="15.75" customHeight="1"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3"/>
      <c r="AQ1149" s="13"/>
      <c r="AR1149" s="13"/>
      <c r="AS1149" s="13"/>
      <c r="AT1149" s="12"/>
      <c r="AU1149" s="12"/>
      <c r="AV1149" s="14"/>
      <c r="AW1149" s="15"/>
      <c r="AX1149" s="15"/>
    </row>
    <row r="1150" ht="15.75" customHeight="1"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3"/>
      <c r="AQ1150" s="13"/>
      <c r="AR1150" s="13"/>
      <c r="AS1150" s="13"/>
      <c r="AT1150" s="12"/>
      <c r="AU1150" s="12"/>
      <c r="AV1150" s="14"/>
      <c r="AW1150" s="15"/>
      <c r="AX1150" s="15"/>
    </row>
    <row r="1151" ht="15.75" customHeight="1"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3"/>
      <c r="AQ1151" s="13"/>
      <c r="AR1151" s="13"/>
      <c r="AS1151" s="13"/>
      <c r="AT1151" s="12"/>
      <c r="AU1151" s="12"/>
      <c r="AV1151" s="14"/>
      <c r="AW1151" s="15"/>
      <c r="AX1151" s="15"/>
    </row>
    <row r="1152" ht="15.75" customHeight="1"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3"/>
      <c r="AQ1152" s="13"/>
      <c r="AR1152" s="13"/>
      <c r="AS1152" s="13"/>
      <c r="AT1152" s="12"/>
      <c r="AU1152" s="12"/>
      <c r="AV1152" s="14"/>
      <c r="AW1152" s="15"/>
      <c r="AX1152" s="15"/>
    </row>
    <row r="1153" ht="15.75" customHeight="1"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3"/>
      <c r="AQ1153" s="13"/>
      <c r="AR1153" s="13"/>
      <c r="AS1153" s="13"/>
      <c r="AT1153" s="12"/>
      <c r="AU1153" s="12"/>
      <c r="AV1153" s="14"/>
      <c r="AW1153" s="15"/>
      <c r="AX1153" s="15"/>
    </row>
    <row r="1154" ht="15.75" customHeight="1"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3"/>
      <c r="AQ1154" s="13"/>
      <c r="AR1154" s="13"/>
      <c r="AS1154" s="13"/>
      <c r="AT1154" s="12"/>
      <c r="AU1154" s="12"/>
      <c r="AV1154" s="14"/>
      <c r="AW1154" s="15"/>
      <c r="AX1154" s="15"/>
    </row>
    <row r="1155" ht="15.75" customHeight="1"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3"/>
      <c r="AQ1155" s="13"/>
      <c r="AR1155" s="13"/>
      <c r="AS1155" s="13"/>
      <c r="AT1155" s="12"/>
      <c r="AU1155" s="12"/>
      <c r="AV1155" s="14"/>
      <c r="AW1155" s="15"/>
      <c r="AX1155" s="15"/>
    </row>
    <row r="1156" ht="15.75" customHeight="1"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3"/>
      <c r="AQ1156" s="13"/>
      <c r="AR1156" s="13"/>
      <c r="AS1156" s="13"/>
      <c r="AT1156" s="12"/>
      <c r="AU1156" s="12"/>
      <c r="AV1156" s="14"/>
      <c r="AW1156" s="15"/>
      <c r="AX1156" s="15"/>
    </row>
    <row r="1157" ht="15.75" customHeight="1"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3"/>
      <c r="AQ1157" s="13"/>
      <c r="AR1157" s="13"/>
      <c r="AS1157" s="13"/>
      <c r="AT1157" s="12"/>
      <c r="AU1157" s="12"/>
      <c r="AV1157" s="14"/>
      <c r="AW1157" s="15"/>
      <c r="AX1157" s="15"/>
    </row>
    <row r="1158" ht="15.75" customHeight="1"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3"/>
      <c r="AQ1158" s="13"/>
      <c r="AR1158" s="13"/>
      <c r="AS1158" s="13"/>
      <c r="AT1158" s="12"/>
      <c r="AU1158" s="12"/>
      <c r="AV1158" s="14"/>
      <c r="AW1158" s="15"/>
      <c r="AX1158" s="15"/>
    </row>
    <row r="1159" ht="15.75" customHeight="1"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3"/>
      <c r="AQ1159" s="13"/>
      <c r="AR1159" s="13"/>
      <c r="AS1159" s="13"/>
      <c r="AT1159" s="12"/>
      <c r="AU1159" s="12"/>
      <c r="AV1159" s="14"/>
      <c r="AW1159" s="15"/>
      <c r="AX1159" s="15"/>
    </row>
    <row r="1160" ht="15.75" customHeight="1"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3"/>
      <c r="AQ1160" s="13"/>
      <c r="AR1160" s="13"/>
      <c r="AS1160" s="13"/>
      <c r="AT1160" s="12"/>
      <c r="AU1160" s="12"/>
      <c r="AV1160" s="14"/>
      <c r="AW1160" s="15"/>
      <c r="AX1160" s="15"/>
    </row>
    <row r="1161" ht="15.75" customHeight="1"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3"/>
      <c r="AQ1161" s="13"/>
      <c r="AR1161" s="13"/>
      <c r="AS1161" s="13"/>
      <c r="AT1161" s="12"/>
      <c r="AU1161" s="12"/>
      <c r="AV1161" s="14"/>
      <c r="AW1161" s="15"/>
      <c r="AX1161" s="15"/>
    </row>
    <row r="1162" ht="15.75" customHeight="1"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3"/>
      <c r="AQ1162" s="13"/>
      <c r="AR1162" s="13"/>
      <c r="AS1162" s="13"/>
      <c r="AT1162" s="12"/>
      <c r="AU1162" s="12"/>
      <c r="AV1162" s="14"/>
      <c r="AW1162" s="15"/>
      <c r="AX1162" s="15"/>
    </row>
    <row r="1163" ht="15.75" customHeight="1"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3"/>
      <c r="AQ1163" s="13"/>
      <c r="AR1163" s="13"/>
      <c r="AS1163" s="13"/>
      <c r="AT1163" s="12"/>
      <c r="AU1163" s="12"/>
      <c r="AV1163" s="14"/>
      <c r="AW1163" s="15"/>
      <c r="AX1163" s="15"/>
    </row>
    <row r="1164" ht="15.75" customHeight="1"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3"/>
      <c r="AQ1164" s="13"/>
      <c r="AR1164" s="13"/>
      <c r="AS1164" s="13"/>
      <c r="AT1164" s="12"/>
      <c r="AU1164" s="12"/>
      <c r="AV1164" s="14"/>
      <c r="AW1164" s="15"/>
      <c r="AX1164" s="15"/>
    </row>
    <row r="1165" ht="15.75" customHeight="1"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3"/>
      <c r="AQ1165" s="13"/>
      <c r="AR1165" s="13"/>
      <c r="AS1165" s="13"/>
      <c r="AT1165" s="12"/>
      <c r="AU1165" s="12"/>
      <c r="AV1165" s="14"/>
      <c r="AW1165" s="15"/>
      <c r="AX1165" s="15"/>
    </row>
    <row r="1166" ht="15.75" customHeight="1"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3"/>
      <c r="AQ1166" s="13"/>
      <c r="AR1166" s="13"/>
      <c r="AS1166" s="13"/>
      <c r="AT1166" s="12"/>
      <c r="AU1166" s="12"/>
      <c r="AV1166" s="14"/>
      <c r="AW1166" s="15"/>
      <c r="AX1166" s="15"/>
    </row>
    <row r="1167" ht="15.75" customHeight="1"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3"/>
      <c r="AQ1167" s="13"/>
      <c r="AR1167" s="13"/>
      <c r="AS1167" s="13"/>
      <c r="AT1167" s="12"/>
      <c r="AU1167" s="12"/>
      <c r="AV1167" s="14"/>
      <c r="AW1167" s="15"/>
      <c r="AX1167" s="15"/>
    </row>
    <row r="1168" ht="15.75" customHeight="1"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3"/>
      <c r="AQ1168" s="13"/>
      <c r="AR1168" s="13"/>
      <c r="AS1168" s="13"/>
      <c r="AT1168" s="12"/>
      <c r="AU1168" s="12"/>
      <c r="AV1168" s="14"/>
      <c r="AW1168" s="15"/>
      <c r="AX1168" s="15"/>
    </row>
    <row r="1169" ht="15.75" customHeight="1"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3"/>
      <c r="AQ1169" s="13"/>
      <c r="AR1169" s="13"/>
      <c r="AS1169" s="13"/>
      <c r="AT1169" s="12"/>
      <c r="AU1169" s="12"/>
      <c r="AV1169" s="14"/>
      <c r="AW1169" s="15"/>
      <c r="AX1169" s="15"/>
    </row>
    <row r="1170" ht="15.75" customHeight="1"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3"/>
      <c r="AQ1170" s="13"/>
      <c r="AR1170" s="13"/>
      <c r="AS1170" s="13"/>
      <c r="AT1170" s="12"/>
      <c r="AU1170" s="12"/>
      <c r="AV1170" s="14"/>
      <c r="AW1170" s="15"/>
      <c r="AX1170" s="15"/>
    </row>
    <row r="1171" ht="15.75" customHeight="1"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3"/>
      <c r="AQ1171" s="13"/>
      <c r="AR1171" s="13"/>
      <c r="AS1171" s="13"/>
      <c r="AT1171" s="12"/>
      <c r="AU1171" s="12"/>
      <c r="AV1171" s="14"/>
      <c r="AW1171" s="15"/>
      <c r="AX1171" s="15"/>
    </row>
    <row r="1172" ht="15.75" customHeight="1"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3"/>
      <c r="AQ1172" s="13"/>
      <c r="AR1172" s="13"/>
      <c r="AS1172" s="13"/>
      <c r="AT1172" s="12"/>
      <c r="AU1172" s="12"/>
      <c r="AV1172" s="14"/>
      <c r="AW1172" s="15"/>
      <c r="AX1172" s="15"/>
    </row>
    <row r="1173" ht="15.75" customHeight="1"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3"/>
      <c r="AQ1173" s="13"/>
      <c r="AR1173" s="13"/>
      <c r="AS1173" s="13"/>
      <c r="AT1173" s="12"/>
      <c r="AU1173" s="12"/>
      <c r="AV1173" s="14"/>
      <c r="AW1173" s="15"/>
      <c r="AX1173" s="15"/>
    </row>
    <row r="1174" ht="15.75" customHeight="1"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3"/>
      <c r="AQ1174" s="13"/>
      <c r="AR1174" s="13"/>
      <c r="AS1174" s="13"/>
      <c r="AT1174" s="12"/>
      <c r="AU1174" s="12"/>
      <c r="AV1174" s="14"/>
      <c r="AW1174" s="15"/>
      <c r="AX1174" s="15"/>
    </row>
    <row r="1175" ht="15.75" customHeight="1"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3"/>
      <c r="AQ1175" s="13"/>
      <c r="AR1175" s="13"/>
      <c r="AS1175" s="13"/>
      <c r="AT1175" s="12"/>
      <c r="AU1175" s="12"/>
      <c r="AV1175" s="14"/>
      <c r="AW1175" s="15"/>
      <c r="AX1175" s="15"/>
    </row>
    <row r="1176" ht="15.75" customHeight="1"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3"/>
      <c r="AQ1176" s="13"/>
      <c r="AR1176" s="13"/>
      <c r="AS1176" s="13"/>
      <c r="AT1176" s="12"/>
      <c r="AU1176" s="12"/>
      <c r="AV1176" s="14"/>
      <c r="AW1176" s="15"/>
      <c r="AX1176" s="15"/>
    </row>
    <row r="1177" ht="15.75" customHeight="1"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3"/>
      <c r="AQ1177" s="13"/>
      <c r="AR1177" s="13"/>
      <c r="AS1177" s="13"/>
      <c r="AT1177" s="12"/>
      <c r="AU1177" s="12"/>
      <c r="AV1177" s="14"/>
      <c r="AW1177" s="15"/>
      <c r="AX1177" s="15"/>
    </row>
    <row r="1178" ht="15.75" customHeight="1"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3"/>
      <c r="AQ1178" s="13"/>
      <c r="AR1178" s="13"/>
      <c r="AS1178" s="13"/>
      <c r="AT1178" s="12"/>
      <c r="AU1178" s="12"/>
      <c r="AV1178" s="14"/>
      <c r="AW1178" s="15"/>
      <c r="AX1178" s="15"/>
    </row>
    <row r="1179" ht="15.75" customHeight="1"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3"/>
      <c r="AQ1179" s="13"/>
      <c r="AR1179" s="13"/>
      <c r="AS1179" s="13"/>
      <c r="AT1179" s="12"/>
      <c r="AU1179" s="12"/>
      <c r="AV1179" s="14"/>
      <c r="AW1179" s="15"/>
      <c r="AX1179" s="15"/>
    </row>
    <row r="1180" ht="15.75" customHeight="1"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3"/>
      <c r="AQ1180" s="13"/>
      <c r="AR1180" s="13"/>
      <c r="AS1180" s="13"/>
      <c r="AT1180" s="12"/>
      <c r="AU1180" s="12"/>
      <c r="AV1180" s="14"/>
      <c r="AW1180" s="15"/>
      <c r="AX1180" s="15"/>
    </row>
    <row r="1181" ht="15.75" customHeight="1"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3"/>
      <c r="AQ1181" s="13"/>
      <c r="AR1181" s="13"/>
      <c r="AS1181" s="13"/>
      <c r="AT1181" s="12"/>
      <c r="AU1181" s="12"/>
      <c r="AV1181" s="14"/>
      <c r="AW1181" s="15"/>
      <c r="AX1181" s="15"/>
    </row>
    <row r="1182" ht="15.75" customHeight="1"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3"/>
      <c r="AQ1182" s="13"/>
      <c r="AR1182" s="13"/>
      <c r="AS1182" s="13"/>
      <c r="AT1182" s="12"/>
      <c r="AU1182" s="12"/>
      <c r="AV1182" s="14"/>
      <c r="AW1182" s="15"/>
      <c r="AX1182" s="15"/>
    </row>
    <row r="1183" ht="15.75" customHeight="1"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3"/>
      <c r="AQ1183" s="13"/>
      <c r="AR1183" s="13"/>
      <c r="AS1183" s="13"/>
      <c r="AT1183" s="12"/>
      <c r="AU1183" s="12"/>
      <c r="AV1183" s="14"/>
      <c r="AW1183" s="15"/>
      <c r="AX1183" s="15"/>
    </row>
    <row r="1184" ht="15.75" customHeight="1"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3"/>
      <c r="AQ1184" s="13"/>
      <c r="AR1184" s="13"/>
      <c r="AS1184" s="13"/>
      <c r="AT1184" s="12"/>
      <c r="AU1184" s="12"/>
      <c r="AV1184" s="14"/>
      <c r="AW1184" s="15"/>
      <c r="AX1184" s="15"/>
    </row>
    <row r="1185" ht="15.75" customHeight="1"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3"/>
      <c r="AQ1185" s="13"/>
      <c r="AR1185" s="13"/>
      <c r="AS1185" s="13"/>
      <c r="AT1185" s="12"/>
      <c r="AU1185" s="12"/>
      <c r="AV1185" s="14"/>
      <c r="AW1185" s="15"/>
      <c r="AX1185" s="15"/>
    </row>
    <row r="1186" ht="15.75" customHeight="1"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3"/>
      <c r="AQ1186" s="13"/>
      <c r="AR1186" s="13"/>
      <c r="AS1186" s="13"/>
      <c r="AT1186" s="12"/>
      <c r="AU1186" s="12"/>
      <c r="AV1186" s="14"/>
      <c r="AW1186" s="15"/>
      <c r="AX1186" s="15"/>
    </row>
    <row r="1187" ht="15.75" customHeight="1"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3"/>
      <c r="AQ1187" s="13"/>
      <c r="AR1187" s="13"/>
      <c r="AS1187" s="13"/>
      <c r="AT1187" s="12"/>
      <c r="AU1187" s="12"/>
      <c r="AV1187" s="14"/>
      <c r="AW1187" s="15"/>
      <c r="AX1187" s="15"/>
    </row>
    <row r="1188" ht="15.75" customHeight="1"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3"/>
      <c r="AQ1188" s="13"/>
      <c r="AR1188" s="13"/>
      <c r="AS1188" s="13"/>
      <c r="AT1188" s="12"/>
      <c r="AU1188" s="12"/>
      <c r="AV1188" s="14"/>
      <c r="AW1188" s="15"/>
      <c r="AX1188" s="15"/>
    </row>
    <row r="1189" ht="15.75" customHeight="1"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3"/>
      <c r="AQ1189" s="13"/>
      <c r="AR1189" s="13"/>
      <c r="AS1189" s="13"/>
      <c r="AT1189" s="12"/>
      <c r="AU1189" s="12"/>
      <c r="AV1189" s="14"/>
      <c r="AW1189" s="15"/>
      <c r="AX1189" s="15"/>
    </row>
    <row r="1190" ht="15.75" customHeight="1"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3"/>
      <c r="AQ1190" s="13"/>
      <c r="AR1190" s="13"/>
      <c r="AS1190" s="13"/>
      <c r="AT1190" s="12"/>
      <c r="AU1190" s="12"/>
      <c r="AV1190" s="14"/>
      <c r="AW1190" s="15"/>
      <c r="AX1190" s="15"/>
    </row>
    <row r="1191" ht="15.75" customHeight="1"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3"/>
      <c r="AQ1191" s="13"/>
      <c r="AR1191" s="13"/>
      <c r="AS1191" s="13"/>
      <c r="AT1191" s="12"/>
      <c r="AU1191" s="12"/>
      <c r="AV1191" s="14"/>
      <c r="AW1191" s="15"/>
      <c r="AX1191" s="15"/>
    </row>
    <row r="1192" ht="15.75" customHeight="1"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3"/>
      <c r="AQ1192" s="13"/>
      <c r="AR1192" s="13"/>
      <c r="AS1192" s="13"/>
      <c r="AT1192" s="12"/>
      <c r="AU1192" s="12"/>
      <c r="AV1192" s="14"/>
      <c r="AW1192" s="15"/>
      <c r="AX1192" s="15"/>
    </row>
    <row r="1193" ht="15.75" customHeight="1"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3"/>
      <c r="AQ1193" s="13"/>
      <c r="AR1193" s="13"/>
      <c r="AS1193" s="13"/>
      <c r="AT1193" s="12"/>
      <c r="AU1193" s="12"/>
      <c r="AV1193" s="14"/>
      <c r="AW1193" s="15"/>
      <c r="AX1193" s="15"/>
    </row>
    <row r="1194" ht="15.75" customHeight="1"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3"/>
      <c r="AQ1194" s="13"/>
      <c r="AR1194" s="13"/>
      <c r="AS1194" s="13"/>
      <c r="AT1194" s="12"/>
      <c r="AU1194" s="12"/>
      <c r="AV1194" s="14"/>
      <c r="AW1194" s="15"/>
      <c r="AX1194" s="15"/>
    </row>
    <row r="1195" ht="15.75" customHeight="1"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3"/>
      <c r="AQ1195" s="13"/>
      <c r="AR1195" s="13"/>
      <c r="AS1195" s="13"/>
      <c r="AT1195" s="12"/>
      <c r="AU1195" s="12"/>
      <c r="AV1195" s="14"/>
      <c r="AW1195" s="15"/>
      <c r="AX1195" s="15"/>
    </row>
    <row r="1196" ht="15.75" customHeight="1"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3"/>
      <c r="AQ1196" s="13"/>
      <c r="AR1196" s="13"/>
      <c r="AS1196" s="13"/>
      <c r="AT1196" s="12"/>
      <c r="AU1196" s="12"/>
      <c r="AV1196" s="14"/>
      <c r="AW1196" s="15"/>
      <c r="AX1196" s="15"/>
    </row>
    <row r="1197" ht="15.75" customHeight="1"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3"/>
      <c r="AQ1197" s="13"/>
      <c r="AR1197" s="13"/>
      <c r="AS1197" s="13"/>
      <c r="AT1197" s="12"/>
      <c r="AU1197" s="12"/>
      <c r="AV1197" s="14"/>
      <c r="AW1197" s="15"/>
      <c r="AX1197" s="15"/>
    </row>
    <row r="1198" ht="15.75" customHeight="1"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3"/>
      <c r="AQ1198" s="13"/>
      <c r="AR1198" s="13"/>
      <c r="AS1198" s="13"/>
      <c r="AT1198" s="12"/>
      <c r="AU1198" s="12"/>
      <c r="AV1198" s="14"/>
      <c r="AW1198" s="15"/>
      <c r="AX1198" s="15"/>
    </row>
    <row r="1199" ht="15.75" customHeight="1"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3"/>
      <c r="AQ1199" s="13"/>
      <c r="AR1199" s="13"/>
      <c r="AS1199" s="13"/>
      <c r="AT1199" s="12"/>
      <c r="AU1199" s="12"/>
      <c r="AV1199" s="14"/>
      <c r="AW1199" s="15"/>
      <c r="AX1199" s="15"/>
    </row>
    <row r="1200" ht="15.75" customHeight="1"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3"/>
      <c r="AQ1200" s="13"/>
      <c r="AR1200" s="13"/>
      <c r="AS1200" s="13"/>
      <c r="AT1200" s="12"/>
      <c r="AU1200" s="12"/>
      <c r="AV1200" s="14"/>
      <c r="AW1200" s="15"/>
      <c r="AX1200" s="15"/>
    </row>
    <row r="1201" ht="15.75" customHeight="1"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3"/>
      <c r="AQ1201" s="13"/>
      <c r="AR1201" s="13"/>
      <c r="AS1201" s="13"/>
      <c r="AT1201" s="12"/>
      <c r="AU1201" s="12"/>
      <c r="AV1201" s="14"/>
      <c r="AW1201" s="15"/>
      <c r="AX1201" s="15"/>
    </row>
    <row r="1202" ht="15.75" customHeight="1"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3"/>
      <c r="AQ1202" s="13"/>
      <c r="AR1202" s="13"/>
      <c r="AS1202" s="13"/>
      <c r="AT1202" s="12"/>
      <c r="AU1202" s="12"/>
      <c r="AV1202" s="14"/>
      <c r="AW1202" s="15"/>
      <c r="AX1202" s="15"/>
    </row>
    <row r="1203" ht="15.75" customHeight="1"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3"/>
      <c r="AQ1203" s="13"/>
      <c r="AR1203" s="13"/>
      <c r="AS1203" s="13"/>
      <c r="AT1203" s="12"/>
      <c r="AU1203" s="12"/>
      <c r="AV1203" s="14"/>
      <c r="AW1203" s="15"/>
      <c r="AX1203" s="15"/>
    </row>
    <row r="1204" ht="15.75" customHeight="1"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3"/>
      <c r="AQ1204" s="13"/>
      <c r="AR1204" s="13"/>
      <c r="AS1204" s="13"/>
      <c r="AT1204" s="12"/>
      <c r="AU1204" s="12"/>
      <c r="AV1204" s="14"/>
      <c r="AW1204" s="15"/>
      <c r="AX1204" s="15"/>
    </row>
    <row r="1205" ht="15.75" customHeight="1"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3"/>
      <c r="AQ1205" s="13"/>
      <c r="AR1205" s="13"/>
      <c r="AS1205" s="13"/>
      <c r="AT1205" s="12"/>
      <c r="AU1205" s="12"/>
      <c r="AV1205" s="14"/>
      <c r="AW1205" s="15"/>
      <c r="AX1205" s="15"/>
    </row>
    <row r="1206" ht="15.75" customHeight="1"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3"/>
      <c r="AQ1206" s="13"/>
      <c r="AR1206" s="13"/>
      <c r="AS1206" s="13"/>
      <c r="AT1206" s="12"/>
      <c r="AU1206" s="12"/>
      <c r="AV1206" s="14"/>
      <c r="AW1206" s="15"/>
      <c r="AX1206" s="15"/>
    </row>
    <row r="1207" ht="15.75" customHeight="1"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3"/>
      <c r="AQ1207" s="13"/>
      <c r="AR1207" s="13"/>
      <c r="AS1207" s="13"/>
      <c r="AT1207" s="12"/>
      <c r="AU1207" s="12"/>
      <c r="AV1207" s="14"/>
      <c r="AW1207" s="15"/>
      <c r="AX1207" s="15"/>
    </row>
    <row r="1208" ht="15.75" customHeight="1"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3"/>
      <c r="AQ1208" s="13"/>
      <c r="AR1208" s="13"/>
      <c r="AS1208" s="13"/>
      <c r="AT1208" s="12"/>
      <c r="AU1208" s="12"/>
      <c r="AV1208" s="14"/>
      <c r="AW1208" s="15"/>
      <c r="AX1208" s="15"/>
    </row>
    <row r="1209" ht="15.75" customHeight="1"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3"/>
      <c r="AQ1209" s="13"/>
      <c r="AR1209" s="13"/>
      <c r="AS1209" s="13"/>
      <c r="AT1209" s="12"/>
      <c r="AU1209" s="12"/>
      <c r="AV1209" s="14"/>
      <c r="AW1209" s="15"/>
      <c r="AX1209" s="15"/>
    </row>
    <row r="1210" ht="15.75" customHeight="1"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3"/>
      <c r="AQ1210" s="13"/>
      <c r="AR1210" s="13"/>
      <c r="AS1210" s="13"/>
      <c r="AT1210" s="12"/>
      <c r="AU1210" s="12"/>
      <c r="AV1210" s="14"/>
      <c r="AW1210" s="15"/>
      <c r="AX1210" s="15"/>
    </row>
    <row r="1211" ht="15.75" customHeight="1"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3"/>
      <c r="AQ1211" s="13"/>
      <c r="AR1211" s="13"/>
      <c r="AS1211" s="13"/>
      <c r="AT1211" s="12"/>
      <c r="AU1211" s="12"/>
      <c r="AV1211" s="14"/>
      <c r="AW1211" s="15"/>
      <c r="AX1211" s="15"/>
    </row>
    <row r="1212" ht="15.75" customHeight="1"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3"/>
      <c r="AQ1212" s="13"/>
      <c r="AR1212" s="13"/>
      <c r="AS1212" s="13"/>
      <c r="AT1212" s="12"/>
      <c r="AU1212" s="12"/>
      <c r="AV1212" s="14"/>
      <c r="AW1212" s="15"/>
      <c r="AX1212" s="15"/>
    </row>
    <row r="1213" ht="15.75" customHeight="1"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3"/>
      <c r="AQ1213" s="13"/>
      <c r="AR1213" s="13"/>
      <c r="AS1213" s="13"/>
      <c r="AT1213" s="12"/>
      <c r="AU1213" s="12"/>
      <c r="AV1213" s="14"/>
      <c r="AW1213" s="15"/>
      <c r="AX1213" s="15"/>
    </row>
    <row r="1214" ht="15.75" customHeight="1"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3"/>
      <c r="AQ1214" s="13"/>
      <c r="AR1214" s="13"/>
      <c r="AS1214" s="13"/>
      <c r="AT1214" s="12"/>
      <c r="AU1214" s="12"/>
      <c r="AV1214" s="14"/>
      <c r="AW1214" s="15"/>
      <c r="AX1214" s="15"/>
    </row>
    <row r="1215" ht="15.75" customHeight="1"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3"/>
      <c r="AQ1215" s="13"/>
      <c r="AR1215" s="13"/>
      <c r="AS1215" s="13"/>
      <c r="AT1215" s="12"/>
      <c r="AU1215" s="12"/>
      <c r="AV1215" s="14"/>
      <c r="AW1215" s="15"/>
      <c r="AX1215" s="15"/>
    </row>
    <row r="1216" ht="15.75" customHeight="1"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3"/>
      <c r="AQ1216" s="13"/>
      <c r="AR1216" s="13"/>
      <c r="AS1216" s="13"/>
      <c r="AT1216" s="12"/>
      <c r="AU1216" s="12"/>
      <c r="AV1216" s="14"/>
      <c r="AW1216" s="15"/>
      <c r="AX1216" s="15"/>
    </row>
    <row r="1217" ht="15.75" customHeight="1"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3"/>
      <c r="AQ1217" s="13"/>
      <c r="AR1217" s="13"/>
      <c r="AS1217" s="13"/>
      <c r="AT1217" s="12"/>
      <c r="AU1217" s="12"/>
      <c r="AV1217" s="14"/>
      <c r="AW1217" s="15"/>
      <c r="AX1217" s="15"/>
    </row>
    <row r="1218" ht="15.75" customHeight="1"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3"/>
      <c r="AQ1218" s="13"/>
      <c r="AR1218" s="13"/>
      <c r="AS1218" s="13"/>
      <c r="AT1218" s="12"/>
      <c r="AU1218" s="12"/>
      <c r="AV1218" s="14"/>
      <c r="AW1218" s="15"/>
      <c r="AX1218" s="15"/>
    </row>
    <row r="1219" ht="15.75" customHeight="1"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3"/>
      <c r="AQ1219" s="13"/>
      <c r="AR1219" s="13"/>
      <c r="AS1219" s="13"/>
      <c r="AT1219" s="12"/>
      <c r="AU1219" s="12"/>
      <c r="AV1219" s="14"/>
      <c r="AW1219" s="15"/>
      <c r="AX1219" s="15"/>
    </row>
    <row r="1220" ht="15.75" customHeight="1"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3"/>
      <c r="AQ1220" s="13"/>
      <c r="AR1220" s="13"/>
      <c r="AS1220" s="13"/>
      <c r="AT1220" s="12"/>
      <c r="AU1220" s="12"/>
      <c r="AV1220" s="14"/>
      <c r="AW1220" s="15"/>
      <c r="AX1220" s="15"/>
    </row>
    <row r="1221" ht="15.75" customHeight="1"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3"/>
      <c r="AQ1221" s="13"/>
      <c r="AR1221" s="13"/>
      <c r="AS1221" s="13"/>
      <c r="AT1221" s="12"/>
      <c r="AU1221" s="12"/>
      <c r="AV1221" s="14"/>
      <c r="AW1221" s="15"/>
      <c r="AX1221" s="15"/>
    </row>
    <row r="1222" ht="15.75" customHeight="1"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3"/>
      <c r="AQ1222" s="13"/>
      <c r="AR1222" s="13"/>
      <c r="AS1222" s="13"/>
      <c r="AT1222" s="12"/>
      <c r="AU1222" s="12"/>
      <c r="AV1222" s="14"/>
      <c r="AW1222" s="15"/>
      <c r="AX1222" s="15"/>
    </row>
    <row r="1223" ht="15.75" customHeight="1"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3"/>
      <c r="AQ1223" s="13"/>
      <c r="AR1223" s="13"/>
      <c r="AS1223" s="13"/>
      <c r="AT1223" s="12"/>
      <c r="AU1223" s="12"/>
      <c r="AV1223" s="14"/>
      <c r="AW1223" s="15"/>
      <c r="AX1223" s="15"/>
    </row>
    <row r="1224" ht="15.75" customHeight="1"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3"/>
      <c r="AQ1224" s="13"/>
      <c r="AR1224" s="13"/>
      <c r="AS1224" s="13"/>
      <c r="AT1224" s="12"/>
      <c r="AU1224" s="12"/>
      <c r="AV1224" s="14"/>
      <c r="AW1224" s="15"/>
      <c r="AX1224" s="15"/>
    </row>
    <row r="1225" ht="15.75" customHeight="1"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3"/>
      <c r="AQ1225" s="13"/>
      <c r="AR1225" s="13"/>
      <c r="AS1225" s="13"/>
      <c r="AT1225" s="12"/>
      <c r="AU1225" s="12"/>
      <c r="AV1225" s="14"/>
      <c r="AW1225" s="15"/>
      <c r="AX1225" s="15"/>
    </row>
    <row r="1226" ht="15.75" customHeight="1"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3"/>
      <c r="AQ1226" s="13"/>
      <c r="AR1226" s="13"/>
      <c r="AS1226" s="13"/>
      <c r="AT1226" s="12"/>
      <c r="AU1226" s="12"/>
      <c r="AV1226" s="14"/>
      <c r="AW1226" s="15"/>
      <c r="AX1226" s="15"/>
    </row>
    <row r="1227" ht="15.75" customHeight="1"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3"/>
      <c r="AQ1227" s="13"/>
      <c r="AR1227" s="13"/>
      <c r="AS1227" s="13"/>
      <c r="AT1227" s="12"/>
      <c r="AU1227" s="12"/>
      <c r="AV1227" s="14"/>
      <c r="AW1227" s="15"/>
      <c r="AX1227" s="15"/>
    </row>
    <row r="1228" ht="15.75" customHeight="1"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3"/>
      <c r="AQ1228" s="13"/>
      <c r="AR1228" s="13"/>
      <c r="AS1228" s="13"/>
      <c r="AT1228" s="12"/>
      <c r="AU1228" s="12"/>
      <c r="AV1228" s="14"/>
      <c r="AW1228" s="15"/>
      <c r="AX1228" s="15"/>
    </row>
    <row r="1229" ht="15.75" customHeight="1"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3"/>
      <c r="AQ1229" s="13"/>
      <c r="AR1229" s="13"/>
      <c r="AS1229" s="13"/>
      <c r="AT1229" s="12"/>
      <c r="AU1229" s="12"/>
      <c r="AV1229" s="14"/>
      <c r="AW1229" s="15"/>
      <c r="AX1229" s="15"/>
    </row>
    <row r="1230" ht="15.75" customHeight="1"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3"/>
      <c r="AQ1230" s="13"/>
      <c r="AR1230" s="13"/>
      <c r="AS1230" s="13"/>
      <c r="AT1230" s="12"/>
      <c r="AU1230" s="12"/>
      <c r="AV1230" s="14"/>
      <c r="AW1230" s="15"/>
      <c r="AX1230" s="15"/>
    </row>
    <row r="1231" ht="15.75" customHeight="1"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3"/>
      <c r="AQ1231" s="13"/>
      <c r="AR1231" s="13"/>
      <c r="AS1231" s="13"/>
      <c r="AT1231" s="12"/>
      <c r="AU1231" s="12"/>
      <c r="AV1231" s="14"/>
      <c r="AW1231" s="15"/>
      <c r="AX1231" s="15"/>
    </row>
    <row r="1232" ht="15.75" customHeight="1"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3"/>
      <c r="AQ1232" s="13"/>
      <c r="AR1232" s="13"/>
      <c r="AS1232" s="13"/>
      <c r="AT1232" s="12"/>
      <c r="AU1232" s="12"/>
      <c r="AV1232" s="14"/>
      <c r="AW1232" s="15"/>
      <c r="AX1232" s="15"/>
    </row>
    <row r="1233" ht="15.75" customHeight="1"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3"/>
      <c r="AQ1233" s="13"/>
      <c r="AR1233" s="13"/>
      <c r="AS1233" s="13"/>
      <c r="AT1233" s="12"/>
      <c r="AU1233" s="12"/>
      <c r="AV1233" s="14"/>
      <c r="AW1233" s="15"/>
      <c r="AX1233" s="15"/>
    </row>
    <row r="1234" ht="15.75" customHeight="1"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3"/>
      <c r="AQ1234" s="13"/>
      <c r="AR1234" s="13"/>
      <c r="AS1234" s="13"/>
      <c r="AT1234" s="12"/>
      <c r="AU1234" s="12"/>
      <c r="AV1234" s="14"/>
      <c r="AW1234" s="15"/>
      <c r="AX1234" s="15"/>
    </row>
    <row r="1235" ht="15.75" customHeight="1"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3"/>
      <c r="AQ1235" s="13"/>
      <c r="AR1235" s="13"/>
      <c r="AS1235" s="13"/>
      <c r="AT1235" s="12"/>
      <c r="AU1235" s="12"/>
      <c r="AV1235" s="14"/>
      <c r="AW1235" s="15"/>
      <c r="AX1235" s="15"/>
    </row>
    <row r="1236" ht="15.75" customHeight="1"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3"/>
      <c r="AQ1236" s="13"/>
      <c r="AR1236" s="13"/>
      <c r="AS1236" s="13"/>
      <c r="AT1236" s="12"/>
      <c r="AU1236" s="12"/>
      <c r="AV1236" s="14"/>
      <c r="AW1236" s="15"/>
      <c r="AX1236" s="15"/>
    </row>
    <row r="1237" ht="15.75" customHeight="1"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3"/>
      <c r="AQ1237" s="13"/>
      <c r="AR1237" s="13"/>
      <c r="AS1237" s="13"/>
      <c r="AT1237" s="12"/>
      <c r="AU1237" s="12"/>
      <c r="AV1237" s="14"/>
      <c r="AW1237" s="15"/>
      <c r="AX1237" s="15"/>
    </row>
    <row r="1238" ht="15.75" customHeight="1"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3"/>
      <c r="AQ1238" s="13"/>
      <c r="AR1238" s="13"/>
      <c r="AS1238" s="13"/>
      <c r="AT1238" s="12"/>
      <c r="AU1238" s="12"/>
      <c r="AV1238" s="14"/>
      <c r="AW1238" s="15"/>
      <c r="AX1238" s="15"/>
    </row>
    <row r="1239" ht="15.75" customHeight="1"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3"/>
      <c r="AQ1239" s="13"/>
      <c r="AR1239" s="13"/>
      <c r="AS1239" s="13"/>
      <c r="AT1239" s="12"/>
      <c r="AU1239" s="12"/>
      <c r="AV1239" s="14"/>
      <c r="AW1239" s="15"/>
      <c r="AX1239" s="15"/>
    </row>
    <row r="1240" ht="15.75" customHeight="1"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3"/>
      <c r="AQ1240" s="13"/>
      <c r="AR1240" s="13"/>
      <c r="AS1240" s="13"/>
      <c r="AT1240" s="12"/>
      <c r="AU1240" s="12"/>
      <c r="AV1240" s="14"/>
      <c r="AW1240" s="15"/>
      <c r="AX1240" s="15"/>
    </row>
    <row r="1241" ht="15.75" customHeight="1"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3"/>
      <c r="AQ1241" s="13"/>
      <c r="AR1241" s="13"/>
      <c r="AS1241" s="13"/>
      <c r="AT1241" s="12"/>
      <c r="AU1241" s="12"/>
      <c r="AV1241" s="14"/>
      <c r="AW1241" s="15"/>
      <c r="AX1241" s="15"/>
    </row>
    <row r="1242" ht="15.75" customHeight="1"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3"/>
      <c r="AQ1242" s="13"/>
      <c r="AR1242" s="13"/>
      <c r="AS1242" s="13"/>
      <c r="AT1242" s="12"/>
      <c r="AU1242" s="12"/>
      <c r="AV1242" s="14"/>
      <c r="AW1242" s="15"/>
      <c r="AX1242" s="15"/>
    </row>
    <row r="1243" ht="15.75" customHeight="1"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3"/>
      <c r="AQ1243" s="13"/>
      <c r="AR1243" s="13"/>
      <c r="AS1243" s="13"/>
      <c r="AT1243" s="12"/>
      <c r="AU1243" s="12"/>
      <c r="AV1243" s="14"/>
      <c r="AW1243" s="15"/>
      <c r="AX1243" s="15"/>
    </row>
    <row r="1244" ht="15.75" customHeight="1"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3"/>
      <c r="AQ1244" s="13"/>
      <c r="AR1244" s="13"/>
      <c r="AS1244" s="13"/>
      <c r="AT1244" s="12"/>
      <c r="AU1244" s="12"/>
      <c r="AV1244" s="14"/>
      <c r="AW1244" s="15"/>
      <c r="AX1244" s="15"/>
    </row>
    <row r="1245" ht="15.75" customHeight="1"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3"/>
      <c r="AQ1245" s="13"/>
      <c r="AR1245" s="13"/>
      <c r="AS1245" s="13"/>
      <c r="AT1245" s="12"/>
      <c r="AU1245" s="12"/>
      <c r="AV1245" s="14"/>
      <c r="AW1245" s="15"/>
      <c r="AX1245" s="15"/>
    </row>
    <row r="1246" ht="15.75" customHeight="1"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3"/>
      <c r="AQ1246" s="13"/>
      <c r="AR1246" s="13"/>
      <c r="AS1246" s="13"/>
      <c r="AT1246" s="12"/>
      <c r="AU1246" s="12"/>
      <c r="AV1246" s="14"/>
      <c r="AW1246" s="15"/>
      <c r="AX1246" s="15"/>
    </row>
    <row r="1247" ht="15.75" customHeight="1"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3"/>
      <c r="AQ1247" s="13"/>
      <c r="AR1247" s="13"/>
      <c r="AS1247" s="13"/>
      <c r="AT1247" s="12"/>
      <c r="AU1247" s="12"/>
      <c r="AV1247" s="14"/>
      <c r="AW1247" s="15"/>
      <c r="AX1247" s="15"/>
    </row>
    <row r="1248" ht="15.75" customHeight="1"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3"/>
      <c r="AQ1248" s="13"/>
      <c r="AR1248" s="13"/>
      <c r="AS1248" s="13"/>
      <c r="AT1248" s="12"/>
      <c r="AU1248" s="12"/>
      <c r="AV1248" s="14"/>
      <c r="AW1248" s="15"/>
      <c r="AX1248" s="15"/>
    </row>
    <row r="1249" ht="15.75" customHeight="1"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3"/>
      <c r="AQ1249" s="13"/>
      <c r="AR1249" s="13"/>
      <c r="AS1249" s="13"/>
      <c r="AT1249" s="12"/>
      <c r="AU1249" s="12"/>
      <c r="AV1249" s="14"/>
      <c r="AW1249" s="15"/>
      <c r="AX1249" s="15"/>
    </row>
    <row r="1250" ht="15.75" customHeight="1"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3"/>
      <c r="AQ1250" s="13"/>
      <c r="AR1250" s="13"/>
      <c r="AS1250" s="13"/>
      <c r="AT1250" s="12"/>
      <c r="AU1250" s="12"/>
      <c r="AV1250" s="14"/>
      <c r="AW1250" s="15"/>
      <c r="AX1250" s="15"/>
    </row>
    <row r="1251" ht="15.75" customHeight="1"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3"/>
      <c r="AQ1251" s="13"/>
      <c r="AR1251" s="13"/>
      <c r="AS1251" s="13"/>
      <c r="AT1251" s="12"/>
      <c r="AU1251" s="12"/>
      <c r="AV1251" s="14"/>
      <c r="AW1251" s="15"/>
      <c r="AX1251" s="15"/>
    </row>
    <row r="1252" ht="15.75" customHeight="1"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3"/>
      <c r="AQ1252" s="13"/>
      <c r="AR1252" s="13"/>
      <c r="AS1252" s="13"/>
      <c r="AT1252" s="12"/>
      <c r="AU1252" s="12"/>
      <c r="AV1252" s="14"/>
      <c r="AW1252" s="15"/>
      <c r="AX1252" s="15"/>
    </row>
    <row r="1253" ht="15.75" customHeight="1"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3"/>
      <c r="AQ1253" s="13"/>
      <c r="AR1253" s="13"/>
      <c r="AS1253" s="13"/>
      <c r="AT1253" s="12"/>
      <c r="AU1253" s="12"/>
      <c r="AV1253" s="14"/>
      <c r="AW1253" s="15"/>
      <c r="AX1253" s="15"/>
    </row>
    <row r="1254" ht="15.75" customHeight="1"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3"/>
      <c r="AQ1254" s="13"/>
      <c r="AR1254" s="13"/>
      <c r="AS1254" s="13"/>
      <c r="AT1254" s="12"/>
      <c r="AU1254" s="12"/>
      <c r="AV1254" s="14"/>
      <c r="AW1254" s="15"/>
      <c r="AX1254" s="15"/>
    </row>
    <row r="1255" ht="15.75" customHeight="1"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3"/>
      <c r="AQ1255" s="13"/>
      <c r="AR1255" s="13"/>
      <c r="AS1255" s="13"/>
      <c r="AT1255" s="12"/>
      <c r="AU1255" s="12"/>
      <c r="AV1255" s="14"/>
      <c r="AW1255" s="15"/>
      <c r="AX1255" s="15"/>
    </row>
    <row r="1256" ht="15.75" customHeight="1"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3"/>
      <c r="AQ1256" s="13"/>
      <c r="AR1256" s="13"/>
      <c r="AS1256" s="13"/>
      <c r="AT1256" s="12"/>
      <c r="AU1256" s="12"/>
      <c r="AV1256" s="14"/>
      <c r="AW1256" s="15"/>
      <c r="AX1256" s="15"/>
    </row>
    <row r="1257" ht="15.75" customHeight="1"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3"/>
      <c r="AQ1257" s="13"/>
      <c r="AR1257" s="13"/>
      <c r="AS1257" s="13"/>
      <c r="AT1257" s="12"/>
      <c r="AU1257" s="12"/>
      <c r="AV1257" s="14"/>
      <c r="AW1257" s="15"/>
      <c r="AX1257" s="15"/>
    </row>
    <row r="1258" ht="15.75" customHeight="1"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3"/>
      <c r="AQ1258" s="13"/>
      <c r="AR1258" s="13"/>
      <c r="AS1258" s="13"/>
      <c r="AT1258" s="12"/>
      <c r="AU1258" s="12"/>
      <c r="AV1258" s="14"/>
      <c r="AW1258" s="15"/>
      <c r="AX1258" s="15"/>
    </row>
    <row r="1259" ht="15.75" customHeight="1"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3"/>
      <c r="AQ1259" s="13"/>
      <c r="AR1259" s="13"/>
      <c r="AS1259" s="13"/>
      <c r="AT1259" s="12"/>
      <c r="AU1259" s="12"/>
      <c r="AV1259" s="14"/>
      <c r="AW1259" s="15"/>
      <c r="AX1259" s="15"/>
    </row>
    <row r="1260" ht="15.75" customHeight="1"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3"/>
      <c r="AQ1260" s="13"/>
      <c r="AR1260" s="13"/>
      <c r="AS1260" s="13"/>
      <c r="AT1260" s="12"/>
      <c r="AU1260" s="12"/>
      <c r="AV1260" s="14"/>
      <c r="AW1260" s="15"/>
      <c r="AX1260" s="15"/>
    </row>
    <row r="1261" ht="15.75" customHeight="1"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3"/>
      <c r="AQ1261" s="13"/>
      <c r="AR1261" s="13"/>
      <c r="AS1261" s="13"/>
      <c r="AT1261" s="12"/>
      <c r="AU1261" s="12"/>
      <c r="AV1261" s="14"/>
      <c r="AW1261" s="15"/>
      <c r="AX1261" s="15"/>
    </row>
    <row r="1262" ht="15.75" customHeight="1"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3"/>
      <c r="AQ1262" s="13"/>
      <c r="AR1262" s="13"/>
      <c r="AS1262" s="13"/>
      <c r="AT1262" s="12"/>
      <c r="AU1262" s="12"/>
      <c r="AV1262" s="14"/>
      <c r="AW1262" s="15"/>
      <c r="AX1262" s="15"/>
    </row>
    <row r="1263" ht="15.75" customHeight="1"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3"/>
      <c r="AQ1263" s="13"/>
      <c r="AR1263" s="13"/>
      <c r="AS1263" s="13"/>
      <c r="AT1263" s="12"/>
      <c r="AU1263" s="12"/>
      <c r="AV1263" s="14"/>
      <c r="AW1263" s="15"/>
      <c r="AX1263" s="15"/>
    </row>
    <row r="1264" ht="15.75" customHeight="1"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3"/>
      <c r="AQ1264" s="13"/>
      <c r="AR1264" s="13"/>
      <c r="AS1264" s="13"/>
      <c r="AT1264" s="12"/>
      <c r="AU1264" s="12"/>
      <c r="AV1264" s="14"/>
      <c r="AW1264" s="15"/>
      <c r="AX1264" s="15"/>
    </row>
    <row r="1265" ht="15.75" customHeight="1"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3"/>
      <c r="AQ1265" s="13"/>
      <c r="AR1265" s="13"/>
      <c r="AS1265" s="13"/>
      <c r="AT1265" s="12"/>
      <c r="AU1265" s="12"/>
      <c r="AV1265" s="14"/>
      <c r="AW1265" s="15"/>
      <c r="AX1265" s="15"/>
    </row>
    <row r="1266" ht="15.75" customHeight="1"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3"/>
      <c r="AQ1266" s="13"/>
      <c r="AR1266" s="13"/>
      <c r="AS1266" s="13"/>
      <c r="AT1266" s="12"/>
      <c r="AU1266" s="12"/>
      <c r="AV1266" s="14"/>
      <c r="AW1266" s="15"/>
      <c r="AX1266" s="15"/>
    </row>
    <row r="1267" ht="15.75" customHeight="1"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3"/>
      <c r="AQ1267" s="13"/>
      <c r="AR1267" s="13"/>
      <c r="AS1267" s="13"/>
      <c r="AT1267" s="12"/>
      <c r="AU1267" s="12"/>
      <c r="AV1267" s="14"/>
      <c r="AW1267" s="15"/>
      <c r="AX1267" s="15"/>
    </row>
    <row r="1268" ht="15.75" customHeight="1"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3"/>
      <c r="AQ1268" s="13"/>
      <c r="AR1268" s="13"/>
      <c r="AS1268" s="13"/>
      <c r="AT1268" s="12"/>
      <c r="AU1268" s="12"/>
      <c r="AV1268" s="14"/>
      <c r="AW1268" s="15"/>
      <c r="AX1268" s="15"/>
    </row>
    <row r="1269" ht="15.75" customHeight="1"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3"/>
      <c r="AQ1269" s="13"/>
      <c r="AR1269" s="13"/>
      <c r="AS1269" s="13"/>
      <c r="AT1269" s="12"/>
      <c r="AU1269" s="12"/>
      <c r="AV1269" s="14"/>
      <c r="AW1269" s="15"/>
      <c r="AX1269" s="15"/>
    </row>
    <row r="1270" ht="15.75" customHeight="1"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3"/>
      <c r="AQ1270" s="13"/>
      <c r="AR1270" s="13"/>
      <c r="AS1270" s="13"/>
      <c r="AT1270" s="12"/>
      <c r="AU1270" s="12"/>
      <c r="AV1270" s="14"/>
      <c r="AW1270" s="15"/>
      <c r="AX1270" s="15"/>
    </row>
    <row r="1271" ht="15.75" customHeight="1"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3"/>
      <c r="AQ1271" s="13"/>
      <c r="AR1271" s="13"/>
      <c r="AS1271" s="13"/>
      <c r="AT1271" s="12"/>
      <c r="AU1271" s="12"/>
      <c r="AV1271" s="14"/>
      <c r="AW1271" s="15"/>
      <c r="AX1271" s="15"/>
    </row>
    <row r="1272" ht="15.75" customHeight="1"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3"/>
      <c r="AQ1272" s="13"/>
      <c r="AR1272" s="13"/>
      <c r="AS1272" s="13"/>
      <c r="AT1272" s="12"/>
      <c r="AU1272" s="12"/>
      <c r="AV1272" s="14"/>
      <c r="AW1272" s="15"/>
      <c r="AX1272" s="15"/>
    </row>
    <row r="1273" ht="15.75" customHeight="1"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3"/>
      <c r="AQ1273" s="13"/>
      <c r="AR1273" s="13"/>
      <c r="AS1273" s="13"/>
      <c r="AT1273" s="12"/>
      <c r="AU1273" s="12"/>
      <c r="AV1273" s="14"/>
      <c r="AW1273" s="15"/>
      <c r="AX1273" s="15"/>
    </row>
    <row r="1274" ht="15.75" customHeight="1"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3"/>
      <c r="AQ1274" s="13"/>
      <c r="AR1274" s="13"/>
      <c r="AS1274" s="13"/>
      <c r="AT1274" s="12"/>
      <c r="AU1274" s="12"/>
      <c r="AV1274" s="14"/>
      <c r="AW1274" s="15"/>
      <c r="AX1274" s="15"/>
    </row>
    <row r="1275" ht="15.75" customHeight="1"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3"/>
      <c r="AQ1275" s="13"/>
      <c r="AR1275" s="13"/>
      <c r="AS1275" s="13"/>
      <c r="AT1275" s="12"/>
      <c r="AU1275" s="12"/>
      <c r="AV1275" s="14"/>
      <c r="AW1275" s="15"/>
      <c r="AX1275" s="15"/>
    </row>
    <row r="1276" ht="15.75" customHeight="1"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3"/>
      <c r="AQ1276" s="13"/>
      <c r="AR1276" s="13"/>
      <c r="AS1276" s="13"/>
      <c r="AT1276" s="12"/>
      <c r="AU1276" s="12"/>
      <c r="AV1276" s="14"/>
      <c r="AW1276" s="15"/>
      <c r="AX1276" s="15"/>
    </row>
    <row r="1277" ht="15.75" customHeight="1"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3"/>
      <c r="AQ1277" s="13"/>
      <c r="AR1277" s="13"/>
      <c r="AS1277" s="13"/>
      <c r="AT1277" s="12"/>
      <c r="AU1277" s="12"/>
      <c r="AV1277" s="14"/>
      <c r="AW1277" s="15"/>
      <c r="AX1277" s="15"/>
    </row>
    <row r="1278" ht="15.75" customHeight="1"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3"/>
      <c r="AQ1278" s="13"/>
      <c r="AR1278" s="13"/>
      <c r="AS1278" s="13"/>
      <c r="AT1278" s="12"/>
      <c r="AU1278" s="12"/>
      <c r="AV1278" s="14"/>
      <c r="AW1278" s="15"/>
      <c r="AX1278" s="15"/>
    </row>
    <row r="1279" ht="15.75" customHeight="1"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3"/>
      <c r="AQ1279" s="13"/>
      <c r="AR1279" s="13"/>
      <c r="AS1279" s="13"/>
      <c r="AT1279" s="12"/>
      <c r="AU1279" s="12"/>
      <c r="AV1279" s="14"/>
      <c r="AW1279" s="15"/>
      <c r="AX1279" s="15"/>
    </row>
    <row r="1280" ht="15.75" customHeight="1"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3"/>
      <c r="AQ1280" s="13"/>
      <c r="AR1280" s="13"/>
      <c r="AS1280" s="13"/>
      <c r="AT1280" s="12"/>
      <c r="AU1280" s="12"/>
      <c r="AV1280" s="14"/>
      <c r="AW1280" s="15"/>
      <c r="AX1280" s="15"/>
    </row>
    <row r="1281" ht="15.75" customHeight="1"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3"/>
      <c r="AQ1281" s="13"/>
      <c r="AR1281" s="13"/>
      <c r="AS1281" s="13"/>
      <c r="AT1281" s="12"/>
      <c r="AU1281" s="12"/>
      <c r="AV1281" s="14"/>
      <c r="AW1281" s="15"/>
      <c r="AX1281" s="15"/>
    </row>
    <row r="1282" ht="15.75" customHeight="1"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3"/>
      <c r="AQ1282" s="13"/>
      <c r="AR1282" s="13"/>
      <c r="AS1282" s="13"/>
      <c r="AT1282" s="12"/>
      <c r="AU1282" s="12"/>
      <c r="AV1282" s="14"/>
      <c r="AW1282" s="15"/>
      <c r="AX1282" s="15"/>
    </row>
    <row r="1283" ht="15.75" customHeight="1"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3"/>
      <c r="AQ1283" s="13"/>
      <c r="AR1283" s="13"/>
      <c r="AS1283" s="13"/>
      <c r="AT1283" s="12"/>
      <c r="AU1283" s="12"/>
      <c r="AV1283" s="14"/>
      <c r="AW1283" s="15"/>
      <c r="AX1283" s="15"/>
    </row>
    <row r="1284" ht="15.75" customHeight="1"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3"/>
      <c r="AQ1284" s="13"/>
      <c r="AR1284" s="13"/>
      <c r="AS1284" s="13"/>
      <c r="AT1284" s="12"/>
      <c r="AU1284" s="12"/>
      <c r="AV1284" s="14"/>
      <c r="AW1284" s="15"/>
      <c r="AX1284" s="15"/>
    </row>
    <row r="1285" ht="15.75" customHeight="1"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3"/>
      <c r="AQ1285" s="13"/>
      <c r="AR1285" s="13"/>
      <c r="AS1285" s="13"/>
      <c r="AT1285" s="12"/>
      <c r="AU1285" s="12"/>
      <c r="AV1285" s="14"/>
      <c r="AW1285" s="15"/>
      <c r="AX1285" s="15"/>
    </row>
    <row r="1286" ht="15.75" customHeight="1"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3"/>
      <c r="AQ1286" s="13"/>
      <c r="AR1286" s="13"/>
      <c r="AS1286" s="13"/>
      <c r="AT1286" s="12"/>
      <c r="AU1286" s="12"/>
      <c r="AV1286" s="14"/>
      <c r="AW1286" s="15"/>
      <c r="AX1286" s="15"/>
    </row>
    <row r="1287" ht="15.75" customHeight="1"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3"/>
      <c r="AQ1287" s="13"/>
      <c r="AR1287" s="13"/>
      <c r="AS1287" s="13"/>
      <c r="AT1287" s="12"/>
      <c r="AU1287" s="12"/>
      <c r="AV1287" s="14"/>
      <c r="AW1287" s="15"/>
      <c r="AX1287" s="15"/>
    </row>
    <row r="1288" ht="15.75" customHeight="1"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3"/>
      <c r="AQ1288" s="13"/>
      <c r="AR1288" s="13"/>
      <c r="AS1288" s="13"/>
      <c r="AT1288" s="12"/>
      <c r="AU1288" s="12"/>
      <c r="AV1288" s="14"/>
      <c r="AW1288" s="15"/>
      <c r="AX1288" s="15"/>
    </row>
    <row r="1289" ht="15.75" customHeight="1"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3"/>
      <c r="AQ1289" s="13"/>
      <c r="AR1289" s="13"/>
      <c r="AS1289" s="13"/>
      <c r="AT1289" s="12"/>
      <c r="AU1289" s="12"/>
      <c r="AV1289" s="14"/>
      <c r="AW1289" s="15"/>
      <c r="AX1289" s="15"/>
    </row>
    <row r="1290" ht="15.75" customHeight="1"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3"/>
      <c r="AQ1290" s="13"/>
      <c r="AR1290" s="13"/>
      <c r="AS1290" s="13"/>
      <c r="AT1290" s="12"/>
      <c r="AU1290" s="12"/>
      <c r="AV1290" s="14"/>
      <c r="AW1290" s="15"/>
      <c r="AX1290" s="15"/>
    </row>
    <row r="1291" ht="15.75" customHeight="1"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3"/>
      <c r="AQ1291" s="13"/>
      <c r="AR1291" s="13"/>
      <c r="AS1291" s="13"/>
      <c r="AT1291" s="12"/>
      <c r="AU1291" s="12"/>
      <c r="AV1291" s="14"/>
      <c r="AW1291" s="15"/>
      <c r="AX1291" s="15"/>
    </row>
    <row r="1292" ht="15.75" customHeight="1"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3"/>
      <c r="AQ1292" s="13"/>
      <c r="AR1292" s="13"/>
      <c r="AS1292" s="13"/>
      <c r="AT1292" s="12"/>
      <c r="AU1292" s="12"/>
      <c r="AV1292" s="14"/>
      <c r="AW1292" s="15"/>
      <c r="AX1292" s="15"/>
    </row>
    <row r="1293" ht="15.75" customHeight="1"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3"/>
      <c r="AQ1293" s="13"/>
      <c r="AR1293" s="13"/>
      <c r="AS1293" s="13"/>
      <c r="AT1293" s="12"/>
      <c r="AU1293" s="12"/>
      <c r="AV1293" s="14"/>
      <c r="AW1293" s="15"/>
      <c r="AX1293" s="15"/>
    </row>
    <row r="1294" ht="15.75" customHeight="1"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3"/>
      <c r="AQ1294" s="13"/>
      <c r="AR1294" s="13"/>
      <c r="AS1294" s="13"/>
      <c r="AT1294" s="12"/>
      <c r="AU1294" s="12"/>
      <c r="AV1294" s="14"/>
      <c r="AW1294" s="15"/>
      <c r="AX1294" s="15"/>
    </row>
    <row r="1295" ht="15.75" customHeight="1"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3"/>
      <c r="AQ1295" s="13"/>
      <c r="AR1295" s="13"/>
      <c r="AS1295" s="13"/>
      <c r="AT1295" s="12"/>
      <c r="AU1295" s="12"/>
      <c r="AV1295" s="14"/>
      <c r="AW1295" s="15"/>
      <c r="AX1295" s="15"/>
    </row>
    <row r="1296" ht="15.75" customHeight="1"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3"/>
      <c r="AQ1296" s="13"/>
      <c r="AR1296" s="13"/>
      <c r="AS1296" s="13"/>
      <c r="AT1296" s="12"/>
      <c r="AU1296" s="12"/>
      <c r="AV1296" s="14"/>
      <c r="AW1296" s="15"/>
      <c r="AX1296" s="15"/>
    </row>
    <row r="1297" ht="15.75" customHeight="1"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3"/>
      <c r="AQ1297" s="13"/>
      <c r="AR1297" s="13"/>
      <c r="AS1297" s="13"/>
      <c r="AT1297" s="12"/>
      <c r="AU1297" s="12"/>
      <c r="AV1297" s="14"/>
      <c r="AW1297" s="15"/>
      <c r="AX1297" s="15"/>
    </row>
    <row r="1298" ht="15.75" customHeight="1"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3"/>
      <c r="AQ1298" s="13"/>
      <c r="AR1298" s="13"/>
      <c r="AS1298" s="13"/>
      <c r="AT1298" s="12"/>
      <c r="AU1298" s="12"/>
      <c r="AV1298" s="14"/>
      <c r="AW1298" s="15"/>
      <c r="AX1298" s="15"/>
    </row>
    <row r="1299" ht="15.75" customHeight="1"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3"/>
      <c r="AQ1299" s="13"/>
      <c r="AR1299" s="13"/>
      <c r="AS1299" s="13"/>
      <c r="AT1299" s="12"/>
      <c r="AU1299" s="12"/>
      <c r="AV1299" s="14"/>
      <c r="AW1299" s="15"/>
      <c r="AX1299" s="15"/>
    </row>
    <row r="1300" ht="15.75" customHeight="1"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3"/>
      <c r="AQ1300" s="13"/>
      <c r="AR1300" s="13"/>
      <c r="AS1300" s="13"/>
      <c r="AT1300" s="12"/>
      <c r="AU1300" s="12"/>
      <c r="AV1300" s="14"/>
      <c r="AW1300" s="15"/>
      <c r="AX1300" s="15"/>
    </row>
    <row r="1301" ht="15.75" customHeight="1"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3"/>
      <c r="AQ1301" s="13"/>
      <c r="AR1301" s="13"/>
      <c r="AS1301" s="13"/>
      <c r="AT1301" s="12"/>
      <c r="AU1301" s="12"/>
      <c r="AV1301" s="14"/>
      <c r="AW1301" s="15"/>
      <c r="AX1301" s="15"/>
    </row>
    <row r="1302" ht="15.75" customHeight="1"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3"/>
      <c r="AQ1302" s="13"/>
      <c r="AR1302" s="13"/>
      <c r="AS1302" s="13"/>
      <c r="AT1302" s="12"/>
      <c r="AU1302" s="12"/>
      <c r="AV1302" s="14"/>
      <c r="AW1302" s="15"/>
      <c r="AX1302" s="15"/>
    </row>
    <row r="1303" ht="15.75" customHeight="1"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3"/>
      <c r="AQ1303" s="13"/>
      <c r="AR1303" s="13"/>
      <c r="AS1303" s="13"/>
      <c r="AT1303" s="12"/>
      <c r="AU1303" s="12"/>
      <c r="AV1303" s="14"/>
      <c r="AW1303" s="15"/>
      <c r="AX1303" s="15"/>
    </row>
    <row r="1304" ht="15.75" customHeight="1"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3"/>
      <c r="AQ1304" s="13"/>
      <c r="AR1304" s="13"/>
      <c r="AS1304" s="13"/>
      <c r="AT1304" s="12"/>
      <c r="AU1304" s="12"/>
      <c r="AV1304" s="14"/>
      <c r="AW1304" s="15"/>
      <c r="AX1304" s="15"/>
    </row>
    <row r="1305" ht="15.75" customHeight="1"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3"/>
      <c r="AQ1305" s="13"/>
      <c r="AR1305" s="13"/>
      <c r="AS1305" s="13"/>
      <c r="AT1305" s="12"/>
      <c r="AU1305" s="12"/>
      <c r="AV1305" s="14"/>
      <c r="AW1305" s="15"/>
      <c r="AX1305" s="15"/>
    </row>
    <row r="1306" ht="15.75" customHeight="1"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3"/>
      <c r="AQ1306" s="13"/>
      <c r="AR1306" s="13"/>
      <c r="AS1306" s="13"/>
      <c r="AT1306" s="12"/>
      <c r="AU1306" s="12"/>
      <c r="AV1306" s="14"/>
      <c r="AW1306" s="15"/>
      <c r="AX1306" s="15"/>
    </row>
    <row r="1307" ht="15.75" customHeight="1"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3"/>
      <c r="AQ1307" s="13"/>
      <c r="AR1307" s="13"/>
      <c r="AS1307" s="13"/>
      <c r="AT1307" s="12"/>
      <c r="AU1307" s="12"/>
      <c r="AV1307" s="14"/>
      <c r="AW1307" s="15"/>
      <c r="AX1307" s="15"/>
    </row>
    <row r="1308" ht="15.75" customHeight="1"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3"/>
      <c r="AQ1308" s="13"/>
      <c r="AR1308" s="13"/>
      <c r="AS1308" s="13"/>
      <c r="AT1308" s="12"/>
      <c r="AU1308" s="12"/>
      <c r="AV1308" s="14"/>
      <c r="AW1308" s="15"/>
      <c r="AX1308" s="15"/>
    </row>
    <row r="1309" ht="15.75" customHeight="1"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3"/>
      <c r="AQ1309" s="13"/>
      <c r="AR1309" s="13"/>
      <c r="AS1309" s="13"/>
      <c r="AT1309" s="12"/>
      <c r="AU1309" s="12"/>
      <c r="AV1309" s="14"/>
      <c r="AW1309" s="15"/>
      <c r="AX1309" s="15"/>
    </row>
    <row r="1310" ht="15.75" customHeight="1"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3"/>
      <c r="AQ1310" s="13"/>
      <c r="AR1310" s="13"/>
      <c r="AS1310" s="13"/>
      <c r="AT1310" s="12"/>
      <c r="AU1310" s="12"/>
      <c r="AV1310" s="14"/>
      <c r="AW1310" s="15"/>
      <c r="AX1310" s="15"/>
    </row>
    <row r="1311" ht="15.75" customHeight="1"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3"/>
      <c r="AQ1311" s="13"/>
      <c r="AR1311" s="13"/>
      <c r="AS1311" s="13"/>
      <c r="AT1311" s="12"/>
      <c r="AU1311" s="12"/>
      <c r="AV1311" s="14"/>
      <c r="AW1311" s="15"/>
      <c r="AX1311" s="15"/>
    </row>
    <row r="1312" ht="15.75" customHeight="1"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3"/>
      <c r="AQ1312" s="13"/>
      <c r="AR1312" s="13"/>
      <c r="AS1312" s="13"/>
      <c r="AT1312" s="12"/>
      <c r="AU1312" s="12"/>
      <c r="AV1312" s="14"/>
      <c r="AW1312" s="15"/>
      <c r="AX1312" s="15"/>
    </row>
    <row r="1313" ht="15.75" customHeight="1"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3"/>
      <c r="AQ1313" s="13"/>
      <c r="AR1313" s="13"/>
      <c r="AS1313" s="13"/>
      <c r="AT1313" s="12"/>
      <c r="AU1313" s="12"/>
      <c r="AV1313" s="14"/>
      <c r="AW1313" s="15"/>
      <c r="AX1313" s="15"/>
    </row>
    <row r="1314" ht="15.75" customHeight="1"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3"/>
      <c r="AQ1314" s="13"/>
      <c r="AR1314" s="13"/>
      <c r="AS1314" s="13"/>
      <c r="AT1314" s="12"/>
      <c r="AU1314" s="12"/>
      <c r="AV1314" s="14"/>
      <c r="AW1314" s="15"/>
      <c r="AX1314" s="15"/>
    </row>
    <row r="1315" ht="15.75" customHeight="1"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3"/>
      <c r="AQ1315" s="13"/>
      <c r="AR1315" s="13"/>
      <c r="AS1315" s="13"/>
      <c r="AT1315" s="12"/>
      <c r="AU1315" s="12"/>
      <c r="AV1315" s="14"/>
      <c r="AW1315" s="15"/>
      <c r="AX1315" s="15"/>
    </row>
    <row r="1316" ht="15.75" customHeight="1"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3"/>
      <c r="AQ1316" s="13"/>
      <c r="AR1316" s="13"/>
      <c r="AS1316" s="13"/>
      <c r="AT1316" s="12"/>
      <c r="AU1316" s="12"/>
      <c r="AV1316" s="14"/>
      <c r="AW1316" s="15"/>
      <c r="AX1316" s="15"/>
    </row>
    <row r="1317" ht="15.75" customHeight="1"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3"/>
      <c r="AQ1317" s="13"/>
      <c r="AR1317" s="13"/>
      <c r="AS1317" s="13"/>
      <c r="AT1317" s="12"/>
      <c r="AU1317" s="12"/>
      <c r="AV1317" s="14"/>
      <c r="AW1317" s="15"/>
      <c r="AX1317" s="15"/>
    </row>
    <row r="1318" ht="15.75" customHeight="1"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3"/>
      <c r="AQ1318" s="13"/>
      <c r="AR1318" s="13"/>
      <c r="AS1318" s="13"/>
      <c r="AT1318" s="12"/>
      <c r="AU1318" s="12"/>
      <c r="AV1318" s="14"/>
      <c r="AW1318" s="15"/>
      <c r="AX1318" s="15"/>
    </row>
    <row r="1319" ht="15.75" customHeight="1"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3"/>
      <c r="AQ1319" s="13"/>
      <c r="AR1319" s="13"/>
      <c r="AS1319" s="13"/>
      <c r="AT1319" s="12"/>
      <c r="AU1319" s="12"/>
      <c r="AV1319" s="14"/>
      <c r="AW1319" s="15"/>
      <c r="AX1319" s="15"/>
    </row>
    <row r="1320" ht="15.75" customHeight="1"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3"/>
      <c r="AQ1320" s="13"/>
      <c r="AR1320" s="13"/>
      <c r="AS1320" s="13"/>
      <c r="AT1320" s="12"/>
      <c r="AU1320" s="12"/>
      <c r="AV1320" s="14"/>
      <c r="AW1320" s="15"/>
      <c r="AX1320" s="15"/>
    </row>
    <row r="1321" ht="15.75" customHeight="1"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3"/>
      <c r="AQ1321" s="13"/>
      <c r="AR1321" s="13"/>
      <c r="AS1321" s="13"/>
      <c r="AT1321" s="12"/>
      <c r="AU1321" s="12"/>
      <c r="AV1321" s="14"/>
      <c r="AW1321" s="15"/>
      <c r="AX1321" s="15"/>
    </row>
    <row r="1322" ht="15.75" customHeight="1"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3"/>
      <c r="AQ1322" s="13"/>
      <c r="AR1322" s="13"/>
      <c r="AS1322" s="13"/>
      <c r="AT1322" s="12"/>
      <c r="AU1322" s="12"/>
      <c r="AV1322" s="14"/>
      <c r="AW1322" s="15"/>
      <c r="AX1322" s="15"/>
    </row>
    <row r="1323" ht="15.75" customHeight="1"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3"/>
      <c r="AQ1323" s="13"/>
      <c r="AR1323" s="13"/>
      <c r="AS1323" s="13"/>
      <c r="AT1323" s="12"/>
      <c r="AU1323" s="12"/>
      <c r="AV1323" s="14"/>
      <c r="AW1323" s="15"/>
      <c r="AX1323" s="15"/>
    </row>
    <row r="1324" ht="15.75" customHeight="1"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3"/>
      <c r="AQ1324" s="13"/>
      <c r="AR1324" s="13"/>
      <c r="AS1324" s="13"/>
      <c r="AT1324" s="12"/>
      <c r="AU1324" s="12"/>
      <c r="AV1324" s="14"/>
      <c r="AW1324" s="15"/>
      <c r="AX1324" s="15"/>
    </row>
    <row r="1325" ht="15.75" customHeight="1"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3"/>
      <c r="AQ1325" s="13"/>
      <c r="AR1325" s="13"/>
      <c r="AS1325" s="13"/>
      <c r="AT1325" s="12"/>
      <c r="AU1325" s="12"/>
      <c r="AV1325" s="14"/>
      <c r="AW1325" s="15"/>
      <c r="AX1325" s="15"/>
    </row>
    <row r="1326" ht="15.75" customHeight="1"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3"/>
      <c r="AQ1326" s="13"/>
      <c r="AR1326" s="13"/>
      <c r="AS1326" s="13"/>
      <c r="AT1326" s="12"/>
      <c r="AU1326" s="12"/>
      <c r="AV1326" s="14"/>
      <c r="AW1326" s="15"/>
      <c r="AX1326" s="15"/>
    </row>
    <row r="1327" ht="15.75" customHeight="1"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3"/>
      <c r="AQ1327" s="13"/>
      <c r="AR1327" s="13"/>
      <c r="AS1327" s="13"/>
      <c r="AT1327" s="12"/>
      <c r="AU1327" s="12"/>
      <c r="AV1327" s="14"/>
      <c r="AW1327" s="15"/>
      <c r="AX1327" s="15"/>
    </row>
    <row r="1328" ht="15.75" customHeight="1"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3"/>
      <c r="AQ1328" s="13"/>
      <c r="AR1328" s="13"/>
      <c r="AS1328" s="13"/>
      <c r="AT1328" s="12"/>
      <c r="AU1328" s="12"/>
      <c r="AV1328" s="14"/>
      <c r="AW1328" s="15"/>
      <c r="AX1328" s="15"/>
    </row>
    <row r="1329" ht="15.75" customHeight="1"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3"/>
      <c r="AQ1329" s="13"/>
      <c r="AR1329" s="13"/>
      <c r="AS1329" s="13"/>
      <c r="AT1329" s="12"/>
      <c r="AU1329" s="12"/>
      <c r="AV1329" s="14"/>
      <c r="AW1329" s="15"/>
      <c r="AX1329" s="15"/>
    </row>
    <row r="1330" ht="15.75" customHeight="1"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3"/>
      <c r="AQ1330" s="13"/>
      <c r="AR1330" s="13"/>
      <c r="AS1330" s="13"/>
      <c r="AT1330" s="12"/>
      <c r="AU1330" s="12"/>
      <c r="AV1330" s="14"/>
      <c r="AW1330" s="15"/>
      <c r="AX1330" s="15"/>
    </row>
    <row r="1331" ht="15.75" customHeight="1"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3"/>
      <c r="AQ1331" s="13"/>
      <c r="AR1331" s="13"/>
      <c r="AS1331" s="13"/>
      <c r="AT1331" s="12"/>
      <c r="AU1331" s="12"/>
      <c r="AV1331" s="14"/>
      <c r="AW1331" s="15"/>
      <c r="AX1331" s="15"/>
    </row>
    <row r="1332" ht="15.75" customHeight="1"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3"/>
      <c r="AQ1332" s="13"/>
      <c r="AR1332" s="13"/>
      <c r="AS1332" s="13"/>
      <c r="AT1332" s="12"/>
      <c r="AU1332" s="12"/>
      <c r="AV1332" s="14"/>
      <c r="AW1332" s="15"/>
      <c r="AX1332" s="15"/>
    </row>
    <row r="1333" ht="15.75" customHeight="1"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3"/>
      <c r="AQ1333" s="13"/>
      <c r="AR1333" s="13"/>
      <c r="AS1333" s="13"/>
      <c r="AT1333" s="12"/>
      <c r="AU1333" s="12"/>
      <c r="AV1333" s="14"/>
      <c r="AW1333" s="15"/>
      <c r="AX1333" s="15"/>
    </row>
    <row r="1334" ht="15.75" customHeight="1"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3"/>
      <c r="AQ1334" s="13"/>
      <c r="AR1334" s="13"/>
      <c r="AS1334" s="13"/>
      <c r="AT1334" s="12"/>
      <c r="AU1334" s="12"/>
      <c r="AV1334" s="14"/>
      <c r="AW1334" s="15"/>
      <c r="AX1334" s="15"/>
    </row>
    <row r="1335" ht="15.75" customHeight="1"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3"/>
      <c r="AQ1335" s="13"/>
      <c r="AR1335" s="13"/>
      <c r="AS1335" s="13"/>
      <c r="AT1335" s="12"/>
      <c r="AU1335" s="12"/>
      <c r="AV1335" s="14"/>
      <c r="AW1335" s="15"/>
      <c r="AX1335" s="15"/>
    </row>
    <row r="1336" ht="15.75" customHeight="1"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3"/>
      <c r="AQ1336" s="13"/>
      <c r="AR1336" s="13"/>
      <c r="AS1336" s="13"/>
      <c r="AT1336" s="12"/>
      <c r="AU1336" s="12"/>
      <c r="AV1336" s="14"/>
      <c r="AW1336" s="15"/>
      <c r="AX1336" s="15"/>
    </row>
    <row r="1337" ht="15.75" customHeight="1"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3"/>
      <c r="AQ1337" s="13"/>
      <c r="AR1337" s="13"/>
      <c r="AS1337" s="13"/>
      <c r="AT1337" s="12"/>
      <c r="AU1337" s="12"/>
      <c r="AV1337" s="14"/>
      <c r="AW1337" s="15"/>
      <c r="AX1337" s="15"/>
    </row>
    <row r="1338" ht="15.75" customHeight="1"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3"/>
      <c r="AQ1338" s="13"/>
      <c r="AR1338" s="13"/>
      <c r="AS1338" s="13"/>
      <c r="AT1338" s="12"/>
      <c r="AU1338" s="12"/>
      <c r="AV1338" s="14"/>
      <c r="AW1338" s="15"/>
      <c r="AX1338" s="15"/>
    </row>
    <row r="1339" ht="15.75" customHeight="1"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3"/>
      <c r="AQ1339" s="13"/>
      <c r="AR1339" s="13"/>
      <c r="AS1339" s="13"/>
      <c r="AT1339" s="12"/>
      <c r="AU1339" s="12"/>
      <c r="AV1339" s="14"/>
      <c r="AW1339" s="15"/>
      <c r="AX1339" s="15"/>
    </row>
    <row r="1340" ht="15.75" customHeight="1"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3"/>
      <c r="AQ1340" s="13"/>
      <c r="AR1340" s="13"/>
      <c r="AS1340" s="13"/>
      <c r="AT1340" s="12"/>
      <c r="AU1340" s="12"/>
      <c r="AV1340" s="14"/>
      <c r="AW1340" s="15"/>
      <c r="AX1340" s="15"/>
    </row>
    <row r="1341" ht="15.75" customHeight="1"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3"/>
      <c r="AQ1341" s="13"/>
      <c r="AR1341" s="13"/>
      <c r="AS1341" s="13"/>
      <c r="AT1341" s="12"/>
      <c r="AU1341" s="12"/>
      <c r="AV1341" s="14"/>
      <c r="AW1341" s="15"/>
      <c r="AX1341" s="15"/>
    </row>
    <row r="1342" ht="15.75" customHeight="1"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3"/>
      <c r="AQ1342" s="13"/>
      <c r="AR1342" s="13"/>
      <c r="AS1342" s="13"/>
      <c r="AT1342" s="12"/>
      <c r="AU1342" s="12"/>
      <c r="AV1342" s="14"/>
      <c r="AW1342" s="15"/>
      <c r="AX1342" s="15"/>
    </row>
    <row r="1343" ht="15.75" customHeight="1"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3"/>
      <c r="AQ1343" s="13"/>
      <c r="AR1343" s="13"/>
      <c r="AS1343" s="13"/>
      <c r="AT1343" s="12"/>
      <c r="AU1343" s="12"/>
      <c r="AV1343" s="14"/>
      <c r="AW1343" s="15"/>
      <c r="AX1343" s="15"/>
    </row>
    <row r="1344" ht="15.75" customHeight="1"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3"/>
      <c r="AQ1344" s="13"/>
      <c r="AR1344" s="13"/>
      <c r="AS1344" s="13"/>
      <c r="AT1344" s="12"/>
      <c r="AU1344" s="12"/>
      <c r="AV1344" s="14"/>
      <c r="AW1344" s="15"/>
      <c r="AX1344" s="15"/>
    </row>
    <row r="1345" ht="15.75" customHeight="1"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3"/>
      <c r="AQ1345" s="13"/>
      <c r="AR1345" s="13"/>
      <c r="AS1345" s="13"/>
      <c r="AT1345" s="12"/>
      <c r="AU1345" s="12"/>
      <c r="AV1345" s="14"/>
      <c r="AW1345" s="15"/>
      <c r="AX1345" s="15"/>
    </row>
    <row r="1346" ht="15.75" customHeight="1"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3"/>
      <c r="AQ1346" s="13"/>
      <c r="AR1346" s="13"/>
      <c r="AS1346" s="13"/>
      <c r="AT1346" s="12"/>
      <c r="AU1346" s="12"/>
      <c r="AV1346" s="14"/>
      <c r="AW1346" s="15"/>
      <c r="AX1346" s="15"/>
    </row>
    <row r="1347" ht="15.75" customHeight="1"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3"/>
      <c r="AQ1347" s="13"/>
      <c r="AR1347" s="13"/>
      <c r="AS1347" s="13"/>
      <c r="AT1347" s="12"/>
      <c r="AU1347" s="12"/>
      <c r="AV1347" s="14"/>
      <c r="AW1347" s="15"/>
      <c r="AX1347" s="15"/>
    </row>
    <row r="1348" ht="15.75" customHeight="1"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3"/>
      <c r="AQ1348" s="13"/>
      <c r="AR1348" s="13"/>
      <c r="AS1348" s="13"/>
      <c r="AT1348" s="12"/>
      <c r="AU1348" s="12"/>
      <c r="AV1348" s="14"/>
      <c r="AW1348" s="15"/>
      <c r="AX1348" s="15"/>
    </row>
    <row r="1349" ht="15.75" customHeight="1"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3"/>
      <c r="AQ1349" s="13"/>
      <c r="AR1349" s="13"/>
      <c r="AS1349" s="13"/>
      <c r="AT1349" s="12"/>
      <c r="AU1349" s="12"/>
      <c r="AV1349" s="14"/>
      <c r="AW1349" s="15"/>
      <c r="AX1349" s="15"/>
    </row>
    <row r="1350" ht="15.75" customHeight="1"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3"/>
      <c r="AQ1350" s="13"/>
      <c r="AR1350" s="13"/>
      <c r="AS1350" s="13"/>
      <c r="AT1350" s="12"/>
      <c r="AU1350" s="12"/>
      <c r="AV1350" s="14"/>
      <c r="AW1350" s="15"/>
      <c r="AX1350" s="15"/>
    </row>
    <row r="1351" ht="15.75" customHeight="1"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3"/>
      <c r="AQ1351" s="13"/>
      <c r="AR1351" s="13"/>
      <c r="AS1351" s="13"/>
      <c r="AT1351" s="12"/>
      <c r="AU1351" s="12"/>
      <c r="AV1351" s="14"/>
      <c r="AW1351" s="15"/>
      <c r="AX1351" s="15"/>
    </row>
    <row r="1352" ht="15.75" customHeight="1"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3"/>
      <c r="AQ1352" s="13"/>
      <c r="AR1352" s="13"/>
      <c r="AS1352" s="13"/>
      <c r="AT1352" s="12"/>
      <c r="AU1352" s="12"/>
      <c r="AV1352" s="14"/>
      <c r="AW1352" s="15"/>
      <c r="AX1352" s="15"/>
    </row>
    <row r="1353" ht="15.75" customHeight="1"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3"/>
      <c r="AQ1353" s="13"/>
      <c r="AR1353" s="13"/>
      <c r="AS1353" s="13"/>
      <c r="AT1353" s="12"/>
      <c r="AU1353" s="12"/>
      <c r="AV1353" s="14"/>
      <c r="AW1353" s="15"/>
      <c r="AX1353" s="15"/>
    </row>
    <row r="1354" ht="15.75" customHeight="1"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3"/>
      <c r="AQ1354" s="13"/>
      <c r="AR1354" s="13"/>
      <c r="AS1354" s="13"/>
      <c r="AT1354" s="12"/>
      <c r="AU1354" s="12"/>
      <c r="AV1354" s="14"/>
      <c r="AW1354" s="15"/>
      <c r="AX1354" s="15"/>
    </row>
    <row r="1355" ht="15.75" customHeight="1"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3"/>
      <c r="AQ1355" s="13"/>
      <c r="AR1355" s="13"/>
      <c r="AS1355" s="13"/>
      <c r="AT1355" s="12"/>
      <c r="AU1355" s="12"/>
      <c r="AV1355" s="14"/>
      <c r="AW1355" s="15"/>
      <c r="AX1355" s="15"/>
    </row>
    <row r="1356" ht="15.75" customHeight="1"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3"/>
      <c r="AQ1356" s="13"/>
      <c r="AR1356" s="13"/>
      <c r="AS1356" s="13"/>
      <c r="AT1356" s="12"/>
      <c r="AU1356" s="12"/>
      <c r="AV1356" s="14"/>
      <c r="AW1356" s="15"/>
      <c r="AX1356" s="15"/>
    </row>
    <row r="1357" ht="15.75" customHeight="1"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3"/>
      <c r="AQ1357" s="13"/>
      <c r="AR1357" s="13"/>
      <c r="AS1357" s="13"/>
      <c r="AT1357" s="12"/>
      <c r="AU1357" s="12"/>
      <c r="AV1357" s="14"/>
      <c r="AW1357" s="15"/>
      <c r="AX1357" s="15"/>
    </row>
    <row r="1358" ht="15.75" customHeight="1"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3"/>
      <c r="AQ1358" s="13"/>
      <c r="AR1358" s="13"/>
      <c r="AS1358" s="13"/>
      <c r="AT1358" s="12"/>
      <c r="AU1358" s="12"/>
      <c r="AV1358" s="14"/>
      <c r="AW1358" s="15"/>
      <c r="AX1358" s="15"/>
    </row>
    <row r="1359" ht="15.75" customHeight="1"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3"/>
      <c r="AQ1359" s="13"/>
      <c r="AR1359" s="13"/>
      <c r="AS1359" s="13"/>
      <c r="AT1359" s="12"/>
      <c r="AU1359" s="12"/>
      <c r="AV1359" s="14"/>
      <c r="AW1359" s="15"/>
      <c r="AX1359" s="15"/>
    </row>
    <row r="1360" ht="15.75" customHeight="1"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3"/>
      <c r="AQ1360" s="13"/>
      <c r="AR1360" s="13"/>
      <c r="AS1360" s="13"/>
      <c r="AT1360" s="12"/>
      <c r="AU1360" s="12"/>
      <c r="AV1360" s="14"/>
      <c r="AW1360" s="15"/>
      <c r="AX1360" s="15"/>
    </row>
    <row r="1361" ht="15.75" customHeight="1"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3"/>
      <c r="AQ1361" s="13"/>
      <c r="AR1361" s="13"/>
      <c r="AS1361" s="13"/>
      <c r="AT1361" s="12"/>
      <c r="AU1361" s="12"/>
      <c r="AV1361" s="14"/>
      <c r="AW1361" s="15"/>
      <c r="AX1361" s="15"/>
    </row>
    <row r="1362" ht="15.75" customHeight="1"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3"/>
      <c r="AQ1362" s="13"/>
      <c r="AR1362" s="13"/>
      <c r="AS1362" s="13"/>
      <c r="AT1362" s="12"/>
      <c r="AU1362" s="12"/>
      <c r="AV1362" s="14"/>
      <c r="AW1362" s="15"/>
      <c r="AX1362" s="15"/>
    </row>
    <row r="1363" ht="15.75" customHeight="1"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3"/>
      <c r="AQ1363" s="13"/>
      <c r="AR1363" s="13"/>
      <c r="AS1363" s="13"/>
      <c r="AT1363" s="12"/>
      <c r="AU1363" s="12"/>
      <c r="AV1363" s="14"/>
      <c r="AW1363" s="15"/>
      <c r="AX1363" s="15"/>
    </row>
    <row r="1364" ht="15.75" customHeight="1"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3"/>
      <c r="AQ1364" s="13"/>
      <c r="AR1364" s="13"/>
      <c r="AS1364" s="13"/>
      <c r="AT1364" s="12"/>
      <c r="AU1364" s="12"/>
      <c r="AV1364" s="14"/>
      <c r="AW1364" s="15"/>
      <c r="AX1364" s="15"/>
    </row>
    <row r="1365" ht="15.75" customHeight="1"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3"/>
      <c r="AQ1365" s="13"/>
      <c r="AR1365" s="13"/>
      <c r="AS1365" s="13"/>
      <c r="AT1365" s="12"/>
      <c r="AU1365" s="12"/>
      <c r="AV1365" s="14"/>
      <c r="AW1365" s="15"/>
      <c r="AX1365" s="15"/>
    </row>
    <row r="1366" ht="15.75" customHeight="1"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3"/>
      <c r="AQ1366" s="13"/>
      <c r="AR1366" s="13"/>
      <c r="AS1366" s="13"/>
      <c r="AT1366" s="12"/>
      <c r="AU1366" s="12"/>
      <c r="AV1366" s="14"/>
      <c r="AW1366" s="15"/>
      <c r="AX1366" s="15"/>
    </row>
    <row r="1367" ht="15.75" customHeight="1"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3"/>
      <c r="AQ1367" s="13"/>
      <c r="AR1367" s="13"/>
      <c r="AS1367" s="13"/>
      <c r="AT1367" s="12"/>
      <c r="AU1367" s="12"/>
      <c r="AV1367" s="14"/>
      <c r="AW1367" s="15"/>
      <c r="AX1367" s="15"/>
    </row>
    <row r="1368" ht="15.75" customHeight="1"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3"/>
      <c r="AQ1368" s="13"/>
      <c r="AR1368" s="13"/>
      <c r="AS1368" s="13"/>
      <c r="AT1368" s="12"/>
      <c r="AU1368" s="12"/>
      <c r="AV1368" s="14"/>
      <c r="AW1368" s="15"/>
      <c r="AX1368" s="15"/>
    </row>
    <row r="1369" ht="15.75" customHeight="1"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3"/>
      <c r="AQ1369" s="13"/>
      <c r="AR1369" s="13"/>
      <c r="AS1369" s="13"/>
      <c r="AT1369" s="12"/>
      <c r="AU1369" s="12"/>
      <c r="AV1369" s="14"/>
      <c r="AW1369" s="15"/>
      <c r="AX1369" s="15"/>
    </row>
    <row r="1370" ht="15.75" customHeight="1"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3"/>
      <c r="AQ1370" s="13"/>
      <c r="AR1370" s="13"/>
      <c r="AS1370" s="13"/>
      <c r="AT1370" s="12"/>
      <c r="AU1370" s="12"/>
      <c r="AV1370" s="14"/>
      <c r="AW1370" s="15"/>
      <c r="AX1370" s="15"/>
    </row>
    <row r="1371" ht="15.75" customHeight="1"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3"/>
      <c r="AQ1371" s="13"/>
      <c r="AR1371" s="13"/>
      <c r="AS1371" s="13"/>
      <c r="AT1371" s="12"/>
      <c r="AU1371" s="12"/>
      <c r="AV1371" s="14"/>
      <c r="AW1371" s="15"/>
      <c r="AX1371" s="15"/>
    </row>
    <row r="1372" ht="15.75" customHeight="1"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3"/>
      <c r="AQ1372" s="13"/>
      <c r="AR1372" s="13"/>
      <c r="AS1372" s="13"/>
      <c r="AT1372" s="12"/>
      <c r="AU1372" s="12"/>
      <c r="AV1372" s="14"/>
      <c r="AW1372" s="15"/>
      <c r="AX1372" s="15"/>
    </row>
    <row r="1373" ht="15.75" customHeight="1"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3"/>
      <c r="AQ1373" s="13"/>
      <c r="AR1373" s="13"/>
      <c r="AS1373" s="13"/>
      <c r="AT1373" s="12"/>
      <c r="AU1373" s="12"/>
      <c r="AV1373" s="14"/>
      <c r="AW1373" s="15"/>
      <c r="AX1373" s="15"/>
    </row>
    <row r="1374" ht="15.75" customHeight="1"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3"/>
      <c r="AQ1374" s="13"/>
      <c r="AR1374" s="13"/>
      <c r="AS1374" s="13"/>
      <c r="AT1374" s="12"/>
      <c r="AU1374" s="12"/>
      <c r="AV1374" s="14"/>
      <c r="AW1374" s="15"/>
      <c r="AX1374" s="15"/>
    </row>
    <row r="1375" ht="15.75" customHeight="1"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3"/>
      <c r="AQ1375" s="13"/>
      <c r="AR1375" s="13"/>
      <c r="AS1375" s="13"/>
      <c r="AT1375" s="12"/>
      <c r="AU1375" s="12"/>
      <c r="AV1375" s="14"/>
      <c r="AW1375" s="15"/>
      <c r="AX1375" s="15"/>
    </row>
    <row r="1376" ht="15.75" customHeight="1"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3"/>
      <c r="AQ1376" s="13"/>
      <c r="AR1376" s="13"/>
      <c r="AS1376" s="13"/>
      <c r="AT1376" s="12"/>
      <c r="AU1376" s="12"/>
      <c r="AV1376" s="14"/>
      <c r="AW1376" s="15"/>
      <c r="AX1376" s="15"/>
    </row>
    <row r="1377" ht="15.75" customHeight="1"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3"/>
      <c r="AQ1377" s="13"/>
      <c r="AR1377" s="13"/>
      <c r="AS1377" s="13"/>
      <c r="AT1377" s="12"/>
      <c r="AU1377" s="12"/>
      <c r="AV1377" s="14"/>
      <c r="AW1377" s="15"/>
      <c r="AX1377" s="15"/>
    </row>
    <row r="1378" ht="15.75" customHeight="1"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3"/>
      <c r="AQ1378" s="13"/>
      <c r="AR1378" s="13"/>
      <c r="AS1378" s="13"/>
      <c r="AT1378" s="12"/>
      <c r="AU1378" s="12"/>
      <c r="AV1378" s="14"/>
      <c r="AW1378" s="15"/>
      <c r="AX1378" s="15"/>
    </row>
    <row r="1379" ht="15.75" customHeight="1"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3"/>
      <c r="AQ1379" s="13"/>
      <c r="AR1379" s="13"/>
      <c r="AS1379" s="13"/>
      <c r="AT1379" s="12"/>
      <c r="AU1379" s="12"/>
      <c r="AV1379" s="14"/>
      <c r="AW1379" s="15"/>
      <c r="AX1379" s="15"/>
    </row>
    <row r="1380" ht="15.75" customHeight="1"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3"/>
      <c r="AQ1380" s="13"/>
      <c r="AR1380" s="13"/>
      <c r="AS1380" s="13"/>
      <c r="AT1380" s="12"/>
      <c r="AU1380" s="12"/>
      <c r="AV1380" s="14"/>
      <c r="AW1380" s="15"/>
      <c r="AX1380" s="15"/>
    </row>
    <row r="1381" ht="15.75" customHeight="1"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3"/>
      <c r="AQ1381" s="13"/>
      <c r="AR1381" s="13"/>
      <c r="AS1381" s="13"/>
      <c r="AT1381" s="12"/>
      <c r="AU1381" s="12"/>
      <c r="AV1381" s="14"/>
      <c r="AW1381" s="15"/>
      <c r="AX1381" s="15"/>
    </row>
    <row r="1382" ht="15.75" customHeight="1"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3"/>
      <c r="AQ1382" s="13"/>
      <c r="AR1382" s="13"/>
      <c r="AS1382" s="13"/>
      <c r="AT1382" s="12"/>
      <c r="AU1382" s="12"/>
      <c r="AV1382" s="14"/>
      <c r="AW1382" s="15"/>
      <c r="AX1382" s="15"/>
    </row>
    <row r="1383" ht="15.75" customHeight="1"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3"/>
      <c r="AQ1383" s="13"/>
      <c r="AR1383" s="13"/>
      <c r="AS1383" s="13"/>
      <c r="AT1383" s="12"/>
      <c r="AU1383" s="12"/>
      <c r="AV1383" s="14"/>
      <c r="AW1383" s="15"/>
      <c r="AX1383" s="15"/>
    </row>
    <row r="1384" ht="15.75" customHeight="1"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3"/>
      <c r="AQ1384" s="13"/>
      <c r="AR1384" s="13"/>
      <c r="AS1384" s="13"/>
      <c r="AT1384" s="12"/>
      <c r="AU1384" s="12"/>
      <c r="AV1384" s="14"/>
      <c r="AW1384" s="15"/>
      <c r="AX1384" s="15"/>
    </row>
    <row r="1385" ht="15.75" customHeight="1"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3"/>
      <c r="AQ1385" s="13"/>
      <c r="AR1385" s="13"/>
      <c r="AS1385" s="13"/>
      <c r="AT1385" s="12"/>
      <c r="AU1385" s="12"/>
      <c r="AV1385" s="14"/>
      <c r="AW1385" s="15"/>
      <c r="AX1385" s="15"/>
    </row>
    <row r="1386" ht="15.75" customHeight="1"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3"/>
      <c r="AQ1386" s="13"/>
      <c r="AR1386" s="13"/>
      <c r="AS1386" s="13"/>
      <c r="AT1386" s="12"/>
      <c r="AU1386" s="12"/>
      <c r="AV1386" s="14"/>
      <c r="AW1386" s="15"/>
      <c r="AX1386" s="15"/>
    </row>
    <row r="1387" ht="15.75" customHeight="1"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3"/>
      <c r="AQ1387" s="13"/>
      <c r="AR1387" s="13"/>
      <c r="AS1387" s="13"/>
      <c r="AT1387" s="12"/>
      <c r="AU1387" s="12"/>
      <c r="AV1387" s="14"/>
      <c r="AW1387" s="15"/>
      <c r="AX1387" s="15"/>
    </row>
    <row r="1388" ht="15.75" customHeight="1"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3"/>
      <c r="AQ1388" s="13"/>
      <c r="AR1388" s="13"/>
      <c r="AS1388" s="13"/>
      <c r="AT1388" s="12"/>
      <c r="AU1388" s="12"/>
      <c r="AV1388" s="14"/>
      <c r="AW1388" s="15"/>
      <c r="AX1388" s="15"/>
    </row>
    <row r="1389" ht="15.75" customHeight="1"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3"/>
      <c r="AQ1389" s="13"/>
      <c r="AR1389" s="13"/>
      <c r="AS1389" s="13"/>
      <c r="AT1389" s="12"/>
      <c r="AU1389" s="12"/>
      <c r="AV1389" s="14"/>
      <c r="AW1389" s="15"/>
      <c r="AX1389" s="15"/>
    </row>
    <row r="1390" ht="15.75" customHeight="1"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3"/>
      <c r="AQ1390" s="13"/>
      <c r="AR1390" s="13"/>
      <c r="AS1390" s="13"/>
      <c r="AT1390" s="12"/>
      <c r="AU1390" s="12"/>
      <c r="AV1390" s="14"/>
      <c r="AW1390" s="15"/>
      <c r="AX1390" s="15"/>
    </row>
    <row r="1391" ht="15.75" customHeight="1"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3"/>
      <c r="AQ1391" s="13"/>
      <c r="AR1391" s="13"/>
      <c r="AS1391" s="13"/>
      <c r="AT1391" s="12"/>
      <c r="AU1391" s="12"/>
      <c r="AV1391" s="14"/>
      <c r="AW1391" s="15"/>
      <c r="AX1391" s="15"/>
    </row>
    <row r="1392" ht="15.75" customHeight="1"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3"/>
      <c r="AQ1392" s="13"/>
      <c r="AR1392" s="13"/>
      <c r="AS1392" s="13"/>
      <c r="AT1392" s="12"/>
      <c r="AU1392" s="12"/>
      <c r="AV1392" s="14"/>
      <c r="AW1392" s="15"/>
      <c r="AX1392" s="15"/>
    </row>
    <row r="1393" ht="15.75" customHeight="1"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3"/>
      <c r="AQ1393" s="13"/>
      <c r="AR1393" s="13"/>
      <c r="AS1393" s="13"/>
      <c r="AT1393" s="12"/>
      <c r="AU1393" s="12"/>
      <c r="AV1393" s="14"/>
      <c r="AW1393" s="15"/>
      <c r="AX1393" s="15"/>
    </row>
    <row r="1394" ht="15.75" customHeight="1"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3"/>
      <c r="AQ1394" s="13"/>
      <c r="AR1394" s="13"/>
      <c r="AS1394" s="13"/>
      <c r="AT1394" s="12"/>
      <c r="AU1394" s="12"/>
      <c r="AV1394" s="14"/>
      <c r="AW1394" s="15"/>
      <c r="AX1394" s="15"/>
    </row>
    <row r="1395" ht="15.75" customHeight="1"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3"/>
      <c r="AQ1395" s="13"/>
      <c r="AR1395" s="13"/>
      <c r="AS1395" s="13"/>
      <c r="AT1395" s="12"/>
      <c r="AU1395" s="12"/>
      <c r="AV1395" s="14"/>
      <c r="AW1395" s="15"/>
      <c r="AX1395" s="15"/>
    </row>
    <row r="1396" ht="15.75" customHeight="1"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3"/>
      <c r="AQ1396" s="13"/>
      <c r="AR1396" s="13"/>
      <c r="AS1396" s="13"/>
      <c r="AT1396" s="12"/>
      <c r="AU1396" s="12"/>
      <c r="AV1396" s="14"/>
      <c r="AW1396" s="15"/>
      <c r="AX1396" s="15"/>
    </row>
    <row r="1397" ht="15.75" customHeight="1"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3"/>
      <c r="AQ1397" s="13"/>
      <c r="AR1397" s="13"/>
      <c r="AS1397" s="13"/>
      <c r="AT1397" s="12"/>
      <c r="AU1397" s="12"/>
      <c r="AV1397" s="14"/>
      <c r="AW1397" s="15"/>
      <c r="AX1397" s="15"/>
    </row>
    <row r="1398" ht="15.75" customHeight="1"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3"/>
      <c r="AQ1398" s="13"/>
      <c r="AR1398" s="13"/>
      <c r="AS1398" s="13"/>
      <c r="AT1398" s="12"/>
      <c r="AU1398" s="12"/>
      <c r="AV1398" s="14"/>
      <c r="AW1398" s="15"/>
      <c r="AX1398" s="15"/>
    </row>
    <row r="1399" ht="15.75" customHeight="1"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3"/>
      <c r="AQ1399" s="13"/>
      <c r="AR1399" s="13"/>
      <c r="AS1399" s="13"/>
      <c r="AT1399" s="12"/>
      <c r="AU1399" s="12"/>
      <c r="AV1399" s="14"/>
      <c r="AW1399" s="15"/>
      <c r="AX1399" s="15"/>
    </row>
    <row r="1400" ht="15.75" customHeight="1"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3"/>
      <c r="AQ1400" s="13"/>
      <c r="AR1400" s="13"/>
      <c r="AS1400" s="13"/>
      <c r="AT1400" s="12"/>
      <c r="AU1400" s="12"/>
      <c r="AV1400" s="14"/>
      <c r="AW1400" s="15"/>
      <c r="AX1400" s="15"/>
    </row>
    <row r="1401" ht="15.75" customHeight="1"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3"/>
      <c r="AQ1401" s="13"/>
      <c r="AR1401" s="13"/>
      <c r="AS1401" s="13"/>
      <c r="AT1401" s="12"/>
      <c r="AU1401" s="12"/>
      <c r="AV1401" s="14"/>
      <c r="AW1401" s="15"/>
      <c r="AX1401" s="15"/>
    </row>
    <row r="1402" ht="15.75" customHeight="1"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3"/>
      <c r="AQ1402" s="13"/>
      <c r="AR1402" s="13"/>
      <c r="AS1402" s="13"/>
      <c r="AT1402" s="12"/>
      <c r="AU1402" s="12"/>
      <c r="AV1402" s="14"/>
      <c r="AW1402" s="15"/>
      <c r="AX1402" s="15"/>
    </row>
    <row r="1403" ht="15.75" customHeight="1"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3"/>
      <c r="AQ1403" s="13"/>
      <c r="AR1403" s="13"/>
      <c r="AS1403" s="13"/>
      <c r="AT1403" s="12"/>
      <c r="AU1403" s="12"/>
      <c r="AV1403" s="14"/>
      <c r="AW1403" s="15"/>
      <c r="AX1403" s="15"/>
    </row>
    <row r="1404" ht="15.75" customHeight="1"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3"/>
      <c r="AQ1404" s="13"/>
      <c r="AR1404" s="13"/>
      <c r="AS1404" s="13"/>
      <c r="AT1404" s="12"/>
      <c r="AU1404" s="12"/>
      <c r="AV1404" s="14"/>
      <c r="AW1404" s="15"/>
      <c r="AX1404" s="15"/>
    </row>
    <row r="1405" ht="15.75" customHeight="1"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3"/>
      <c r="AQ1405" s="13"/>
      <c r="AR1405" s="13"/>
      <c r="AS1405" s="13"/>
      <c r="AT1405" s="12"/>
      <c r="AU1405" s="12"/>
      <c r="AV1405" s="14"/>
      <c r="AW1405" s="15"/>
      <c r="AX1405" s="15"/>
    </row>
    <row r="1406" ht="15.75" customHeight="1"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3"/>
      <c r="AQ1406" s="13"/>
      <c r="AR1406" s="13"/>
      <c r="AS1406" s="13"/>
      <c r="AT1406" s="12"/>
      <c r="AU1406" s="12"/>
      <c r="AV1406" s="14"/>
      <c r="AW1406" s="15"/>
      <c r="AX1406" s="15"/>
    </row>
    <row r="1407" ht="15.75" customHeight="1"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3"/>
      <c r="AQ1407" s="13"/>
      <c r="AR1407" s="13"/>
      <c r="AS1407" s="13"/>
      <c r="AT1407" s="12"/>
      <c r="AU1407" s="12"/>
      <c r="AV1407" s="14"/>
      <c r="AW1407" s="15"/>
      <c r="AX1407" s="15"/>
    </row>
    <row r="1408" ht="15.75" customHeight="1"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3"/>
      <c r="AQ1408" s="13"/>
      <c r="AR1408" s="13"/>
      <c r="AS1408" s="13"/>
      <c r="AT1408" s="12"/>
      <c r="AU1408" s="12"/>
      <c r="AV1408" s="14"/>
      <c r="AW1408" s="15"/>
      <c r="AX1408" s="15"/>
    </row>
    <row r="1409" ht="15.75" customHeight="1"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3"/>
      <c r="AQ1409" s="13"/>
      <c r="AR1409" s="13"/>
      <c r="AS1409" s="13"/>
      <c r="AT1409" s="12"/>
      <c r="AU1409" s="12"/>
      <c r="AV1409" s="14"/>
      <c r="AW1409" s="15"/>
      <c r="AX1409" s="15"/>
    </row>
    <row r="1410" ht="15.75" customHeight="1"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3"/>
      <c r="AQ1410" s="13"/>
      <c r="AR1410" s="13"/>
      <c r="AS1410" s="13"/>
      <c r="AT1410" s="12"/>
      <c r="AU1410" s="12"/>
      <c r="AV1410" s="14"/>
      <c r="AW1410" s="15"/>
      <c r="AX1410" s="15"/>
    </row>
    <row r="1411" ht="15.75" customHeight="1"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3"/>
      <c r="AQ1411" s="13"/>
      <c r="AR1411" s="13"/>
      <c r="AS1411" s="13"/>
      <c r="AT1411" s="12"/>
      <c r="AU1411" s="12"/>
      <c r="AV1411" s="14"/>
      <c r="AW1411" s="15"/>
      <c r="AX1411" s="15"/>
    </row>
    <row r="1412" ht="15.75" customHeight="1"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3"/>
      <c r="AQ1412" s="13"/>
      <c r="AR1412" s="13"/>
      <c r="AS1412" s="13"/>
      <c r="AT1412" s="12"/>
      <c r="AU1412" s="12"/>
      <c r="AV1412" s="14"/>
      <c r="AW1412" s="15"/>
      <c r="AX1412" s="15"/>
    </row>
    <row r="1413" ht="15.75" customHeight="1"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3"/>
      <c r="AQ1413" s="13"/>
      <c r="AR1413" s="13"/>
      <c r="AS1413" s="13"/>
      <c r="AT1413" s="12"/>
      <c r="AU1413" s="12"/>
      <c r="AV1413" s="14"/>
      <c r="AW1413" s="15"/>
      <c r="AX1413" s="15"/>
    </row>
    <row r="1414" ht="15.75" customHeight="1"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3"/>
      <c r="AQ1414" s="13"/>
      <c r="AR1414" s="13"/>
      <c r="AS1414" s="13"/>
      <c r="AT1414" s="12"/>
      <c r="AU1414" s="12"/>
      <c r="AV1414" s="14"/>
      <c r="AW1414" s="15"/>
      <c r="AX1414" s="15"/>
    </row>
    <row r="1415" ht="15.75" customHeight="1"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3"/>
      <c r="AQ1415" s="13"/>
      <c r="AR1415" s="13"/>
      <c r="AS1415" s="13"/>
      <c r="AT1415" s="12"/>
      <c r="AU1415" s="12"/>
      <c r="AV1415" s="14"/>
      <c r="AW1415" s="15"/>
      <c r="AX1415" s="15"/>
    </row>
    <row r="1416" ht="15.75" customHeight="1"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3"/>
      <c r="AQ1416" s="13"/>
      <c r="AR1416" s="13"/>
      <c r="AS1416" s="13"/>
      <c r="AT1416" s="12"/>
      <c r="AU1416" s="12"/>
      <c r="AV1416" s="14"/>
      <c r="AW1416" s="15"/>
      <c r="AX1416" s="15"/>
    </row>
    <row r="1417" ht="15.75" customHeight="1"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3"/>
      <c r="AQ1417" s="13"/>
      <c r="AR1417" s="13"/>
      <c r="AS1417" s="13"/>
      <c r="AT1417" s="12"/>
      <c r="AU1417" s="12"/>
      <c r="AV1417" s="14"/>
      <c r="AW1417" s="15"/>
      <c r="AX1417" s="15"/>
    </row>
    <row r="1418" ht="15.75" customHeight="1"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3"/>
      <c r="AQ1418" s="13"/>
      <c r="AR1418" s="13"/>
      <c r="AS1418" s="13"/>
      <c r="AT1418" s="12"/>
      <c r="AU1418" s="12"/>
      <c r="AV1418" s="14"/>
      <c r="AW1418" s="15"/>
      <c r="AX1418" s="15"/>
    </row>
    <row r="1419" ht="15.75" customHeight="1"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3"/>
      <c r="AQ1419" s="13"/>
      <c r="AR1419" s="13"/>
      <c r="AS1419" s="13"/>
      <c r="AT1419" s="12"/>
      <c r="AU1419" s="12"/>
      <c r="AV1419" s="14"/>
      <c r="AW1419" s="15"/>
      <c r="AX1419" s="15"/>
    </row>
    <row r="1420" ht="15.75" customHeight="1"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3"/>
      <c r="AQ1420" s="13"/>
      <c r="AR1420" s="13"/>
      <c r="AS1420" s="13"/>
      <c r="AT1420" s="12"/>
      <c r="AU1420" s="12"/>
      <c r="AV1420" s="14"/>
      <c r="AW1420" s="15"/>
      <c r="AX1420" s="15"/>
    </row>
    <row r="1421" ht="15.75" customHeight="1"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3"/>
      <c r="AQ1421" s="13"/>
      <c r="AR1421" s="13"/>
      <c r="AS1421" s="13"/>
      <c r="AT1421" s="12"/>
      <c r="AU1421" s="12"/>
      <c r="AV1421" s="14"/>
      <c r="AW1421" s="15"/>
      <c r="AX1421" s="15"/>
    </row>
    <row r="1422" ht="15.75" customHeight="1"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3"/>
      <c r="AQ1422" s="13"/>
      <c r="AR1422" s="13"/>
      <c r="AS1422" s="13"/>
      <c r="AT1422" s="12"/>
      <c r="AU1422" s="12"/>
      <c r="AV1422" s="14"/>
      <c r="AW1422" s="15"/>
      <c r="AX1422" s="15"/>
    </row>
    <row r="1423" ht="15.75" customHeight="1"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3"/>
      <c r="AQ1423" s="13"/>
      <c r="AR1423" s="13"/>
      <c r="AS1423" s="13"/>
      <c r="AT1423" s="12"/>
      <c r="AU1423" s="12"/>
      <c r="AV1423" s="14"/>
      <c r="AW1423" s="15"/>
      <c r="AX1423" s="15"/>
    </row>
    <row r="1424" ht="15.75" customHeight="1"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3"/>
      <c r="AQ1424" s="13"/>
      <c r="AR1424" s="13"/>
      <c r="AS1424" s="13"/>
      <c r="AT1424" s="12"/>
      <c r="AU1424" s="12"/>
      <c r="AV1424" s="14"/>
      <c r="AW1424" s="15"/>
      <c r="AX1424" s="15"/>
    </row>
    <row r="1425" ht="15.75" customHeight="1"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3"/>
      <c r="AQ1425" s="13"/>
      <c r="AR1425" s="13"/>
      <c r="AS1425" s="13"/>
      <c r="AT1425" s="12"/>
      <c r="AU1425" s="12"/>
      <c r="AV1425" s="14"/>
      <c r="AW1425" s="15"/>
      <c r="AX1425" s="15"/>
    </row>
    <row r="1426" ht="15.75" customHeight="1"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3"/>
      <c r="AQ1426" s="13"/>
      <c r="AR1426" s="13"/>
      <c r="AS1426" s="13"/>
      <c r="AT1426" s="12"/>
      <c r="AU1426" s="12"/>
      <c r="AV1426" s="14"/>
      <c r="AW1426" s="15"/>
      <c r="AX1426" s="15"/>
    </row>
    <row r="1427" ht="15.75" customHeight="1"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3"/>
      <c r="AQ1427" s="13"/>
      <c r="AR1427" s="13"/>
      <c r="AS1427" s="13"/>
      <c r="AT1427" s="12"/>
      <c r="AU1427" s="12"/>
      <c r="AV1427" s="14"/>
      <c r="AW1427" s="15"/>
      <c r="AX1427" s="15"/>
    </row>
    <row r="1428" ht="15.75" customHeight="1"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3"/>
      <c r="AQ1428" s="13"/>
      <c r="AR1428" s="13"/>
      <c r="AS1428" s="13"/>
      <c r="AT1428" s="12"/>
      <c r="AU1428" s="12"/>
      <c r="AV1428" s="14"/>
      <c r="AW1428" s="15"/>
      <c r="AX1428" s="15"/>
    </row>
    <row r="1429" ht="15.75" customHeight="1"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3"/>
      <c r="AQ1429" s="13"/>
      <c r="AR1429" s="13"/>
      <c r="AS1429" s="13"/>
      <c r="AT1429" s="12"/>
      <c r="AU1429" s="12"/>
      <c r="AV1429" s="14"/>
      <c r="AW1429" s="15"/>
      <c r="AX1429" s="15"/>
    </row>
    <row r="1430" ht="15.75" customHeight="1"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3"/>
      <c r="AQ1430" s="13"/>
      <c r="AR1430" s="13"/>
      <c r="AS1430" s="13"/>
      <c r="AT1430" s="12"/>
      <c r="AU1430" s="12"/>
      <c r="AV1430" s="14"/>
      <c r="AW1430" s="15"/>
      <c r="AX1430" s="15"/>
    </row>
    <row r="1431" ht="15.75" customHeight="1"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3"/>
      <c r="AQ1431" s="13"/>
      <c r="AR1431" s="13"/>
      <c r="AS1431" s="13"/>
      <c r="AT1431" s="12"/>
      <c r="AU1431" s="12"/>
      <c r="AV1431" s="14"/>
      <c r="AW1431" s="15"/>
      <c r="AX1431" s="15"/>
    </row>
    <row r="1432" ht="15.75" customHeight="1"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3"/>
      <c r="AQ1432" s="13"/>
      <c r="AR1432" s="13"/>
      <c r="AS1432" s="13"/>
      <c r="AT1432" s="12"/>
      <c r="AU1432" s="12"/>
      <c r="AV1432" s="14"/>
      <c r="AW1432" s="15"/>
      <c r="AX1432" s="15"/>
    </row>
    <row r="1433" ht="15.75" customHeight="1"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3"/>
      <c r="AQ1433" s="13"/>
      <c r="AR1433" s="13"/>
      <c r="AS1433" s="13"/>
      <c r="AT1433" s="12"/>
      <c r="AU1433" s="12"/>
      <c r="AV1433" s="14"/>
      <c r="AW1433" s="15"/>
      <c r="AX1433" s="15"/>
    </row>
    <row r="1434" ht="15.75" customHeight="1"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3"/>
      <c r="AQ1434" s="13"/>
      <c r="AR1434" s="13"/>
      <c r="AS1434" s="13"/>
      <c r="AT1434" s="12"/>
      <c r="AU1434" s="12"/>
      <c r="AV1434" s="14"/>
      <c r="AW1434" s="15"/>
      <c r="AX1434" s="15"/>
    </row>
    <row r="1435" ht="15.75" customHeight="1"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3"/>
      <c r="AQ1435" s="13"/>
      <c r="AR1435" s="13"/>
      <c r="AS1435" s="13"/>
      <c r="AT1435" s="12"/>
      <c r="AU1435" s="12"/>
      <c r="AV1435" s="14"/>
      <c r="AW1435" s="15"/>
      <c r="AX1435" s="15"/>
    </row>
    <row r="1436" ht="15.75" customHeight="1"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3"/>
      <c r="AQ1436" s="13"/>
      <c r="AR1436" s="13"/>
      <c r="AS1436" s="13"/>
      <c r="AT1436" s="12"/>
      <c r="AU1436" s="12"/>
      <c r="AV1436" s="14"/>
      <c r="AW1436" s="15"/>
      <c r="AX1436" s="15"/>
    </row>
    <row r="1437" ht="15.75" customHeight="1"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3"/>
      <c r="AQ1437" s="13"/>
      <c r="AR1437" s="13"/>
      <c r="AS1437" s="13"/>
      <c r="AT1437" s="12"/>
      <c r="AU1437" s="12"/>
      <c r="AV1437" s="14"/>
      <c r="AW1437" s="15"/>
      <c r="AX1437" s="15"/>
    </row>
    <row r="1438" ht="15.75" customHeight="1"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3"/>
      <c r="AQ1438" s="13"/>
      <c r="AR1438" s="13"/>
      <c r="AS1438" s="13"/>
      <c r="AT1438" s="12"/>
      <c r="AU1438" s="12"/>
      <c r="AV1438" s="14"/>
      <c r="AW1438" s="15"/>
      <c r="AX1438" s="15"/>
    </row>
    <row r="1439" ht="15.75" customHeight="1"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3"/>
      <c r="AQ1439" s="13"/>
      <c r="AR1439" s="13"/>
      <c r="AS1439" s="13"/>
      <c r="AT1439" s="12"/>
      <c r="AU1439" s="12"/>
      <c r="AV1439" s="14"/>
      <c r="AW1439" s="15"/>
      <c r="AX1439" s="15"/>
    </row>
    <row r="1440" ht="15.75" customHeight="1"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3"/>
      <c r="AQ1440" s="13"/>
      <c r="AR1440" s="13"/>
      <c r="AS1440" s="13"/>
      <c r="AT1440" s="12"/>
      <c r="AU1440" s="12"/>
      <c r="AV1440" s="14"/>
      <c r="AW1440" s="15"/>
      <c r="AX1440" s="15"/>
    </row>
    <row r="1441" ht="15.75" customHeight="1"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3"/>
      <c r="AQ1441" s="13"/>
      <c r="AR1441" s="13"/>
      <c r="AS1441" s="13"/>
      <c r="AT1441" s="12"/>
      <c r="AU1441" s="12"/>
      <c r="AV1441" s="14"/>
      <c r="AW1441" s="15"/>
      <c r="AX1441" s="15"/>
    </row>
    <row r="1442" ht="15.75" customHeight="1"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3"/>
      <c r="AQ1442" s="13"/>
      <c r="AR1442" s="13"/>
      <c r="AS1442" s="13"/>
      <c r="AT1442" s="12"/>
      <c r="AU1442" s="12"/>
      <c r="AV1442" s="14"/>
      <c r="AW1442" s="15"/>
      <c r="AX1442" s="15"/>
    </row>
    <row r="1443" ht="15.75" customHeight="1"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3"/>
      <c r="AQ1443" s="13"/>
      <c r="AR1443" s="13"/>
      <c r="AS1443" s="13"/>
      <c r="AT1443" s="12"/>
      <c r="AU1443" s="12"/>
      <c r="AV1443" s="14"/>
      <c r="AW1443" s="15"/>
      <c r="AX1443" s="15"/>
    </row>
    <row r="1444" ht="15.75" customHeight="1"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3"/>
      <c r="AQ1444" s="13"/>
      <c r="AR1444" s="13"/>
      <c r="AS1444" s="13"/>
      <c r="AT1444" s="12"/>
      <c r="AU1444" s="12"/>
      <c r="AV1444" s="14"/>
      <c r="AW1444" s="15"/>
      <c r="AX1444" s="15"/>
    </row>
    <row r="1445" ht="15.75" customHeight="1"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3"/>
      <c r="AQ1445" s="13"/>
      <c r="AR1445" s="13"/>
      <c r="AS1445" s="13"/>
      <c r="AT1445" s="12"/>
      <c r="AU1445" s="12"/>
      <c r="AV1445" s="14"/>
      <c r="AW1445" s="15"/>
      <c r="AX1445" s="15"/>
    </row>
    <row r="1446" ht="15.75" customHeight="1"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3"/>
      <c r="AQ1446" s="13"/>
      <c r="AR1446" s="13"/>
      <c r="AS1446" s="13"/>
      <c r="AT1446" s="12"/>
      <c r="AU1446" s="12"/>
      <c r="AV1446" s="14"/>
      <c r="AW1446" s="15"/>
      <c r="AX1446" s="15"/>
    </row>
    <row r="1447" ht="15.75" customHeight="1"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3"/>
      <c r="AQ1447" s="13"/>
      <c r="AR1447" s="13"/>
      <c r="AS1447" s="13"/>
      <c r="AT1447" s="12"/>
      <c r="AU1447" s="12"/>
      <c r="AV1447" s="14"/>
      <c r="AW1447" s="15"/>
      <c r="AX1447" s="15"/>
    </row>
    <row r="1448" ht="15.75" customHeight="1"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3"/>
      <c r="AQ1448" s="13"/>
      <c r="AR1448" s="13"/>
      <c r="AS1448" s="13"/>
      <c r="AT1448" s="12"/>
      <c r="AU1448" s="12"/>
      <c r="AV1448" s="14"/>
      <c r="AW1448" s="15"/>
      <c r="AX1448" s="15"/>
    </row>
    <row r="1449" ht="15.75" customHeight="1"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3"/>
      <c r="AQ1449" s="13"/>
      <c r="AR1449" s="13"/>
      <c r="AS1449" s="13"/>
      <c r="AT1449" s="12"/>
      <c r="AU1449" s="12"/>
      <c r="AV1449" s="14"/>
      <c r="AW1449" s="15"/>
      <c r="AX1449" s="15"/>
    </row>
    <row r="1450" ht="15.75" customHeight="1"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3"/>
      <c r="AQ1450" s="13"/>
      <c r="AR1450" s="13"/>
      <c r="AS1450" s="13"/>
      <c r="AT1450" s="12"/>
      <c r="AU1450" s="12"/>
      <c r="AV1450" s="14"/>
      <c r="AW1450" s="15"/>
      <c r="AX1450" s="15"/>
    </row>
    <row r="1451" ht="15.75" customHeight="1"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3"/>
      <c r="AQ1451" s="13"/>
      <c r="AR1451" s="13"/>
      <c r="AS1451" s="13"/>
      <c r="AT1451" s="12"/>
      <c r="AU1451" s="12"/>
      <c r="AV1451" s="14"/>
      <c r="AW1451" s="15"/>
      <c r="AX1451" s="15"/>
    </row>
    <row r="1452" ht="15.75" customHeight="1"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3"/>
      <c r="AQ1452" s="13"/>
      <c r="AR1452" s="13"/>
      <c r="AS1452" s="13"/>
      <c r="AT1452" s="12"/>
      <c r="AU1452" s="12"/>
      <c r="AV1452" s="14"/>
      <c r="AW1452" s="15"/>
      <c r="AX1452" s="15"/>
    </row>
    <row r="1453" ht="15.75" customHeight="1"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3"/>
      <c r="AQ1453" s="13"/>
      <c r="AR1453" s="13"/>
      <c r="AS1453" s="13"/>
      <c r="AT1453" s="12"/>
      <c r="AU1453" s="12"/>
      <c r="AV1453" s="14"/>
      <c r="AW1453" s="15"/>
      <c r="AX1453" s="15"/>
    </row>
    <row r="1454" ht="15.75" customHeight="1"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3"/>
      <c r="AQ1454" s="13"/>
      <c r="AR1454" s="13"/>
      <c r="AS1454" s="13"/>
      <c r="AT1454" s="12"/>
      <c r="AU1454" s="12"/>
      <c r="AV1454" s="14"/>
      <c r="AW1454" s="15"/>
      <c r="AX1454" s="15"/>
    </row>
    <row r="1455" ht="15.75" customHeight="1"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3"/>
      <c r="AQ1455" s="13"/>
      <c r="AR1455" s="13"/>
      <c r="AS1455" s="13"/>
      <c r="AT1455" s="12"/>
      <c r="AU1455" s="12"/>
      <c r="AV1455" s="14"/>
      <c r="AW1455" s="15"/>
      <c r="AX1455" s="15"/>
    </row>
    <row r="1456" ht="15.75" customHeight="1"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3"/>
      <c r="AQ1456" s="13"/>
      <c r="AR1456" s="13"/>
      <c r="AS1456" s="13"/>
      <c r="AT1456" s="12"/>
      <c r="AU1456" s="12"/>
      <c r="AV1456" s="14"/>
      <c r="AW1456" s="15"/>
      <c r="AX1456" s="15"/>
    </row>
    <row r="1457" ht="15.75" customHeight="1"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3"/>
      <c r="AQ1457" s="13"/>
      <c r="AR1457" s="13"/>
      <c r="AS1457" s="13"/>
      <c r="AT1457" s="12"/>
      <c r="AU1457" s="12"/>
      <c r="AV1457" s="14"/>
      <c r="AW1457" s="15"/>
      <c r="AX1457" s="15"/>
    </row>
    <row r="1458" ht="15.75" customHeight="1"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3"/>
      <c r="AQ1458" s="13"/>
      <c r="AR1458" s="13"/>
      <c r="AS1458" s="13"/>
      <c r="AT1458" s="12"/>
      <c r="AU1458" s="12"/>
      <c r="AV1458" s="14"/>
      <c r="AW1458" s="15"/>
      <c r="AX1458" s="15"/>
    </row>
    <row r="1459" ht="15.75" customHeight="1"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3"/>
      <c r="AQ1459" s="13"/>
      <c r="AR1459" s="13"/>
      <c r="AS1459" s="13"/>
      <c r="AT1459" s="12"/>
      <c r="AU1459" s="12"/>
      <c r="AV1459" s="14"/>
      <c r="AW1459" s="15"/>
      <c r="AX1459" s="15"/>
    </row>
    <row r="1460" ht="15.75" customHeight="1"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3"/>
      <c r="AQ1460" s="13"/>
      <c r="AR1460" s="13"/>
      <c r="AS1460" s="13"/>
      <c r="AT1460" s="12"/>
      <c r="AU1460" s="12"/>
      <c r="AV1460" s="14"/>
      <c r="AW1460" s="15"/>
      <c r="AX1460" s="15"/>
    </row>
    <row r="1461" ht="15.75" customHeight="1"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3"/>
      <c r="AQ1461" s="13"/>
      <c r="AR1461" s="13"/>
      <c r="AS1461" s="13"/>
      <c r="AT1461" s="12"/>
      <c r="AU1461" s="12"/>
      <c r="AV1461" s="14"/>
      <c r="AW1461" s="15"/>
      <c r="AX1461" s="15"/>
    </row>
    <row r="1462" ht="15.75" customHeight="1"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3"/>
      <c r="AQ1462" s="13"/>
      <c r="AR1462" s="13"/>
      <c r="AS1462" s="13"/>
      <c r="AT1462" s="12"/>
      <c r="AU1462" s="12"/>
      <c r="AV1462" s="14"/>
      <c r="AW1462" s="15"/>
      <c r="AX1462" s="15"/>
    </row>
    <row r="1463" ht="15.75" customHeight="1"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3"/>
      <c r="AQ1463" s="13"/>
      <c r="AR1463" s="13"/>
      <c r="AS1463" s="13"/>
      <c r="AT1463" s="12"/>
      <c r="AU1463" s="12"/>
      <c r="AV1463" s="14"/>
      <c r="AW1463" s="15"/>
      <c r="AX1463" s="15"/>
    </row>
    <row r="1464" ht="15.75" customHeight="1"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3"/>
      <c r="AQ1464" s="13"/>
      <c r="AR1464" s="13"/>
      <c r="AS1464" s="13"/>
      <c r="AT1464" s="12"/>
      <c r="AU1464" s="12"/>
      <c r="AV1464" s="14"/>
      <c r="AW1464" s="15"/>
      <c r="AX1464" s="15"/>
    </row>
    <row r="1465" ht="15.75" customHeight="1"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3"/>
      <c r="AQ1465" s="13"/>
      <c r="AR1465" s="13"/>
      <c r="AS1465" s="13"/>
      <c r="AT1465" s="12"/>
      <c r="AU1465" s="12"/>
      <c r="AV1465" s="14"/>
      <c r="AW1465" s="15"/>
      <c r="AX1465" s="15"/>
    </row>
    <row r="1466" ht="15.75" customHeight="1"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3"/>
      <c r="AQ1466" s="13"/>
      <c r="AR1466" s="13"/>
      <c r="AS1466" s="13"/>
      <c r="AT1466" s="12"/>
      <c r="AU1466" s="12"/>
      <c r="AV1466" s="14"/>
      <c r="AW1466" s="15"/>
      <c r="AX1466" s="15"/>
    </row>
    <row r="1467" ht="15.75" customHeight="1"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3"/>
      <c r="AQ1467" s="13"/>
      <c r="AR1467" s="13"/>
      <c r="AS1467" s="13"/>
      <c r="AT1467" s="12"/>
      <c r="AU1467" s="12"/>
      <c r="AV1467" s="14"/>
      <c r="AW1467" s="15"/>
      <c r="AX1467" s="15"/>
    </row>
    <row r="1468" ht="15.75" customHeight="1"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3"/>
      <c r="AQ1468" s="13"/>
      <c r="AR1468" s="13"/>
      <c r="AS1468" s="13"/>
      <c r="AT1468" s="12"/>
      <c r="AU1468" s="12"/>
      <c r="AV1468" s="14"/>
      <c r="AW1468" s="15"/>
      <c r="AX1468" s="15"/>
    </row>
    <row r="1469" ht="15.75" customHeight="1"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3"/>
      <c r="AQ1469" s="13"/>
      <c r="AR1469" s="13"/>
      <c r="AS1469" s="13"/>
      <c r="AT1469" s="12"/>
      <c r="AU1469" s="12"/>
      <c r="AV1469" s="14"/>
      <c r="AW1469" s="15"/>
      <c r="AX1469" s="15"/>
    </row>
    <row r="1470" ht="15.75" customHeight="1"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3"/>
      <c r="AQ1470" s="13"/>
      <c r="AR1470" s="13"/>
      <c r="AS1470" s="13"/>
      <c r="AT1470" s="12"/>
      <c r="AU1470" s="12"/>
      <c r="AV1470" s="14"/>
      <c r="AW1470" s="15"/>
      <c r="AX1470" s="15"/>
    </row>
    <row r="1471" ht="15.75" customHeight="1"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3"/>
      <c r="AQ1471" s="13"/>
      <c r="AR1471" s="13"/>
      <c r="AS1471" s="13"/>
      <c r="AT1471" s="12"/>
      <c r="AU1471" s="12"/>
      <c r="AV1471" s="14"/>
      <c r="AW1471" s="15"/>
      <c r="AX1471" s="15"/>
    </row>
    <row r="1472" ht="15.75" customHeight="1"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3"/>
      <c r="AQ1472" s="13"/>
      <c r="AR1472" s="13"/>
      <c r="AS1472" s="13"/>
      <c r="AT1472" s="12"/>
      <c r="AU1472" s="12"/>
      <c r="AV1472" s="14"/>
      <c r="AW1472" s="15"/>
      <c r="AX1472" s="15"/>
    </row>
    <row r="1473" ht="15.75" customHeight="1"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3"/>
      <c r="AQ1473" s="13"/>
      <c r="AR1473" s="13"/>
      <c r="AS1473" s="13"/>
      <c r="AT1473" s="12"/>
      <c r="AU1473" s="12"/>
      <c r="AV1473" s="14"/>
      <c r="AW1473" s="15"/>
      <c r="AX1473" s="15"/>
    </row>
    <row r="1474" ht="15.75" customHeight="1"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3"/>
      <c r="AQ1474" s="13"/>
      <c r="AR1474" s="13"/>
      <c r="AS1474" s="13"/>
      <c r="AT1474" s="12"/>
      <c r="AU1474" s="12"/>
      <c r="AV1474" s="14"/>
      <c r="AW1474" s="15"/>
      <c r="AX1474" s="15"/>
    </row>
    <row r="1475" ht="15.75" customHeight="1"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3"/>
      <c r="AQ1475" s="13"/>
      <c r="AR1475" s="13"/>
      <c r="AS1475" s="13"/>
      <c r="AT1475" s="12"/>
      <c r="AU1475" s="12"/>
      <c r="AV1475" s="14"/>
      <c r="AW1475" s="15"/>
      <c r="AX1475" s="15"/>
    </row>
    <row r="1476" ht="15.75" customHeight="1"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3"/>
      <c r="AQ1476" s="13"/>
      <c r="AR1476" s="13"/>
      <c r="AS1476" s="13"/>
      <c r="AT1476" s="12"/>
      <c r="AU1476" s="12"/>
      <c r="AV1476" s="14"/>
      <c r="AW1476" s="15"/>
      <c r="AX1476" s="15"/>
    </row>
    <row r="1477" ht="15.75" customHeight="1"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3"/>
      <c r="AQ1477" s="13"/>
      <c r="AR1477" s="13"/>
      <c r="AS1477" s="13"/>
      <c r="AT1477" s="12"/>
      <c r="AU1477" s="12"/>
      <c r="AV1477" s="14"/>
      <c r="AW1477" s="15"/>
      <c r="AX1477" s="15"/>
    </row>
    <row r="1478" ht="15.75" customHeight="1"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3"/>
      <c r="AQ1478" s="13"/>
      <c r="AR1478" s="13"/>
      <c r="AS1478" s="13"/>
      <c r="AT1478" s="12"/>
      <c r="AU1478" s="12"/>
      <c r="AV1478" s="14"/>
      <c r="AW1478" s="15"/>
      <c r="AX1478" s="15"/>
    </row>
    <row r="1479" ht="15.75" customHeight="1"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3"/>
      <c r="AQ1479" s="13"/>
      <c r="AR1479" s="13"/>
      <c r="AS1479" s="13"/>
      <c r="AT1479" s="12"/>
      <c r="AU1479" s="12"/>
      <c r="AV1479" s="14"/>
      <c r="AW1479" s="15"/>
      <c r="AX1479" s="15"/>
    </row>
    <row r="1480" ht="15.75" customHeight="1"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3"/>
      <c r="AQ1480" s="13"/>
      <c r="AR1480" s="13"/>
      <c r="AS1480" s="13"/>
      <c r="AT1480" s="12"/>
      <c r="AU1480" s="12"/>
      <c r="AV1480" s="14"/>
      <c r="AW1480" s="15"/>
      <c r="AX1480" s="15"/>
    </row>
    <row r="1481" ht="15.75" customHeight="1"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3"/>
      <c r="AQ1481" s="13"/>
      <c r="AR1481" s="13"/>
      <c r="AS1481" s="13"/>
      <c r="AT1481" s="12"/>
      <c r="AU1481" s="12"/>
      <c r="AV1481" s="14"/>
      <c r="AW1481" s="15"/>
      <c r="AX1481" s="15"/>
    </row>
    <row r="1482" ht="15.75" customHeight="1"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3"/>
      <c r="AQ1482" s="13"/>
      <c r="AR1482" s="13"/>
      <c r="AS1482" s="13"/>
      <c r="AT1482" s="12"/>
      <c r="AU1482" s="12"/>
      <c r="AV1482" s="14"/>
      <c r="AW1482" s="15"/>
      <c r="AX1482" s="15"/>
    </row>
    <row r="1483" ht="15.75" customHeight="1"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3"/>
      <c r="AQ1483" s="13"/>
      <c r="AR1483" s="13"/>
      <c r="AS1483" s="13"/>
      <c r="AT1483" s="12"/>
      <c r="AU1483" s="12"/>
      <c r="AV1483" s="14"/>
      <c r="AW1483" s="15"/>
      <c r="AX1483" s="15"/>
    </row>
    <row r="1484" ht="15.75" customHeight="1"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3"/>
      <c r="AQ1484" s="13"/>
      <c r="AR1484" s="13"/>
      <c r="AS1484" s="13"/>
      <c r="AT1484" s="12"/>
      <c r="AU1484" s="12"/>
      <c r="AV1484" s="14"/>
      <c r="AW1484" s="15"/>
      <c r="AX1484" s="15"/>
    </row>
    <row r="1485" ht="15.75" customHeight="1"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3"/>
      <c r="AQ1485" s="13"/>
      <c r="AR1485" s="13"/>
      <c r="AS1485" s="13"/>
      <c r="AT1485" s="12"/>
      <c r="AU1485" s="12"/>
      <c r="AV1485" s="14"/>
      <c r="AW1485" s="15"/>
      <c r="AX1485" s="15"/>
    </row>
    <row r="1486" ht="15.75" customHeight="1"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3"/>
      <c r="AQ1486" s="13"/>
      <c r="AR1486" s="13"/>
      <c r="AS1486" s="13"/>
      <c r="AT1486" s="12"/>
      <c r="AU1486" s="12"/>
      <c r="AV1486" s="14"/>
      <c r="AW1486" s="15"/>
      <c r="AX1486" s="15"/>
    </row>
    <row r="1487" ht="15.75" customHeight="1"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3"/>
      <c r="AQ1487" s="13"/>
      <c r="AR1487" s="13"/>
      <c r="AS1487" s="13"/>
      <c r="AT1487" s="12"/>
      <c r="AU1487" s="12"/>
      <c r="AV1487" s="14"/>
      <c r="AW1487" s="15"/>
      <c r="AX1487" s="15"/>
    </row>
    <row r="1488" ht="15.75" customHeight="1"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3"/>
      <c r="AQ1488" s="13"/>
      <c r="AR1488" s="13"/>
      <c r="AS1488" s="13"/>
      <c r="AT1488" s="12"/>
      <c r="AU1488" s="12"/>
      <c r="AV1488" s="14"/>
      <c r="AW1488" s="15"/>
      <c r="AX1488" s="15"/>
    </row>
    <row r="1489" ht="15.75" customHeight="1"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3"/>
      <c r="AQ1489" s="13"/>
      <c r="AR1489" s="13"/>
      <c r="AS1489" s="13"/>
      <c r="AT1489" s="12"/>
      <c r="AU1489" s="12"/>
      <c r="AV1489" s="14"/>
      <c r="AW1489" s="15"/>
      <c r="AX1489" s="15"/>
    </row>
    <row r="1490" ht="15.75" customHeight="1"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3"/>
      <c r="AQ1490" s="13"/>
      <c r="AR1490" s="13"/>
      <c r="AS1490" s="13"/>
      <c r="AT1490" s="12"/>
      <c r="AU1490" s="12"/>
      <c r="AV1490" s="14"/>
      <c r="AW1490" s="15"/>
      <c r="AX1490" s="15"/>
    </row>
    <row r="1491" ht="15.75" customHeight="1"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3"/>
      <c r="AQ1491" s="13"/>
      <c r="AR1491" s="13"/>
      <c r="AS1491" s="13"/>
      <c r="AT1491" s="12"/>
      <c r="AU1491" s="12"/>
      <c r="AV1491" s="14"/>
      <c r="AW1491" s="15"/>
      <c r="AX1491" s="15"/>
    </row>
    <row r="1492" ht="15.75" customHeight="1"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3"/>
      <c r="AQ1492" s="13"/>
      <c r="AR1492" s="13"/>
      <c r="AS1492" s="13"/>
      <c r="AT1492" s="12"/>
      <c r="AU1492" s="12"/>
      <c r="AV1492" s="14"/>
      <c r="AW1492" s="15"/>
      <c r="AX1492" s="15"/>
    </row>
    <row r="1493" ht="15.75" customHeight="1"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3"/>
      <c r="AQ1493" s="13"/>
      <c r="AR1493" s="13"/>
      <c r="AS1493" s="13"/>
      <c r="AT1493" s="12"/>
      <c r="AU1493" s="12"/>
      <c r="AV1493" s="14"/>
      <c r="AW1493" s="15"/>
      <c r="AX1493" s="15"/>
    </row>
    <row r="1494" ht="15.75" customHeight="1"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3"/>
      <c r="AQ1494" s="13"/>
      <c r="AR1494" s="13"/>
      <c r="AS1494" s="13"/>
      <c r="AT1494" s="12"/>
      <c r="AU1494" s="12"/>
      <c r="AV1494" s="14"/>
      <c r="AW1494" s="15"/>
      <c r="AX1494" s="15"/>
    </row>
    <row r="1495" ht="15.75" customHeight="1"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3"/>
      <c r="AQ1495" s="13"/>
      <c r="AR1495" s="13"/>
      <c r="AS1495" s="13"/>
      <c r="AT1495" s="12"/>
      <c r="AU1495" s="12"/>
      <c r="AV1495" s="14"/>
      <c r="AW1495" s="15"/>
      <c r="AX1495" s="15"/>
    </row>
    <row r="1496" ht="15.75" customHeight="1"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3"/>
      <c r="AQ1496" s="13"/>
      <c r="AR1496" s="13"/>
      <c r="AS1496" s="13"/>
      <c r="AT1496" s="12"/>
      <c r="AU1496" s="12"/>
      <c r="AV1496" s="14"/>
      <c r="AW1496" s="15"/>
      <c r="AX1496" s="15"/>
    </row>
    <row r="1497" ht="15.75" customHeight="1"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3"/>
      <c r="AQ1497" s="13"/>
      <c r="AR1497" s="13"/>
      <c r="AS1497" s="13"/>
      <c r="AT1497" s="12"/>
      <c r="AU1497" s="12"/>
      <c r="AV1497" s="14"/>
      <c r="AW1497" s="15"/>
      <c r="AX1497" s="15"/>
    </row>
    <row r="1498" ht="15.75" customHeight="1"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3"/>
      <c r="AQ1498" s="13"/>
      <c r="AR1498" s="13"/>
      <c r="AS1498" s="13"/>
      <c r="AT1498" s="12"/>
      <c r="AU1498" s="12"/>
      <c r="AV1498" s="14"/>
      <c r="AW1498" s="15"/>
      <c r="AX1498" s="15"/>
    </row>
    <row r="1499" ht="15.75" customHeight="1"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3"/>
      <c r="AQ1499" s="13"/>
      <c r="AR1499" s="13"/>
      <c r="AS1499" s="13"/>
      <c r="AT1499" s="12"/>
      <c r="AU1499" s="12"/>
      <c r="AV1499" s="14"/>
      <c r="AW1499" s="15"/>
      <c r="AX1499" s="15"/>
    </row>
    <row r="1500" ht="15.75" customHeight="1"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3"/>
      <c r="AQ1500" s="13"/>
      <c r="AR1500" s="13"/>
      <c r="AS1500" s="13"/>
      <c r="AT1500" s="12"/>
      <c r="AU1500" s="12"/>
      <c r="AV1500" s="14"/>
      <c r="AW1500" s="15"/>
      <c r="AX1500" s="15"/>
    </row>
    <row r="1501" ht="15.75" customHeight="1"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3"/>
      <c r="AQ1501" s="13"/>
      <c r="AR1501" s="13"/>
      <c r="AS1501" s="13"/>
      <c r="AT1501" s="12"/>
      <c r="AU1501" s="12"/>
      <c r="AV1501" s="14"/>
      <c r="AW1501" s="15"/>
      <c r="AX1501" s="15"/>
    </row>
    <row r="1502" ht="15.75" customHeight="1"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3"/>
      <c r="AQ1502" s="13"/>
      <c r="AR1502" s="13"/>
      <c r="AS1502" s="13"/>
      <c r="AT1502" s="12"/>
      <c r="AU1502" s="12"/>
      <c r="AV1502" s="14"/>
      <c r="AW1502" s="15"/>
      <c r="AX1502" s="15"/>
    </row>
    <row r="1503" ht="15.75" customHeight="1"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3"/>
      <c r="AQ1503" s="13"/>
      <c r="AR1503" s="13"/>
      <c r="AS1503" s="13"/>
      <c r="AT1503" s="12"/>
      <c r="AU1503" s="12"/>
      <c r="AV1503" s="14"/>
      <c r="AW1503" s="15"/>
      <c r="AX1503" s="15"/>
    </row>
    <row r="1504" ht="15.75" customHeight="1"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3"/>
      <c r="AQ1504" s="13"/>
      <c r="AR1504" s="13"/>
      <c r="AS1504" s="13"/>
      <c r="AT1504" s="12"/>
      <c r="AU1504" s="12"/>
      <c r="AV1504" s="14"/>
      <c r="AW1504" s="15"/>
      <c r="AX1504" s="15"/>
    </row>
    <row r="1505" ht="15.75" customHeight="1"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3"/>
      <c r="AQ1505" s="13"/>
      <c r="AR1505" s="13"/>
      <c r="AS1505" s="13"/>
      <c r="AT1505" s="12"/>
      <c r="AU1505" s="12"/>
      <c r="AV1505" s="14"/>
      <c r="AW1505" s="15"/>
      <c r="AX1505" s="15"/>
    </row>
    <row r="1506" ht="15.75" customHeight="1"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3"/>
      <c r="AQ1506" s="13"/>
      <c r="AR1506" s="13"/>
      <c r="AS1506" s="13"/>
      <c r="AT1506" s="12"/>
      <c r="AU1506" s="12"/>
      <c r="AV1506" s="14"/>
      <c r="AW1506" s="15"/>
      <c r="AX1506" s="15"/>
    </row>
    <row r="1507" ht="15.75" customHeight="1"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3"/>
      <c r="AQ1507" s="13"/>
      <c r="AR1507" s="13"/>
      <c r="AS1507" s="13"/>
      <c r="AT1507" s="12"/>
      <c r="AU1507" s="12"/>
      <c r="AV1507" s="14"/>
      <c r="AW1507" s="15"/>
      <c r="AX1507" s="15"/>
    </row>
    <row r="1508" ht="15.75" customHeight="1"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3"/>
      <c r="AQ1508" s="13"/>
      <c r="AR1508" s="13"/>
      <c r="AS1508" s="13"/>
      <c r="AT1508" s="12"/>
      <c r="AU1508" s="12"/>
      <c r="AV1508" s="14"/>
      <c r="AW1508" s="15"/>
      <c r="AX1508" s="15"/>
    </row>
    <row r="1509" ht="15.75" customHeight="1"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3"/>
      <c r="AQ1509" s="13"/>
      <c r="AR1509" s="13"/>
      <c r="AS1509" s="13"/>
      <c r="AT1509" s="12"/>
      <c r="AU1509" s="12"/>
      <c r="AV1509" s="14"/>
      <c r="AW1509" s="15"/>
      <c r="AX1509" s="15"/>
    </row>
    <row r="1510" ht="15.75" customHeight="1"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3"/>
      <c r="AQ1510" s="13"/>
      <c r="AR1510" s="13"/>
      <c r="AS1510" s="13"/>
      <c r="AT1510" s="12"/>
      <c r="AU1510" s="12"/>
      <c r="AV1510" s="14"/>
      <c r="AW1510" s="15"/>
      <c r="AX1510" s="15"/>
    </row>
    <row r="1511" ht="15.75" customHeight="1"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3"/>
      <c r="AQ1511" s="13"/>
      <c r="AR1511" s="13"/>
      <c r="AS1511" s="13"/>
      <c r="AT1511" s="12"/>
      <c r="AU1511" s="12"/>
      <c r="AV1511" s="14"/>
      <c r="AW1511" s="15"/>
      <c r="AX1511" s="15"/>
    </row>
    <row r="1512" ht="15.75" customHeight="1"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3"/>
      <c r="AQ1512" s="13"/>
      <c r="AR1512" s="13"/>
      <c r="AS1512" s="13"/>
      <c r="AT1512" s="12"/>
      <c r="AU1512" s="12"/>
      <c r="AV1512" s="14"/>
      <c r="AW1512" s="15"/>
      <c r="AX1512" s="15"/>
    </row>
    <row r="1513" ht="15.75" customHeight="1"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3"/>
      <c r="AQ1513" s="13"/>
      <c r="AR1513" s="13"/>
      <c r="AS1513" s="13"/>
      <c r="AT1513" s="12"/>
      <c r="AU1513" s="12"/>
      <c r="AV1513" s="14"/>
      <c r="AW1513" s="15"/>
      <c r="AX1513" s="15"/>
    </row>
    <row r="1514" ht="15.75" customHeight="1"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3"/>
      <c r="AQ1514" s="13"/>
      <c r="AR1514" s="13"/>
      <c r="AS1514" s="13"/>
      <c r="AT1514" s="12"/>
      <c r="AU1514" s="12"/>
      <c r="AV1514" s="14"/>
      <c r="AW1514" s="15"/>
      <c r="AX1514" s="15"/>
    </row>
    <row r="1515" ht="15.75" customHeight="1"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3"/>
      <c r="AQ1515" s="13"/>
      <c r="AR1515" s="13"/>
      <c r="AS1515" s="13"/>
      <c r="AT1515" s="12"/>
      <c r="AU1515" s="12"/>
      <c r="AV1515" s="14"/>
      <c r="AW1515" s="15"/>
      <c r="AX1515" s="15"/>
    </row>
    <row r="1516" ht="15.75" customHeight="1"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3"/>
      <c r="AQ1516" s="13"/>
      <c r="AR1516" s="13"/>
      <c r="AS1516" s="13"/>
      <c r="AT1516" s="12"/>
      <c r="AU1516" s="12"/>
      <c r="AV1516" s="14"/>
      <c r="AW1516" s="15"/>
      <c r="AX1516" s="15"/>
    </row>
    <row r="1517" ht="15.75" customHeight="1"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3"/>
      <c r="AQ1517" s="13"/>
      <c r="AR1517" s="13"/>
      <c r="AS1517" s="13"/>
      <c r="AT1517" s="12"/>
      <c r="AU1517" s="12"/>
      <c r="AV1517" s="14"/>
      <c r="AW1517" s="15"/>
      <c r="AX1517" s="15"/>
    </row>
    <row r="1518" ht="15.75" customHeight="1"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3"/>
      <c r="AQ1518" s="13"/>
      <c r="AR1518" s="13"/>
      <c r="AS1518" s="13"/>
      <c r="AT1518" s="12"/>
      <c r="AU1518" s="12"/>
      <c r="AV1518" s="14"/>
      <c r="AW1518" s="15"/>
      <c r="AX1518" s="15"/>
    </row>
    <row r="1519" ht="15.75" customHeight="1"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3"/>
      <c r="AQ1519" s="13"/>
      <c r="AR1519" s="13"/>
      <c r="AS1519" s="13"/>
      <c r="AT1519" s="12"/>
      <c r="AU1519" s="12"/>
      <c r="AV1519" s="14"/>
      <c r="AW1519" s="15"/>
      <c r="AX1519" s="15"/>
    </row>
    <row r="1520" ht="15.75" customHeight="1"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3"/>
      <c r="AQ1520" s="13"/>
      <c r="AR1520" s="13"/>
      <c r="AS1520" s="13"/>
      <c r="AT1520" s="12"/>
      <c r="AU1520" s="12"/>
      <c r="AV1520" s="14"/>
      <c r="AW1520" s="15"/>
      <c r="AX1520" s="15"/>
    </row>
    <row r="1521" ht="15.75" customHeight="1"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3"/>
      <c r="AQ1521" s="13"/>
      <c r="AR1521" s="13"/>
      <c r="AS1521" s="13"/>
      <c r="AT1521" s="12"/>
      <c r="AU1521" s="12"/>
      <c r="AV1521" s="14"/>
      <c r="AW1521" s="15"/>
      <c r="AX1521" s="15"/>
    </row>
    <row r="1522" ht="15.75" customHeight="1"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3"/>
      <c r="AQ1522" s="13"/>
      <c r="AR1522" s="13"/>
      <c r="AS1522" s="13"/>
      <c r="AT1522" s="12"/>
      <c r="AU1522" s="12"/>
      <c r="AV1522" s="14"/>
      <c r="AW1522" s="15"/>
      <c r="AX1522" s="15"/>
    </row>
    <row r="1523" ht="15.75" customHeight="1"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3"/>
      <c r="AQ1523" s="13"/>
      <c r="AR1523" s="13"/>
      <c r="AS1523" s="13"/>
      <c r="AT1523" s="12"/>
      <c r="AU1523" s="12"/>
      <c r="AV1523" s="14"/>
      <c r="AW1523" s="15"/>
      <c r="AX1523" s="15"/>
    </row>
    <row r="1524" ht="15.75" customHeight="1"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3"/>
      <c r="AQ1524" s="13"/>
      <c r="AR1524" s="13"/>
      <c r="AS1524" s="13"/>
      <c r="AT1524" s="12"/>
      <c r="AU1524" s="12"/>
      <c r="AV1524" s="14"/>
      <c r="AW1524" s="15"/>
      <c r="AX1524" s="15"/>
    </row>
    <row r="1525" ht="15.75" customHeight="1"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3"/>
      <c r="AQ1525" s="13"/>
      <c r="AR1525" s="13"/>
      <c r="AS1525" s="13"/>
      <c r="AT1525" s="12"/>
      <c r="AU1525" s="12"/>
      <c r="AV1525" s="14"/>
      <c r="AW1525" s="15"/>
      <c r="AX1525" s="15"/>
    </row>
    <row r="1526" ht="15.75" customHeight="1"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3"/>
      <c r="AQ1526" s="13"/>
      <c r="AR1526" s="13"/>
      <c r="AS1526" s="13"/>
      <c r="AT1526" s="12"/>
      <c r="AU1526" s="12"/>
      <c r="AV1526" s="14"/>
      <c r="AW1526" s="15"/>
      <c r="AX1526" s="15"/>
    </row>
    <row r="1527" ht="15.75" customHeight="1"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3"/>
      <c r="AQ1527" s="13"/>
      <c r="AR1527" s="13"/>
      <c r="AS1527" s="13"/>
      <c r="AT1527" s="12"/>
      <c r="AU1527" s="12"/>
      <c r="AV1527" s="14"/>
      <c r="AW1527" s="15"/>
      <c r="AX1527" s="15"/>
    </row>
    <row r="1528" ht="15.75" customHeight="1"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3"/>
      <c r="AQ1528" s="13"/>
      <c r="AR1528" s="13"/>
      <c r="AS1528" s="13"/>
      <c r="AT1528" s="12"/>
      <c r="AU1528" s="12"/>
      <c r="AV1528" s="14"/>
      <c r="AW1528" s="15"/>
      <c r="AX1528" s="15"/>
    </row>
    <row r="1529" ht="15.75" customHeight="1"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3"/>
      <c r="AQ1529" s="13"/>
      <c r="AR1529" s="13"/>
      <c r="AS1529" s="13"/>
      <c r="AT1529" s="12"/>
      <c r="AU1529" s="12"/>
      <c r="AV1529" s="14"/>
      <c r="AW1529" s="15"/>
      <c r="AX1529" s="15"/>
    </row>
    <row r="1530" ht="15.75" customHeight="1"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3"/>
      <c r="AQ1530" s="13"/>
      <c r="AR1530" s="13"/>
      <c r="AS1530" s="13"/>
      <c r="AT1530" s="12"/>
      <c r="AU1530" s="12"/>
      <c r="AV1530" s="14"/>
      <c r="AW1530" s="15"/>
      <c r="AX1530" s="15"/>
    </row>
    <row r="1531" ht="15.75" customHeight="1"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3"/>
      <c r="AQ1531" s="13"/>
      <c r="AR1531" s="13"/>
      <c r="AS1531" s="13"/>
      <c r="AT1531" s="12"/>
      <c r="AU1531" s="12"/>
      <c r="AV1531" s="14"/>
      <c r="AW1531" s="15"/>
      <c r="AX1531" s="15"/>
    </row>
    <row r="1532" ht="15.75" customHeight="1"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3"/>
      <c r="AQ1532" s="13"/>
      <c r="AR1532" s="13"/>
      <c r="AS1532" s="13"/>
      <c r="AT1532" s="12"/>
      <c r="AU1532" s="12"/>
      <c r="AV1532" s="14"/>
      <c r="AW1532" s="15"/>
      <c r="AX1532" s="15"/>
    </row>
    <row r="1533" ht="15.75" customHeight="1"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3"/>
      <c r="AQ1533" s="13"/>
      <c r="AR1533" s="13"/>
      <c r="AS1533" s="13"/>
      <c r="AT1533" s="12"/>
      <c r="AU1533" s="12"/>
      <c r="AV1533" s="14"/>
      <c r="AW1533" s="15"/>
      <c r="AX1533" s="15"/>
    </row>
    <row r="1534" ht="15.75" customHeight="1"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3"/>
      <c r="AQ1534" s="13"/>
      <c r="AR1534" s="13"/>
      <c r="AS1534" s="13"/>
      <c r="AT1534" s="12"/>
      <c r="AU1534" s="12"/>
      <c r="AV1534" s="14"/>
      <c r="AW1534" s="15"/>
      <c r="AX1534" s="15"/>
    </row>
    <row r="1535" ht="15.75" customHeight="1"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3"/>
      <c r="AQ1535" s="13"/>
      <c r="AR1535" s="13"/>
      <c r="AS1535" s="13"/>
      <c r="AT1535" s="12"/>
      <c r="AU1535" s="12"/>
      <c r="AV1535" s="14"/>
      <c r="AW1535" s="15"/>
      <c r="AX1535" s="15"/>
    </row>
    <row r="1536" ht="15.75" customHeight="1"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3"/>
      <c r="AQ1536" s="13"/>
      <c r="AR1536" s="13"/>
      <c r="AS1536" s="13"/>
      <c r="AT1536" s="12"/>
      <c r="AU1536" s="12"/>
      <c r="AV1536" s="14"/>
      <c r="AW1536" s="15"/>
      <c r="AX1536" s="15"/>
    </row>
    <row r="1537" ht="15.75" customHeight="1"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3"/>
      <c r="AQ1537" s="13"/>
      <c r="AR1537" s="13"/>
      <c r="AS1537" s="13"/>
      <c r="AT1537" s="12"/>
      <c r="AU1537" s="12"/>
      <c r="AV1537" s="14"/>
      <c r="AW1537" s="15"/>
      <c r="AX1537" s="15"/>
    </row>
    <row r="1538" ht="15.75" customHeight="1"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3"/>
      <c r="AQ1538" s="13"/>
      <c r="AR1538" s="13"/>
      <c r="AS1538" s="13"/>
      <c r="AT1538" s="12"/>
      <c r="AU1538" s="12"/>
      <c r="AV1538" s="14"/>
      <c r="AW1538" s="15"/>
      <c r="AX1538" s="15"/>
    </row>
    <row r="1539" ht="15.75" customHeight="1"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3"/>
      <c r="AQ1539" s="13"/>
      <c r="AR1539" s="13"/>
      <c r="AS1539" s="13"/>
      <c r="AT1539" s="12"/>
      <c r="AU1539" s="12"/>
      <c r="AV1539" s="14"/>
      <c r="AW1539" s="15"/>
      <c r="AX1539" s="15"/>
    </row>
    <row r="1540" ht="15.75" customHeight="1"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3"/>
      <c r="AQ1540" s="13"/>
      <c r="AR1540" s="13"/>
      <c r="AS1540" s="13"/>
      <c r="AT1540" s="12"/>
      <c r="AU1540" s="12"/>
      <c r="AV1540" s="14"/>
      <c r="AW1540" s="15"/>
      <c r="AX1540" s="15"/>
    </row>
    <row r="1541" ht="15.75" customHeight="1"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3"/>
      <c r="AQ1541" s="13"/>
      <c r="AR1541" s="13"/>
      <c r="AS1541" s="13"/>
      <c r="AT1541" s="12"/>
      <c r="AU1541" s="12"/>
      <c r="AV1541" s="14"/>
      <c r="AW1541" s="15"/>
      <c r="AX1541" s="15"/>
    </row>
    <row r="1542" ht="15.75" customHeight="1"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3"/>
      <c r="AQ1542" s="13"/>
      <c r="AR1542" s="13"/>
      <c r="AS1542" s="13"/>
      <c r="AT1542" s="12"/>
      <c r="AU1542" s="12"/>
      <c r="AV1542" s="14"/>
      <c r="AW1542" s="15"/>
      <c r="AX1542" s="15"/>
    </row>
    <row r="1543" ht="15.75" customHeight="1"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3"/>
      <c r="AQ1543" s="13"/>
      <c r="AR1543" s="13"/>
      <c r="AS1543" s="13"/>
      <c r="AT1543" s="12"/>
      <c r="AU1543" s="12"/>
      <c r="AV1543" s="14"/>
      <c r="AW1543" s="15"/>
      <c r="AX1543" s="15"/>
    </row>
    <row r="1544" ht="15.75" customHeight="1"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3"/>
      <c r="AQ1544" s="13"/>
      <c r="AR1544" s="13"/>
      <c r="AS1544" s="13"/>
      <c r="AT1544" s="12"/>
      <c r="AU1544" s="12"/>
      <c r="AV1544" s="14"/>
      <c r="AW1544" s="15"/>
      <c r="AX1544" s="15"/>
    </row>
    <row r="1545" ht="15.75" customHeight="1"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3"/>
      <c r="AQ1545" s="13"/>
      <c r="AR1545" s="13"/>
      <c r="AS1545" s="13"/>
      <c r="AT1545" s="12"/>
      <c r="AU1545" s="12"/>
      <c r="AV1545" s="14"/>
      <c r="AW1545" s="15"/>
      <c r="AX1545" s="15"/>
    </row>
    <row r="1546" ht="15.75" customHeight="1"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3"/>
      <c r="AQ1546" s="13"/>
      <c r="AR1546" s="13"/>
      <c r="AS1546" s="13"/>
      <c r="AT1546" s="12"/>
      <c r="AU1546" s="12"/>
      <c r="AV1546" s="14"/>
      <c r="AW1546" s="15"/>
      <c r="AX1546" s="15"/>
    </row>
    <row r="1547" ht="15.75" customHeight="1"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3"/>
      <c r="AQ1547" s="13"/>
      <c r="AR1547" s="13"/>
      <c r="AS1547" s="13"/>
      <c r="AT1547" s="12"/>
      <c r="AU1547" s="12"/>
      <c r="AV1547" s="14"/>
      <c r="AW1547" s="15"/>
      <c r="AX1547" s="15"/>
    </row>
    <row r="1548" ht="15.75" customHeight="1"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3"/>
      <c r="AQ1548" s="13"/>
      <c r="AR1548" s="13"/>
      <c r="AS1548" s="13"/>
      <c r="AT1548" s="12"/>
      <c r="AU1548" s="12"/>
      <c r="AV1548" s="14"/>
      <c r="AW1548" s="15"/>
      <c r="AX1548" s="15"/>
    </row>
    <row r="1549" ht="15.75" customHeight="1"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3"/>
      <c r="AQ1549" s="13"/>
      <c r="AR1549" s="13"/>
      <c r="AS1549" s="13"/>
      <c r="AT1549" s="12"/>
      <c r="AU1549" s="12"/>
      <c r="AV1549" s="14"/>
      <c r="AW1549" s="15"/>
      <c r="AX1549" s="15"/>
    </row>
    <row r="1550" ht="15.75" customHeight="1"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3"/>
      <c r="AQ1550" s="13"/>
      <c r="AR1550" s="13"/>
      <c r="AS1550" s="13"/>
      <c r="AT1550" s="12"/>
      <c r="AU1550" s="12"/>
      <c r="AV1550" s="14"/>
      <c r="AW1550" s="15"/>
      <c r="AX1550" s="15"/>
    </row>
    <row r="1551" ht="15.75" customHeight="1"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3"/>
      <c r="AQ1551" s="13"/>
      <c r="AR1551" s="13"/>
      <c r="AS1551" s="13"/>
      <c r="AT1551" s="12"/>
      <c r="AU1551" s="12"/>
      <c r="AV1551" s="14"/>
      <c r="AW1551" s="15"/>
      <c r="AX1551" s="15"/>
    </row>
    <row r="1552" ht="15.75" customHeight="1"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3"/>
      <c r="AQ1552" s="13"/>
      <c r="AR1552" s="13"/>
      <c r="AS1552" s="13"/>
      <c r="AT1552" s="12"/>
      <c r="AU1552" s="12"/>
      <c r="AV1552" s="14"/>
      <c r="AW1552" s="15"/>
      <c r="AX1552" s="15"/>
    </row>
    <row r="1553" ht="15.75" customHeight="1"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3"/>
      <c r="AQ1553" s="13"/>
      <c r="AR1553" s="13"/>
      <c r="AS1553" s="13"/>
      <c r="AT1553" s="12"/>
      <c r="AU1553" s="12"/>
      <c r="AV1553" s="14"/>
      <c r="AW1553" s="15"/>
      <c r="AX1553" s="15"/>
    </row>
    <row r="1554" ht="15.75" customHeight="1"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3"/>
      <c r="AQ1554" s="13"/>
      <c r="AR1554" s="13"/>
      <c r="AS1554" s="13"/>
      <c r="AT1554" s="12"/>
      <c r="AU1554" s="12"/>
      <c r="AV1554" s="14"/>
      <c r="AW1554" s="15"/>
      <c r="AX1554" s="15"/>
    </row>
    <row r="1555" ht="15.75" customHeight="1"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3"/>
      <c r="AQ1555" s="13"/>
      <c r="AR1555" s="13"/>
      <c r="AS1555" s="13"/>
      <c r="AT1555" s="12"/>
      <c r="AU1555" s="12"/>
      <c r="AV1555" s="14"/>
      <c r="AW1555" s="15"/>
      <c r="AX1555" s="15"/>
    </row>
    <row r="1556" ht="15.75" customHeight="1"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3"/>
      <c r="AQ1556" s="13"/>
      <c r="AR1556" s="13"/>
      <c r="AS1556" s="13"/>
      <c r="AT1556" s="12"/>
      <c r="AU1556" s="12"/>
      <c r="AV1556" s="14"/>
      <c r="AW1556" s="15"/>
      <c r="AX1556" s="15"/>
    </row>
    <row r="1557" ht="15.75" customHeight="1"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3"/>
      <c r="AQ1557" s="13"/>
      <c r="AR1557" s="13"/>
      <c r="AS1557" s="13"/>
      <c r="AT1557" s="12"/>
      <c r="AU1557" s="12"/>
      <c r="AV1557" s="14"/>
      <c r="AW1557" s="15"/>
      <c r="AX1557" s="15"/>
    </row>
    <row r="1558" ht="15.75" customHeight="1"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3"/>
      <c r="AQ1558" s="13"/>
      <c r="AR1558" s="13"/>
      <c r="AS1558" s="13"/>
      <c r="AT1558" s="12"/>
      <c r="AU1558" s="12"/>
      <c r="AV1558" s="14"/>
      <c r="AW1558" s="15"/>
      <c r="AX1558" s="15"/>
    </row>
    <row r="1559" ht="15.75" customHeight="1"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3"/>
      <c r="AQ1559" s="13"/>
      <c r="AR1559" s="13"/>
      <c r="AS1559" s="13"/>
      <c r="AT1559" s="12"/>
      <c r="AU1559" s="12"/>
      <c r="AV1559" s="14"/>
      <c r="AW1559" s="15"/>
      <c r="AX1559" s="15"/>
    </row>
    <row r="1560" ht="15.75" customHeight="1"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3"/>
      <c r="AQ1560" s="13"/>
      <c r="AR1560" s="13"/>
      <c r="AS1560" s="13"/>
      <c r="AT1560" s="12"/>
      <c r="AU1560" s="12"/>
      <c r="AV1560" s="14"/>
      <c r="AW1560" s="15"/>
      <c r="AX1560" s="15"/>
    </row>
    <row r="1561" ht="15.75" customHeight="1"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3"/>
      <c r="AQ1561" s="13"/>
      <c r="AR1561" s="13"/>
      <c r="AS1561" s="13"/>
      <c r="AT1561" s="12"/>
      <c r="AU1561" s="12"/>
      <c r="AV1561" s="14"/>
      <c r="AW1561" s="15"/>
      <c r="AX1561" s="15"/>
    </row>
    <row r="1562" ht="15.75" customHeight="1"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3"/>
      <c r="AQ1562" s="13"/>
      <c r="AR1562" s="13"/>
      <c r="AS1562" s="13"/>
      <c r="AT1562" s="12"/>
      <c r="AU1562" s="12"/>
      <c r="AV1562" s="14"/>
      <c r="AW1562" s="15"/>
      <c r="AX1562" s="15"/>
    </row>
    <row r="1563" ht="15.75" customHeight="1"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3"/>
      <c r="AQ1563" s="13"/>
      <c r="AR1563" s="13"/>
      <c r="AS1563" s="13"/>
      <c r="AT1563" s="12"/>
      <c r="AU1563" s="12"/>
      <c r="AV1563" s="14"/>
      <c r="AW1563" s="15"/>
      <c r="AX1563" s="15"/>
    </row>
    <row r="1564" ht="15.75" customHeight="1"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3"/>
      <c r="AQ1564" s="13"/>
      <c r="AR1564" s="13"/>
      <c r="AS1564" s="13"/>
      <c r="AT1564" s="12"/>
      <c r="AU1564" s="12"/>
      <c r="AV1564" s="14"/>
      <c r="AW1564" s="15"/>
      <c r="AX1564" s="15"/>
    </row>
    <row r="1565" ht="15.75" customHeight="1"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3"/>
      <c r="AQ1565" s="13"/>
      <c r="AR1565" s="13"/>
      <c r="AS1565" s="13"/>
      <c r="AT1565" s="12"/>
      <c r="AU1565" s="12"/>
      <c r="AV1565" s="14"/>
      <c r="AW1565" s="15"/>
      <c r="AX1565" s="15"/>
    </row>
    <row r="1566" ht="15.75" customHeight="1"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3"/>
      <c r="AQ1566" s="13"/>
      <c r="AR1566" s="13"/>
      <c r="AS1566" s="13"/>
      <c r="AT1566" s="12"/>
      <c r="AU1566" s="12"/>
      <c r="AV1566" s="14"/>
      <c r="AW1566" s="15"/>
      <c r="AX1566" s="15"/>
    </row>
    <row r="1567" ht="15.75" customHeight="1"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3"/>
      <c r="AQ1567" s="13"/>
      <c r="AR1567" s="13"/>
      <c r="AS1567" s="13"/>
      <c r="AT1567" s="12"/>
      <c r="AU1567" s="12"/>
      <c r="AV1567" s="14"/>
      <c r="AW1567" s="15"/>
      <c r="AX1567" s="15"/>
    </row>
    <row r="1568" ht="15.75" customHeight="1"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3"/>
      <c r="AQ1568" s="13"/>
      <c r="AR1568" s="13"/>
      <c r="AS1568" s="13"/>
      <c r="AT1568" s="12"/>
      <c r="AU1568" s="12"/>
      <c r="AV1568" s="14"/>
      <c r="AW1568" s="15"/>
      <c r="AX1568" s="15"/>
    </row>
    <row r="1569" ht="15.75" customHeight="1"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3"/>
      <c r="AQ1569" s="13"/>
      <c r="AR1569" s="13"/>
      <c r="AS1569" s="13"/>
      <c r="AT1569" s="12"/>
      <c r="AU1569" s="12"/>
      <c r="AV1569" s="14"/>
      <c r="AW1569" s="15"/>
      <c r="AX1569" s="15"/>
    </row>
    <row r="1570" ht="15.75" customHeight="1"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3"/>
      <c r="AQ1570" s="13"/>
      <c r="AR1570" s="13"/>
      <c r="AS1570" s="13"/>
      <c r="AT1570" s="12"/>
      <c r="AU1570" s="12"/>
      <c r="AV1570" s="14"/>
      <c r="AW1570" s="15"/>
      <c r="AX1570" s="15"/>
    </row>
    <row r="1571" ht="15.75" customHeight="1"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3"/>
      <c r="AQ1571" s="13"/>
      <c r="AR1571" s="13"/>
      <c r="AS1571" s="13"/>
      <c r="AT1571" s="12"/>
      <c r="AU1571" s="12"/>
      <c r="AV1571" s="14"/>
      <c r="AW1571" s="15"/>
      <c r="AX1571" s="15"/>
    </row>
    <row r="1572" ht="15.75" customHeight="1"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3"/>
      <c r="AQ1572" s="13"/>
      <c r="AR1572" s="13"/>
      <c r="AS1572" s="13"/>
      <c r="AT1572" s="12"/>
      <c r="AU1572" s="12"/>
      <c r="AV1572" s="14"/>
      <c r="AW1572" s="15"/>
      <c r="AX1572" s="15"/>
    </row>
    <row r="1573" ht="15.75" customHeight="1"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3"/>
      <c r="AQ1573" s="13"/>
      <c r="AR1573" s="13"/>
      <c r="AS1573" s="13"/>
      <c r="AT1573" s="12"/>
      <c r="AU1573" s="12"/>
      <c r="AV1573" s="14"/>
      <c r="AW1573" s="15"/>
      <c r="AX1573" s="15"/>
    </row>
    <row r="1574" ht="15.75" customHeight="1"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3"/>
      <c r="AQ1574" s="13"/>
      <c r="AR1574" s="13"/>
      <c r="AS1574" s="13"/>
      <c r="AT1574" s="12"/>
      <c r="AU1574" s="12"/>
      <c r="AV1574" s="14"/>
      <c r="AW1574" s="15"/>
      <c r="AX1574" s="15"/>
    </row>
    <row r="1575" ht="15.75" customHeight="1"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3"/>
      <c r="AQ1575" s="13"/>
      <c r="AR1575" s="13"/>
      <c r="AS1575" s="13"/>
      <c r="AT1575" s="12"/>
      <c r="AU1575" s="12"/>
      <c r="AV1575" s="14"/>
      <c r="AW1575" s="15"/>
      <c r="AX1575" s="15"/>
    </row>
    <row r="1576" ht="15.75" customHeight="1"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3"/>
      <c r="AQ1576" s="13"/>
      <c r="AR1576" s="13"/>
      <c r="AS1576" s="13"/>
      <c r="AT1576" s="12"/>
      <c r="AU1576" s="12"/>
      <c r="AV1576" s="14"/>
      <c r="AW1576" s="15"/>
      <c r="AX1576" s="15"/>
    </row>
    <row r="1577" ht="15.75" customHeight="1"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3"/>
      <c r="AQ1577" s="13"/>
      <c r="AR1577" s="13"/>
      <c r="AS1577" s="13"/>
      <c r="AT1577" s="12"/>
      <c r="AU1577" s="12"/>
      <c r="AV1577" s="14"/>
      <c r="AW1577" s="15"/>
      <c r="AX1577" s="15"/>
    </row>
    <row r="1578" ht="15.75" customHeight="1"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3"/>
      <c r="AQ1578" s="13"/>
      <c r="AR1578" s="13"/>
      <c r="AS1578" s="13"/>
      <c r="AT1578" s="12"/>
      <c r="AU1578" s="12"/>
      <c r="AV1578" s="14"/>
      <c r="AW1578" s="15"/>
      <c r="AX1578" s="15"/>
    </row>
    <row r="1579" ht="15.75" customHeight="1"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3"/>
      <c r="AQ1579" s="13"/>
      <c r="AR1579" s="13"/>
      <c r="AS1579" s="13"/>
      <c r="AT1579" s="12"/>
      <c r="AU1579" s="12"/>
      <c r="AV1579" s="14"/>
      <c r="AW1579" s="15"/>
      <c r="AX1579" s="15"/>
    </row>
    <row r="1580" ht="15.75" customHeight="1"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3"/>
      <c r="AQ1580" s="13"/>
      <c r="AR1580" s="13"/>
      <c r="AS1580" s="13"/>
      <c r="AT1580" s="12"/>
      <c r="AU1580" s="12"/>
      <c r="AV1580" s="14"/>
      <c r="AW1580" s="15"/>
      <c r="AX1580" s="15"/>
    </row>
    <row r="1581" ht="15.75" customHeight="1"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3"/>
      <c r="AQ1581" s="13"/>
      <c r="AR1581" s="13"/>
      <c r="AS1581" s="13"/>
      <c r="AT1581" s="12"/>
      <c r="AU1581" s="12"/>
      <c r="AV1581" s="14"/>
      <c r="AW1581" s="15"/>
      <c r="AX1581" s="15"/>
    </row>
    <row r="1582" ht="15.75" customHeight="1"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3"/>
      <c r="AQ1582" s="13"/>
      <c r="AR1582" s="13"/>
      <c r="AS1582" s="13"/>
      <c r="AT1582" s="12"/>
      <c r="AU1582" s="12"/>
      <c r="AV1582" s="14"/>
      <c r="AW1582" s="15"/>
      <c r="AX1582" s="15"/>
    </row>
    <row r="1583" ht="15.75" customHeight="1"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3"/>
      <c r="AQ1583" s="13"/>
      <c r="AR1583" s="13"/>
      <c r="AS1583" s="13"/>
      <c r="AT1583" s="12"/>
      <c r="AU1583" s="12"/>
      <c r="AV1583" s="14"/>
      <c r="AW1583" s="15"/>
      <c r="AX1583" s="15"/>
    </row>
    <row r="1584" ht="15.75" customHeight="1"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3"/>
      <c r="AQ1584" s="13"/>
      <c r="AR1584" s="13"/>
      <c r="AS1584" s="13"/>
      <c r="AT1584" s="12"/>
      <c r="AU1584" s="12"/>
      <c r="AV1584" s="14"/>
      <c r="AW1584" s="15"/>
      <c r="AX1584" s="15"/>
    </row>
    <row r="1585" ht="15.75" customHeight="1"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3"/>
      <c r="AQ1585" s="13"/>
      <c r="AR1585" s="13"/>
      <c r="AS1585" s="13"/>
      <c r="AT1585" s="12"/>
      <c r="AU1585" s="12"/>
      <c r="AV1585" s="14"/>
      <c r="AW1585" s="15"/>
      <c r="AX1585" s="15"/>
    </row>
    <row r="1586" ht="15.75" customHeight="1"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3"/>
      <c r="AQ1586" s="13"/>
      <c r="AR1586" s="13"/>
      <c r="AS1586" s="13"/>
      <c r="AT1586" s="12"/>
      <c r="AU1586" s="12"/>
      <c r="AV1586" s="14"/>
      <c r="AW1586" s="15"/>
      <c r="AX1586" s="15"/>
    </row>
    <row r="1587" ht="15.75" customHeight="1"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3"/>
      <c r="AQ1587" s="13"/>
      <c r="AR1587" s="13"/>
      <c r="AS1587" s="13"/>
      <c r="AT1587" s="12"/>
      <c r="AU1587" s="12"/>
      <c r="AV1587" s="14"/>
      <c r="AW1587" s="15"/>
      <c r="AX1587" s="15"/>
    </row>
    <row r="1588" ht="15.75" customHeight="1"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3"/>
      <c r="AQ1588" s="13"/>
      <c r="AR1588" s="13"/>
      <c r="AS1588" s="13"/>
      <c r="AT1588" s="12"/>
      <c r="AU1588" s="12"/>
      <c r="AV1588" s="14"/>
      <c r="AW1588" s="15"/>
      <c r="AX1588" s="15"/>
    </row>
    <row r="1589" ht="15.75" customHeight="1"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3"/>
      <c r="AQ1589" s="13"/>
      <c r="AR1589" s="13"/>
      <c r="AS1589" s="13"/>
      <c r="AT1589" s="12"/>
      <c r="AU1589" s="12"/>
      <c r="AV1589" s="14"/>
      <c r="AW1589" s="15"/>
      <c r="AX1589" s="15"/>
    </row>
    <row r="1590" ht="15.75" customHeight="1"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3"/>
      <c r="AQ1590" s="13"/>
      <c r="AR1590" s="13"/>
      <c r="AS1590" s="13"/>
      <c r="AT1590" s="12"/>
      <c r="AU1590" s="12"/>
      <c r="AV1590" s="14"/>
      <c r="AW1590" s="15"/>
      <c r="AX1590" s="15"/>
    </row>
    <row r="1591" ht="15.75" customHeight="1"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3"/>
      <c r="AQ1591" s="13"/>
      <c r="AR1591" s="13"/>
      <c r="AS1591" s="13"/>
      <c r="AT1591" s="12"/>
      <c r="AU1591" s="12"/>
      <c r="AV1591" s="14"/>
      <c r="AW1591" s="15"/>
      <c r="AX1591" s="15"/>
    </row>
    <row r="1592" ht="15.75" customHeight="1"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3"/>
      <c r="AQ1592" s="13"/>
      <c r="AR1592" s="13"/>
      <c r="AS1592" s="13"/>
      <c r="AT1592" s="12"/>
      <c r="AU1592" s="12"/>
      <c r="AV1592" s="14"/>
      <c r="AW1592" s="15"/>
      <c r="AX1592" s="15"/>
    </row>
    <row r="1593" ht="15.75" customHeight="1"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3"/>
      <c r="AQ1593" s="13"/>
      <c r="AR1593" s="13"/>
      <c r="AS1593" s="13"/>
      <c r="AT1593" s="12"/>
      <c r="AU1593" s="12"/>
      <c r="AV1593" s="14"/>
      <c r="AW1593" s="15"/>
      <c r="AX1593" s="15"/>
    </row>
    <row r="1594" ht="15.75" customHeight="1"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3"/>
      <c r="AQ1594" s="13"/>
      <c r="AR1594" s="13"/>
      <c r="AS1594" s="13"/>
      <c r="AT1594" s="12"/>
      <c r="AU1594" s="12"/>
      <c r="AV1594" s="14"/>
      <c r="AW1594" s="15"/>
      <c r="AX1594" s="15"/>
    </row>
    <row r="1595" ht="15.75" customHeight="1"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3"/>
      <c r="AQ1595" s="13"/>
      <c r="AR1595" s="13"/>
      <c r="AS1595" s="13"/>
      <c r="AT1595" s="12"/>
      <c r="AU1595" s="12"/>
      <c r="AV1595" s="14"/>
      <c r="AW1595" s="15"/>
      <c r="AX1595" s="15"/>
    </row>
    <row r="1596" ht="15.75" customHeight="1"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3"/>
      <c r="AQ1596" s="13"/>
      <c r="AR1596" s="13"/>
      <c r="AS1596" s="13"/>
      <c r="AT1596" s="12"/>
      <c r="AU1596" s="12"/>
      <c r="AV1596" s="14"/>
      <c r="AW1596" s="15"/>
      <c r="AX1596" s="15"/>
    </row>
    <row r="1597" ht="15.75" customHeight="1"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3"/>
      <c r="AQ1597" s="13"/>
      <c r="AR1597" s="13"/>
      <c r="AS1597" s="13"/>
      <c r="AT1597" s="12"/>
      <c r="AU1597" s="12"/>
      <c r="AV1597" s="14"/>
      <c r="AW1597" s="15"/>
      <c r="AX1597" s="15"/>
    </row>
    <row r="1598" ht="15.75" customHeight="1"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3"/>
      <c r="AQ1598" s="13"/>
      <c r="AR1598" s="13"/>
      <c r="AS1598" s="13"/>
      <c r="AT1598" s="12"/>
      <c r="AU1598" s="12"/>
      <c r="AV1598" s="14"/>
      <c r="AW1598" s="15"/>
      <c r="AX1598" s="15"/>
    </row>
    <row r="1599" ht="15.75" customHeight="1"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3"/>
      <c r="AQ1599" s="13"/>
      <c r="AR1599" s="13"/>
      <c r="AS1599" s="13"/>
      <c r="AT1599" s="12"/>
      <c r="AU1599" s="12"/>
      <c r="AV1599" s="14"/>
      <c r="AW1599" s="15"/>
      <c r="AX1599" s="15"/>
    </row>
    <row r="1600" ht="15.75" customHeight="1"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3"/>
      <c r="AQ1600" s="13"/>
      <c r="AR1600" s="13"/>
      <c r="AS1600" s="13"/>
      <c r="AT1600" s="12"/>
      <c r="AU1600" s="12"/>
      <c r="AV1600" s="14"/>
      <c r="AW1600" s="15"/>
      <c r="AX1600" s="15"/>
    </row>
    <row r="1601" ht="15.75" customHeight="1"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3"/>
      <c r="AQ1601" s="13"/>
      <c r="AR1601" s="13"/>
      <c r="AS1601" s="13"/>
      <c r="AT1601" s="12"/>
      <c r="AU1601" s="12"/>
      <c r="AV1601" s="14"/>
      <c r="AW1601" s="15"/>
      <c r="AX1601" s="15"/>
    </row>
    <row r="1602" ht="15.75" customHeight="1"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3"/>
      <c r="AQ1602" s="13"/>
      <c r="AR1602" s="13"/>
      <c r="AS1602" s="13"/>
      <c r="AT1602" s="12"/>
      <c r="AU1602" s="12"/>
      <c r="AV1602" s="14"/>
      <c r="AW1602" s="15"/>
      <c r="AX1602" s="15"/>
    </row>
    <row r="1603" ht="15.75" customHeight="1"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3"/>
      <c r="AQ1603" s="13"/>
      <c r="AR1603" s="13"/>
      <c r="AS1603" s="13"/>
      <c r="AT1603" s="12"/>
      <c r="AU1603" s="12"/>
      <c r="AV1603" s="14"/>
      <c r="AW1603" s="15"/>
      <c r="AX1603" s="15"/>
    </row>
    <row r="1604" ht="15.75" customHeight="1"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3"/>
      <c r="AQ1604" s="13"/>
      <c r="AR1604" s="13"/>
      <c r="AS1604" s="13"/>
      <c r="AT1604" s="12"/>
      <c r="AU1604" s="12"/>
      <c r="AV1604" s="14"/>
      <c r="AW1604" s="15"/>
      <c r="AX1604" s="15"/>
    </row>
    <row r="1605" ht="15.75" customHeight="1"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3"/>
      <c r="AQ1605" s="13"/>
      <c r="AR1605" s="13"/>
      <c r="AS1605" s="13"/>
      <c r="AT1605" s="12"/>
      <c r="AU1605" s="12"/>
      <c r="AV1605" s="14"/>
      <c r="AW1605" s="15"/>
      <c r="AX1605" s="15"/>
    </row>
    <row r="1606" ht="15.75" customHeight="1"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3"/>
      <c r="AQ1606" s="13"/>
      <c r="AR1606" s="13"/>
      <c r="AS1606" s="13"/>
      <c r="AT1606" s="12"/>
      <c r="AU1606" s="12"/>
      <c r="AV1606" s="14"/>
      <c r="AW1606" s="15"/>
      <c r="AX1606" s="15"/>
    </row>
    <row r="1607" ht="15.75" customHeight="1"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3"/>
      <c r="AQ1607" s="13"/>
      <c r="AR1607" s="13"/>
      <c r="AS1607" s="13"/>
      <c r="AT1607" s="12"/>
      <c r="AU1607" s="12"/>
      <c r="AV1607" s="14"/>
      <c r="AW1607" s="15"/>
      <c r="AX1607" s="15"/>
    </row>
    <row r="1608" ht="15.75" customHeight="1"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3"/>
      <c r="AQ1608" s="13"/>
      <c r="AR1608" s="13"/>
      <c r="AS1608" s="13"/>
      <c r="AT1608" s="12"/>
      <c r="AU1608" s="12"/>
      <c r="AV1608" s="14"/>
      <c r="AW1608" s="15"/>
      <c r="AX1608" s="15"/>
    </row>
    <row r="1609" ht="15.75" customHeight="1"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3"/>
      <c r="AQ1609" s="13"/>
      <c r="AR1609" s="13"/>
      <c r="AS1609" s="13"/>
      <c r="AT1609" s="12"/>
      <c r="AU1609" s="12"/>
      <c r="AV1609" s="14"/>
      <c r="AW1609" s="15"/>
      <c r="AX1609" s="15"/>
    </row>
    <row r="1610" ht="15.75" customHeight="1"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3"/>
      <c r="AQ1610" s="13"/>
      <c r="AR1610" s="13"/>
      <c r="AS1610" s="13"/>
      <c r="AT1610" s="12"/>
      <c r="AU1610" s="12"/>
      <c r="AV1610" s="14"/>
      <c r="AW1610" s="15"/>
      <c r="AX1610" s="15"/>
    </row>
    <row r="1611" ht="15.75" customHeight="1"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3"/>
      <c r="AQ1611" s="13"/>
      <c r="AR1611" s="13"/>
      <c r="AS1611" s="13"/>
      <c r="AT1611" s="12"/>
      <c r="AU1611" s="12"/>
      <c r="AV1611" s="14"/>
      <c r="AW1611" s="15"/>
      <c r="AX1611" s="15"/>
    </row>
    <row r="1612" ht="15.75" customHeight="1"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3"/>
      <c r="AQ1612" s="13"/>
      <c r="AR1612" s="13"/>
      <c r="AS1612" s="13"/>
      <c r="AT1612" s="12"/>
      <c r="AU1612" s="12"/>
      <c r="AV1612" s="14"/>
      <c r="AW1612" s="15"/>
      <c r="AX1612" s="15"/>
    </row>
    <row r="1613" ht="15.75" customHeight="1"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3"/>
      <c r="AQ1613" s="13"/>
      <c r="AR1613" s="13"/>
      <c r="AS1613" s="13"/>
      <c r="AT1613" s="12"/>
      <c r="AU1613" s="12"/>
      <c r="AV1613" s="14"/>
      <c r="AW1613" s="15"/>
      <c r="AX1613" s="15"/>
    </row>
    <row r="1614" ht="15.75" customHeight="1"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3"/>
      <c r="AQ1614" s="13"/>
      <c r="AR1614" s="13"/>
      <c r="AS1614" s="13"/>
      <c r="AT1614" s="12"/>
      <c r="AU1614" s="12"/>
      <c r="AV1614" s="14"/>
      <c r="AW1614" s="15"/>
      <c r="AX1614" s="15"/>
    </row>
    <row r="1615" ht="15.75" customHeight="1"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3"/>
      <c r="AQ1615" s="13"/>
      <c r="AR1615" s="13"/>
      <c r="AS1615" s="13"/>
      <c r="AT1615" s="12"/>
      <c r="AU1615" s="12"/>
      <c r="AV1615" s="14"/>
      <c r="AW1615" s="15"/>
      <c r="AX1615" s="15"/>
    </row>
    <row r="1616" ht="15.75" customHeight="1"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3"/>
      <c r="AQ1616" s="13"/>
      <c r="AR1616" s="13"/>
      <c r="AS1616" s="13"/>
      <c r="AT1616" s="12"/>
      <c r="AU1616" s="12"/>
      <c r="AV1616" s="14"/>
      <c r="AW1616" s="15"/>
      <c r="AX1616" s="15"/>
    </row>
    <row r="1617" ht="15.75" customHeight="1"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3"/>
      <c r="AQ1617" s="13"/>
      <c r="AR1617" s="13"/>
      <c r="AS1617" s="13"/>
      <c r="AT1617" s="12"/>
      <c r="AU1617" s="12"/>
      <c r="AV1617" s="14"/>
      <c r="AW1617" s="15"/>
      <c r="AX1617" s="15"/>
    </row>
    <row r="1618" ht="15.75" customHeight="1"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3"/>
      <c r="AQ1618" s="13"/>
      <c r="AR1618" s="13"/>
      <c r="AS1618" s="13"/>
      <c r="AT1618" s="12"/>
      <c r="AU1618" s="12"/>
      <c r="AV1618" s="14"/>
      <c r="AW1618" s="15"/>
      <c r="AX1618" s="15"/>
    </row>
    <row r="1619" ht="15.75" customHeight="1"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3"/>
      <c r="AQ1619" s="13"/>
      <c r="AR1619" s="13"/>
      <c r="AS1619" s="13"/>
      <c r="AT1619" s="12"/>
      <c r="AU1619" s="12"/>
      <c r="AV1619" s="14"/>
      <c r="AW1619" s="15"/>
      <c r="AX1619" s="15"/>
    </row>
    <row r="1620" ht="15.75" customHeight="1"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3"/>
      <c r="AQ1620" s="13"/>
      <c r="AR1620" s="13"/>
      <c r="AS1620" s="13"/>
      <c r="AT1620" s="12"/>
      <c r="AU1620" s="12"/>
      <c r="AV1620" s="14"/>
      <c r="AW1620" s="15"/>
      <c r="AX1620" s="15"/>
    </row>
    <row r="1621" ht="15.75" customHeight="1"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3"/>
      <c r="AQ1621" s="13"/>
      <c r="AR1621" s="13"/>
      <c r="AS1621" s="13"/>
      <c r="AT1621" s="12"/>
      <c r="AU1621" s="12"/>
      <c r="AV1621" s="14"/>
      <c r="AW1621" s="15"/>
      <c r="AX1621" s="15"/>
    </row>
    <row r="1622" ht="15.75" customHeight="1"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3"/>
      <c r="AQ1622" s="13"/>
      <c r="AR1622" s="13"/>
      <c r="AS1622" s="13"/>
      <c r="AT1622" s="12"/>
      <c r="AU1622" s="12"/>
      <c r="AV1622" s="14"/>
      <c r="AW1622" s="15"/>
      <c r="AX1622" s="15"/>
    </row>
    <row r="1623" ht="15.75" customHeight="1"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3"/>
      <c r="AQ1623" s="13"/>
      <c r="AR1623" s="13"/>
      <c r="AS1623" s="13"/>
      <c r="AT1623" s="12"/>
      <c r="AU1623" s="12"/>
      <c r="AV1623" s="14"/>
      <c r="AW1623" s="15"/>
      <c r="AX1623" s="15"/>
    </row>
    <row r="1624" ht="15.75" customHeight="1"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3"/>
      <c r="AQ1624" s="13"/>
      <c r="AR1624" s="13"/>
      <c r="AS1624" s="13"/>
      <c r="AT1624" s="12"/>
      <c r="AU1624" s="12"/>
      <c r="AV1624" s="14"/>
      <c r="AW1624" s="15"/>
      <c r="AX1624" s="15"/>
    </row>
    <row r="1625" ht="15.75" customHeight="1"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3"/>
      <c r="AQ1625" s="13"/>
      <c r="AR1625" s="13"/>
      <c r="AS1625" s="13"/>
      <c r="AT1625" s="12"/>
      <c r="AU1625" s="12"/>
      <c r="AV1625" s="14"/>
      <c r="AW1625" s="15"/>
      <c r="AX1625" s="15"/>
    </row>
    <row r="1626" ht="15.75" customHeight="1"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3"/>
      <c r="AQ1626" s="13"/>
      <c r="AR1626" s="13"/>
      <c r="AS1626" s="13"/>
      <c r="AT1626" s="12"/>
      <c r="AU1626" s="12"/>
      <c r="AV1626" s="14"/>
      <c r="AW1626" s="15"/>
      <c r="AX1626" s="15"/>
    </row>
    <row r="1627" ht="15.75" customHeight="1"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3"/>
      <c r="AQ1627" s="13"/>
      <c r="AR1627" s="13"/>
      <c r="AS1627" s="13"/>
      <c r="AT1627" s="12"/>
      <c r="AU1627" s="12"/>
      <c r="AV1627" s="14"/>
      <c r="AW1627" s="15"/>
      <c r="AX1627" s="15"/>
    </row>
    <row r="1628" ht="15.75" customHeight="1"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3"/>
      <c r="AQ1628" s="13"/>
      <c r="AR1628" s="13"/>
      <c r="AS1628" s="13"/>
      <c r="AT1628" s="12"/>
      <c r="AU1628" s="12"/>
      <c r="AV1628" s="14"/>
      <c r="AW1628" s="15"/>
      <c r="AX1628" s="15"/>
    </row>
    <row r="1629" ht="15.75" customHeight="1"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3"/>
      <c r="AQ1629" s="13"/>
      <c r="AR1629" s="13"/>
      <c r="AS1629" s="13"/>
      <c r="AT1629" s="12"/>
      <c r="AU1629" s="12"/>
      <c r="AV1629" s="14"/>
      <c r="AW1629" s="15"/>
      <c r="AX1629" s="15"/>
    </row>
    <row r="1630" ht="15.75" customHeight="1"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3"/>
      <c r="AQ1630" s="13"/>
      <c r="AR1630" s="13"/>
      <c r="AS1630" s="13"/>
      <c r="AT1630" s="12"/>
      <c r="AU1630" s="12"/>
      <c r="AV1630" s="14"/>
      <c r="AW1630" s="15"/>
      <c r="AX1630" s="15"/>
    </row>
    <row r="1631" ht="15.75" customHeight="1"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3"/>
      <c r="AQ1631" s="13"/>
      <c r="AR1631" s="13"/>
      <c r="AS1631" s="13"/>
      <c r="AT1631" s="12"/>
      <c r="AU1631" s="12"/>
      <c r="AV1631" s="14"/>
      <c r="AW1631" s="15"/>
      <c r="AX1631" s="15"/>
    </row>
    <row r="1632" ht="15.75" customHeight="1"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3"/>
      <c r="AQ1632" s="13"/>
      <c r="AR1632" s="13"/>
      <c r="AS1632" s="13"/>
      <c r="AT1632" s="12"/>
      <c r="AU1632" s="12"/>
      <c r="AV1632" s="14"/>
      <c r="AW1632" s="15"/>
      <c r="AX1632" s="15"/>
    </row>
    <row r="1633" ht="15.75" customHeight="1"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3"/>
      <c r="AQ1633" s="13"/>
      <c r="AR1633" s="13"/>
      <c r="AS1633" s="13"/>
      <c r="AT1633" s="12"/>
      <c r="AU1633" s="12"/>
      <c r="AV1633" s="14"/>
      <c r="AW1633" s="15"/>
      <c r="AX1633" s="15"/>
    </row>
    <row r="1634" ht="15.75" customHeight="1"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3"/>
      <c r="AQ1634" s="13"/>
      <c r="AR1634" s="13"/>
      <c r="AS1634" s="13"/>
      <c r="AT1634" s="12"/>
      <c r="AU1634" s="12"/>
      <c r="AV1634" s="14"/>
      <c r="AW1634" s="15"/>
      <c r="AX1634" s="15"/>
    </row>
    <row r="1635" ht="15.75" customHeight="1"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3"/>
      <c r="AQ1635" s="13"/>
      <c r="AR1635" s="13"/>
      <c r="AS1635" s="13"/>
      <c r="AT1635" s="12"/>
      <c r="AU1635" s="12"/>
      <c r="AV1635" s="14"/>
      <c r="AW1635" s="15"/>
      <c r="AX1635" s="15"/>
    </row>
    <row r="1636" ht="15.75" customHeight="1"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3"/>
      <c r="AQ1636" s="13"/>
      <c r="AR1636" s="13"/>
      <c r="AS1636" s="13"/>
      <c r="AT1636" s="12"/>
      <c r="AU1636" s="12"/>
      <c r="AV1636" s="14"/>
      <c r="AW1636" s="15"/>
      <c r="AX1636" s="15"/>
    </row>
    <row r="1637" ht="15.75" customHeight="1"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3"/>
      <c r="AQ1637" s="13"/>
      <c r="AR1637" s="13"/>
      <c r="AS1637" s="13"/>
      <c r="AT1637" s="12"/>
      <c r="AU1637" s="12"/>
      <c r="AV1637" s="14"/>
      <c r="AW1637" s="15"/>
      <c r="AX1637" s="15"/>
    </row>
    <row r="1638" ht="15.75" customHeight="1"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3"/>
      <c r="AQ1638" s="13"/>
      <c r="AR1638" s="13"/>
      <c r="AS1638" s="13"/>
      <c r="AT1638" s="12"/>
      <c r="AU1638" s="12"/>
      <c r="AV1638" s="14"/>
      <c r="AW1638" s="15"/>
      <c r="AX1638" s="15"/>
    </row>
    <row r="1639" ht="15.75" customHeight="1"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3"/>
      <c r="AQ1639" s="13"/>
      <c r="AR1639" s="13"/>
      <c r="AS1639" s="13"/>
      <c r="AT1639" s="12"/>
      <c r="AU1639" s="12"/>
      <c r="AV1639" s="14"/>
      <c r="AW1639" s="15"/>
      <c r="AX1639" s="15"/>
    </row>
    <row r="1640" ht="15.75" customHeight="1"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3"/>
      <c r="AQ1640" s="13"/>
      <c r="AR1640" s="13"/>
      <c r="AS1640" s="13"/>
      <c r="AT1640" s="12"/>
      <c r="AU1640" s="12"/>
      <c r="AV1640" s="14"/>
      <c r="AW1640" s="15"/>
      <c r="AX1640" s="15"/>
    </row>
    <row r="1641" ht="15.75" customHeight="1"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3"/>
      <c r="AQ1641" s="13"/>
      <c r="AR1641" s="13"/>
      <c r="AS1641" s="13"/>
      <c r="AT1641" s="12"/>
      <c r="AU1641" s="12"/>
      <c r="AV1641" s="14"/>
      <c r="AW1641" s="15"/>
      <c r="AX1641" s="15"/>
    </row>
    <row r="1642" ht="15.75" customHeight="1"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3"/>
      <c r="AQ1642" s="13"/>
      <c r="AR1642" s="13"/>
      <c r="AS1642" s="13"/>
      <c r="AT1642" s="12"/>
      <c r="AU1642" s="12"/>
      <c r="AV1642" s="14"/>
      <c r="AW1642" s="15"/>
      <c r="AX1642" s="15"/>
    </row>
    <row r="1643" ht="15.75" customHeight="1"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3"/>
      <c r="AQ1643" s="13"/>
      <c r="AR1643" s="13"/>
      <c r="AS1643" s="13"/>
      <c r="AT1643" s="12"/>
      <c r="AU1643" s="12"/>
      <c r="AV1643" s="14"/>
      <c r="AW1643" s="15"/>
      <c r="AX1643" s="15"/>
    </row>
    <row r="1644" ht="15.75" customHeight="1"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3"/>
      <c r="AQ1644" s="13"/>
      <c r="AR1644" s="13"/>
      <c r="AS1644" s="13"/>
      <c r="AT1644" s="12"/>
      <c r="AU1644" s="12"/>
      <c r="AV1644" s="14"/>
      <c r="AW1644" s="15"/>
      <c r="AX1644" s="15"/>
    </row>
    <row r="1645" ht="15.75" customHeight="1"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3"/>
      <c r="AQ1645" s="13"/>
      <c r="AR1645" s="13"/>
      <c r="AS1645" s="13"/>
      <c r="AT1645" s="12"/>
      <c r="AU1645" s="12"/>
      <c r="AV1645" s="14"/>
      <c r="AW1645" s="15"/>
      <c r="AX1645" s="15"/>
    </row>
    <row r="1646" ht="15.75" customHeight="1"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3"/>
      <c r="AQ1646" s="13"/>
      <c r="AR1646" s="13"/>
      <c r="AS1646" s="13"/>
      <c r="AT1646" s="12"/>
      <c r="AU1646" s="12"/>
      <c r="AV1646" s="14"/>
      <c r="AW1646" s="15"/>
      <c r="AX1646" s="15"/>
    </row>
    <row r="1647" ht="15.75" customHeight="1"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3"/>
      <c r="AQ1647" s="13"/>
      <c r="AR1647" s="13"/>
      <c r="AS1647" s="13"/>
      <c r="AT1647" s="12"/>
      <c r="AU1647" s="12"/>
      <c r="AV1647" s="14"/>
      <c r="AW1647" s="15"/>
      <c r="AX1647" s="15"/>
    </row>
    <row r="1648" ht="15.75" customHeight="1"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3"/>
      <c r="AQ1648" s="13"/>
      <c r="AR1648" s="13"/>
      <c r="AS1648" s="13"/>
      <c r="AT1648" s="12"/>
      <c r="AU1648" s="12"/>
      <c r="AV1648" s="14"/>
      <c r="AW1648" s="15"/>
      <c r="AX1648" s="15"/>
    </row>
    <row r="1649" ht="15.75" customHeight="1"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3"/>
      <c r="AQ1649" s="13"/>
      <c r="AR1649" s="13"/>
      <c r="AS1649" s="13"/>
      <c r="AT1649" s="12"/>
      <c r="AU1649" s="12"/>
      <c r="AV1649" s="14"/>
      <c r="AW1649" s="15"/>
      <c r="AX1649" s="15"/>
    </row>
    <row r="1650" ht="15.75" customHeight="1"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3"/>
      <c r="AQ1650" s="13"/>
      <c r="AR1650" s="13"/>
      <c r="AS1650" s="13"/>
      <c r="AT1650" s="12"/>
      <c r="AU1650" s="12"/>
      <c r="AV1650" s="14"/>
      <c r="AW1650" s="15"/>
      <c r="AX1650" s="15"/>
    </row>
    <row r="1651" ht="15.75" customHeight="1"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3"/>
      <c r="AQ1651" s="13"/>
      <c r="AR1651" s="13"/>
      <c r="AS1651" s="13"/>
      <c r="AT1651" s="12"/>
      <c r="AU1651" s="12"/>
      <c r="AV1651" s="14"/>
      <c r="AW1651" s="15"/>
      <c r="AX1651" s="15"/>
    </row>
    <row r="1652" ht="15.75" customHeight="1"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3"/>
      <c r="AQ1652" s="13"/>
      <c r="AR1652" s="13"/>
      <c r="AS1652" s="13"/>
      <c r="AT1652" s="12"/>
      <c r="AU1652" s="12"/>
      <c r="AV1652" s="14"/>
      <c r="AW1652" s="15"/>
      <c r="AX1652" s="15"/>
    </row>
    <row r="1653" ht="15.75" customHeight="1"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3"/>
      <c r="AQ1653" s="13"/>
      <c r="AR1653" s="13"/>
      <c r="AS1653" s="13"/>
      <c r="AT1653" s="12"/>
      <c r="AU1653" s="12"/>
      <c r="AV1653" s="14"/>
      <c r="AW1653" s="15"/>
      <c r="AX1653" s="15"/>
    </row>
    <row r="1654" ht="15.75" customHeight="1"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3"/>
      <c r="AQ1654" s="13"/>
      <c r="AR1654" s="13"/>
      <c r="AS1654" s="13"/>
      <c r="AT1654" s="12"/>
      <c r="AU1654" s="12"/>
      <c r="AV1654" s="14"/>
      <c r="AW1654" s="15"/>
      <c r="AX1654" s="15"/>
    </row>
    <row r="1655" ht="15.75" customHeight="1"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3"/>
      <c r="AQ1655" s="13"/>
      <c r="AR1655" s="13"/>
      <c r="AS1655" s="13"/>
      <c r="AT1655" s="12"/>
      <c r="AU1655" s="12"/>
      <c r="AV1655" s="14"/>
      <c r="AW1655" s="15"/>
      <c r="AX1655" s="15"/>
    </row>
    <row r="1656" ht="15.75" customHeight="1"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3"/>
      <c r="AQ1656" s="13"/>
      <c r="AR1656" s="13"/>
      <c r="AS1656" s="13"/>
      <c r="AT1656" s="12"/>
      <c r="AU1656" s="12"/>
      <c r="AV1656" s="14"/>
      <c r="AW1656" s="15"/>
      <c r="AX1656" s="15"/>
    </row>
    <row r="1657" ht="15.75" customHeight="1"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3"/>
      <c r="AQ1657" s="13"/>
      <c r="AR1657" s="13"/>
      <c r="AS1657" s="13"/>
      <c r="AT1657" s="12"/>
      <c r="AU1657" s="12"/>
      <c r="AV1657" s="14"/>
      <c r="AW1657" s="15"/>
      <c r="AX1657" s="15"/>
    </row>
    <row r="1658" ht="15.75" customHeight="1"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3"/>
      <c r="AQ1658" s="13"/>
      <c r="AR1658" s="13"/>
      <c r="AS1658" s="13"/>
      <c r="AT1658" s="12"/>
      <c r="AU1658" s="12"/>
      <c r="AV1658" s="14"/>
      <c r="AW1658" s="15"/>
      <c r="AX1658" s="15"/>
    </row>
    <row r="1659" ht="15.75" customHeight="1"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3"/>
      <c r="AQ1659" s="13"/>
      <c r="AR1659" s="13"/>
      <c r="AS1659" s="13"/>
      <c r="AT1659" s="12"/>
      <c r="AU1659" s="12"/>
      <c r="AV1659" s="14"/>
      <c r="AW1659" s="15"/>
      <c r="AX1659" s="15"/>
    </row>
    <row r="1660" ht="15.75" customHeight="1"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3"/>
      <c r="AQ1660" s="13"/>
      <c r="AR1660" s="13"/>
      <c r="AS1660" s="13"/>
      <c r="AT1660" s="12"/>
      <c r="AU1660" s="12"/>
      <c r="AV1660" s="14"/>
      <c r="AW1660" s="15"/>
      <c r="AX1660" s="15"/>
    </row>
    <row r="1661" ht="15.75" customHeight="1"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3"/>
      <c r="AQ1661" s="13"/>
      <c r="AR1661" s="13"/>
      <c r="AS1661" s="13"/>
      <c r="AT1661" s="12"/>
      <c r="AU1661" s="12"/>
      <c r="AV1661" s="14"/>
      <c r="AW1661" s="15"/>
      <c r="AX1661" s="15"/>
    </row>
    <row r="1662" ht="15.75" customHeight="1"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3"/>
      <c r="AQ1662" s="13"/>
      <c r="AR1662" s="13"/>
      <c r="AS1662" s="13"/>
      <c r="AT1662" s="12"/>
      <c r="AU1662" s="12"/>
      <c r="AV1662" s="14"/>
      <c r="AW1662" s="15"/>
      <c r="AX1662" s="15"/>
    </row>
    <row r="1663" ht="15.75" customHeight="1"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3"/>
      <c r="AQ1663" s="13"/>
      <c r="AR1663" s="13"/>
      <c r="AS1663" s="13"/>
      <c r="AT1663" s="12"/>
      <c r="AU1663" s="12"/>
      <c r="AV1663" s="14"/>
      <c r="AW1663" s="15"/>
      <c r="AX1663" s="15"/>
    </row>
    <row r="1664" ht="15.75" customHeight="1"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3"/>
      <c r="AQ1664" s="13"/>
      <c r="AR1664" s="13"/>
      <c r="AS1664" s="13"/>
      <c r="AT1664" s="12"/>
      <c r="AU1664" s="12"/>
      <c r="AV1664" s="14"/>
      <c r="AW1664" s="15"/>
      <c r="AX1664" s="15"/>
    </row>
    <row r="1665" ht="15.75" customHeight="1"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3"/>
      <c r="AQ1665" s="13"/>
      <c r="AR1665" s="13"/>
      <c r="AS1665" s="13"/>
      <c r="AT1665" s="12"/>
      <c r="AU1665" s="12"/>
      <c r="AV1665" s="14"/>
      <c r="AW1665" s="15"/>
      <c r="AX1665" s="15"/>
    </row>
    <row r="1666" ht="15.75" customHeight="1"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3"/>
      <c r="AQ1666" s="13"/>
      <c r="AR1666" s="13"/>
      <c r="AS1666" s="13"/>
      <c r="AT1666" s="12"/>
      <c r="AU1666" s="12"/>
      <c r="AV1666" s="14"/>
      <c r="AW1666" s="15"/>
      <c r="AX1666" s="15"/>
    </row>
    <row r="1667" ht="15.75" customHeight="1"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3"/>
      <c r="AQ1667" s="13"/>
      <c r="AR1667" s="13"/>
      <c r="AS1667" s="13"/>
      <c r="AT1667" s="12"/>
      <c r="AU1667" s="12"/>
      <c r="AV1667" s="14"/>
      <c r="AW1667" s="15"/>
      <c r="AX1667" s="15"/>
    </row>
    <row r="1668" ht="15.75" customHeight="1"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3"/>
      <c r="AQ1668" s="13"/>
      <c r="AR1668" s="13"/>
      <c r="AS1668" s="13"/>
      <c r="AT1668" s="12"/>
      <c r="AU1668" s="12"/>
      <c r="AV1668" s="14"/>
      <c r="AW1668" s="15"/>
      <c r="AX1668" s="15"/>
    </row>
    <row r="1669" ht="15.75" customHeight="1"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3"/>
      <c r="AQ1669" s="13"/>
      <c r="AR1669" s="13"/>
      <c r="AS1669" s="13"/>
      <c r="AT1669" s="12"/>
      <c r="AU1669" s="12"/>
      <c r="AV1669" s="14"/>
      <c r="AW1669" s="15"/>
      <c r="AX1669" s="15"/>
    </row>
    <row r="1670" ht="15.75" customHeight="1"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3"/>
      <c r="AQ1670" s="13"/>
      <c r="AR1670" s="13"/>
      <c r="AS1670" s="13"/>
      <c r="AT1670" s="12"/>
      <c r="AU1670" s="12"/>
      <c r="AV1670" s="14"/>
      <c r="AW1670" s="15"/>
      <c r="AX1670" s="15"/>
    </row>
    <row r="1671" ht="15.75" customHeight="1"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3"/>
      <c r="AQ1671" s="13"/>
      <c r="AR1671" s="13"/>
      <c r="AS1671" s="13"/>
      <c r="AT1671" s="12"/>
      <c r="AU1671" s="12"/>
      <c r="AV1671" s="14"/>
      <c r="AW1671" s="15"/>
      <c r="AX1671" s="15"/>
    </row>
    <row r="1672" ht="15.75" customHeight="1"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3"/>
      <c r="AQ1672" s="13"/>
      <c r="AR1672" s="13"/>
      <c r="AS1672" s="13"/>
      <c r="AT1672" s="12"/>
      <c r="AU1672" s="12"/>
      <c r="AV1672" s="14"/>
      <c r="AW1672" s="15"/>
      <c r="AX1672" s="15"/>
    </row>
    <row r="1673" ht="15.75" customHeight="1"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3"/>
      <c r="AQ1673" s="13"/>
      <c r="AR1673" s="13"/>
      <c r="AS1673" s="13"/>
      <c r="AT1673" s="12"/>
      <c r="AU1673" s="12"/>
      <c r="AV1673" s="14"/>
      <c r="AW1673" s="15"/>
      <c r="AX1673" s="15"/>
    </row>
    <row r="1674" ht="15.75" customHeight="1"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3"/>
      <c r="AQ1674" s="13"/>
      <c r="AR1674" s="13"/>
      <c r="AS1674" s="13"/>
      <c r="AT1674" s="12"/>
      <c r="AU1674" s="12"/>
      <c r="AV1674" s="14"/>
      <c r="AW1674" s="15"/>
      <c r="AX1674" s="15"/>
    </row>
    <row r="1675" ht="15.75" customHeight="1"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3"/>
      <c r="AQ1675" s="13"/>
      <c r="AR1675" s="13"/>
      <c r="AS1675" s="13"/>
      <c r="AT1675" s="12"/>
      <c r="AU1675" s="12"/>
      <c r="AV1675" s="14"/>
      <c r="AW1675" s="15"/>
      <c r="AX1675" s="15"/>
    </row>
    <row r="1676" ht="15.75" customHeight="1"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3"/>
      <c r="AQ1676" s="13"/>
      <c r="AR1676" s="13"/>
      <c r="AS1676" s="13"/>
      <c r="AT1676" s="12"/>
      <c r="AU1676" s="12"/>
      <c r="AV1676" s="14"/>
      <c r="AW1676" s="15"/>
      <c r="AX1676" s="15"/>
    </row>
    <row r="1677" ht="15.75" customHeight="1"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3"/>
      <c r="AQ1677" s="13"/>
      <c r="AR1677" s="13"/>
      <c r="AS1677" s="13"/>
      <c r="AT1677" s="12"/>
      <c r="AU1677" s="12"/>
      <c r="AV1677" s="14"/>
      <c r="AW1677" s="15"/>
      <c r="AX1677" s="15"/>
    </row>
    <row r="1678" ht="15.75" customHeight="1"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3"/>
      <c r="AQ1678" s="13"/>
      <c r="AR1678" s="13"/>
      <c r="AS1678" s="13"/>
      <c r="AT1678" s="12"/>
      <c r="AU1678" s="12"/>
      <c r="AV1678" s="14"/>
      <c r="AW1678" s="15"/>
      <c r="AX1678" s="15"/>
    </row>
    <row r="1679" ht="15.75" customHeight="1"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3"/>
      <c r="AQ1679" s="13"/>
      <c r="AR1679" s="13"/>
      <c r="AS1679" s="13"/>
      <c r="AT1679" s="12"/>
      <c r="AU1679" s="12"/>
      <c r="AV1679" s="14"/>
      <c r="AW1679" s="15"/>
      <c r="AX1679" s="15"/>
    </row>
    <row r="1680" ht="15.75" customHeight="1"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3"/>
      <c r="AQ1680" s="13"/>
      <c r="AR1680" s="13"/>
      <c r="AS1680" s="13"/>
      <c r="AT1680" s="12"/>
      <c r="AU1680" s="12"/>
      <c r="AV1680" s="14"/>
      <c r="AW1680" s="15"/>
      <c r="AX1680" s="15"/>
    </row>
    <row r="1681" ht="15.75" customHeight="1"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3"/>
      <c r="AQ1681" s="13"/>
      <c r="AR1681" s="13"/>
      <c r="AS1681" s="13"/>
      <c r="AT1681" s="12"/>
      <c r="AU1681" s="12"/>
      <c r="AV1681" s="14"/>
      <c r="AW1681" s="15"/>
      <c r="AX1681" s="15"/>
    </row>
    <row r="1682" ht="15.75" customHeight="1"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3"/>
      <c r="AQ1682" s="13"/>
      <c r="AR1682" s="13"/>
      <c r="AS1682" s="13"/>
      <c r="AT1682" s="12"/>
      <c r="AU1682" s="12"/>
      <c r="AV1682" s="14"/>
      <c r="AW1682" s="15"/>
      <c r="AX1682" s="15"/>
    </row>
    <row r="1683" ht="15.75" customHeight="1"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3"/>
      <c r="AQ1683" s="13"/>
      <c r="AR1683" s="13"/>
      <c r="AS1683" s="13"/>
      <c r="AT1683" s="12"/>
      <c r="AU1683" s="12"/>
      <c r="AV1683" s="14"/>
      <c r="AW1683" s="15"/>
      <c r="AX1683" s="15"/>
    </row>
    <row r="1684" ht="15.75" customHeight="1"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3"/>
      <c r="AQ1684" s="13"/>
      <c r="AR1684" s="13"/>
      <c r="AS1684" s="13"/>
      <c r="AT1684" s="12"/>
      <c r="AU1684" s="12"/>
      <c r="AV1684" s="14"/>
      <c r="AW1684" s="15"/>
      <c r="AX1684" s="15"/>
    </row>
    <row r="1685" ht="15.75" customHeight="1"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3"/>
      <c r="AQ1685" s="13"/>
      <c r="AR1685" s="13"/>
      <c r="AS1685" s="13"/>
      <c r="AT1685" s="12"/>
      <c r="AU1685" s="12"/>
      <c r="AV1685" s="14"/>
      <c r="AW1685" s="15"/>
      <c r="AX1685" s="15"/>
    </row>
    <row r="1686" ht="15.75" customHeight="1"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3"/>
      <c r="AQ1686" s="13"/>
      <c r="AR1686" s="13"/>
      <c r="AS1686" s="13"/>
      <c r="AT1686" s="12"/>
      <c r="AU1686" s="12"/>
      <c r="AV1686" s="14"/>
      <c r="AW1686" s="15"/>
      <c r="AX1686" s="15"/>
    </row>
    <row r="1687" ht="15.75" customHeight="1"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3"/>
      <c r="AQ1687" s="13"/>
      <c r="AR1687" s="13"/>
      <c r="AS1687" s="13"/>
      <c r="AT1687" s="12"/>
      <c r="AU1687" s="12"/>
      <c r="AV1687" s="14"/>
      <c r="AW1687" s="15"/>
      <c r="AX1687" s="15"/>
    </row>
    <row r="1688" ht="15.75" customHeight="1"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3"/>
      <c r="AQ1688" s="13"/>
      <c r="AR1688" s="13"/>
      <c r="AS1688" s="13"/>
      <c r="AT1688" s="12"/>
      <c r="AU1688" s="12"/>
      <c r="AV1688" s="14"/>
      <c r="AW1688" s="15"/>
      <c r="AX1688" s="15"/>
    </row>
    <row r="1689" ht="15.75" customHeight="1"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3"/>
      <c r="AQ1689" s="13"/>
      <c r="AR1689" s="13"/>
      <c r="AS1689" s="13"/>
      <c r="AT1689" s="12"/>
      <c r="AU1689" s="12"/>
      <c r="AV1689" s="14"/>
      <c r="AW1689" s="15"/>
      <c r="AX1689" s="15"/>
    </row>
    <row r="1690" ht="15.75" customHeight="1"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3"/>
      <c r="AQ1690" s="13"/>
      <c r="AR1690" s="13"/>
      <c r="AS1690" s="13"/>
      <c r="AT1690" s="12"/>
      <c r="AU1690" s="12"/>
      <c r="AV1690" s="14"/>
      <c r="AW1690" s="15"/>
      <c r="AX1690" s="15"/>
    </row>
    <row r="1691" ht="15.75" customHeight="1"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3"/>
      <c r="AQ1691" s="13"/>
      <c r="AR1691" s="13"/>
      <c r="AS1691" s="13"/>
      <c r="AT1691" s="12"/>
      <c r="AU1691" s="12"/>
      <c r="AV1691" s="14"/>
      <c r="AW1691" s="15"/>
      <c r="AX1691" s="15"/>
    </row>
    <row r="1692" ht="15.75" customHeight="1"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3"/>
      <c r="AQ1692" s="13"/>
      <c r="AR1692" s="13"/>
      <c r="AS1692" s="13"/>
      <c r="AT1692" s="12"/>
      <c r="AU1692" s="12"/>
      <c r="AV1692" s="14"/>
      <c r="AW1692" s="15"/>
      <c r="AX1692" s="15"/>
    </row>
    <row r="1693" ht="15.75" customHeight="1"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3"/>
      <c r="AQ1693" s="13"/>
      <c r="AR1693" s="13"/>
      <c r="AS1693" s="13"/>
      <c r="AT1693" s="12"/>
      <c r="AU1693" s="12"/>
      <c r="AV1693" s="14"/>
      <c r="AW1693" s="15"/>
      <c r="AX1693" s="15"/>
    </row>
    <row r="1694" ht="15.75" customHeight="1"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3"/>
      <c r="AQ1694" s="13"/>
      <c r="AR1694" s="13"/>
      <c r="AS1694" s="13"/>
      <c r="AT1694" s="12"/>
      <c r="AU1694" s="12"/>
      <c r="AV1694" s="14"/>
      <c r="AW1694" s="15"/>
      <c r="AX1694" s="15"/>
    </row>
    <row r="1695" ht="15.75" customHeight="1"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3"/>
      <c r="AQ1695" s="13"/>
      <c r="AR1695" s="13"/>
      <c r="AS1695" s="13"/>
      <c r="AT1695" s="12"/>
      <c r="AU1695" s="12"/>
      <c r="AV1695" s="14"/>
      <c r="AW1695" s="15"/>
      <c r="AX1695" s="15"/>
    </row>
    <row r="1696" ht="15.75" customHeight="1"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3"/>
      <c r="AQ1696" s="13"/>
      <c r="AR1696" s="13"/>
      <c r="AS1696" s="13"/>
      <c r="AT1696" s="12"/>
      <c r="AU1696" s="12"/>
      <c r="AV1696" s="14"/>
      <c r="AW1696" s="15"/>
      <c r="AX1696" s="15"/>
    </row>
    <row r="1697" ht="15.75" customHeight="1"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3"/>
      <c r="AQ1697" s="13"/>
      <c r="AR1697" s="13"/>
      <c r="AS1697" s="13"/>
      <c r="AT1697" s="12"/>
      <c r="AU1697" s="12"/>
      <c r="AV1697" s="14"/>
      <c r="AW1697" s="15"/>
      <c r="AX1697" s="15"/>
    </row>
    <row r="1698" ht="15.75" customHeight="1"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3"/>
      <c r="AQ1698" s="13"/>
      <c r="AR1698" s="13"/>
      <c r="AS1698" s="13"/>
      <c r="AT1698" s="12"/>
      <c r="AU1698" s="12"/>
      <c r="AV1698" s="14"/>
      <c r="AW1698" s="15"/>
      <c r="AX1698" s="15"/>
    </row>
    <row r="1699" ht="15.75" customHeight="1"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3"/>
      <c r="AQ1699" s="13"/>
      <c r="AR1699" s="13"/>
      <c r="AS1699" s="13"/>
      <c r="AT1699" s="12"/>
      <c r="AU1699" s="12"/>
      <c r="AV1699" s="14"/>
      <c r="AW1699" s="15"/>
      <c r="AX1699" s="15"/>
    </row>
    <row r="1700" ht="15.75" customHeight="1"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3"/>
      <c r="AQ1700" s="13"/>
      <c r="AR1700" s="13"/>
      <c r="AS1700" s="13"/>
      <c r="AT1700" s="12"/>
      <c r="AU1700" s="12"/>
      <c r="AV1700" s="14"/>
      <c r="AW1700" s="15"/>
      <c r="AX1700" s="15"/>
    </row>
    <row r="1701" ht="15.75" customHeight="1"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3"/>
      <c r="AQ1701" s="13"/>
      <c r="AR1701" s="13"/>
      <c r="AS1701" s="13"/>
      <c r="AT1701" s="12"/>
      <c r="AU1701" s="12"/>
      <c r="AV1701" s="14"/>
      <c r="AW1701" s="15"/>
      <c r="AX1701" s="15"/>
    </row>
    <row r="1702" ht="15.75" customHeight="1"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3"/>
      <c r="AQ1702" s="13"/>
      <c r="AR1702" s="13"/>
      <c r="AS1702" s="13"/>
      <c r="AT1702" s="12"/>
      <c r="AU1702" s="12"/>
      <c r="AV1702" s="14"/>
      <c r="AW1702" s="15"/>
      <c r="AX1702" s="15"/>
    </row>
    <row r="1703" ht="15.75" customHeight="1"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3"/>
      <c r="AQ1703" s="13"/>
      <c r="AR1703" s="13"/>
      <c r="AS1703" s="13"/>
      <c r="AT1703" s="12"/>
      <c r="AU1703" s="12"/>
      <c r="AV1703" s="14"/>
      <c r="AW1703" s="15"/>
      <c r="AX1703" s="15"/>
    </row>
    <row r="1704" ht="15.75" customHeight="1"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3"/>
      <c r="AQ1704" s="13"/>
      <c r="AR1704" s="13"/>
      <c r="AS1704" s="13"/>
      <c r="AT1704" s="12"/>
      <c r="AU1704" s="12"/>
      <c r="AV1704" s="14"/>
      <c r="AW1704" s="15"/>
      <c r="AX1704" s="15"/>
    </row>
    <row r="1705" ht="15.75" customHeight="1"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3"/>
      <c r="AQ1705" s="13"/>
      <c r="AR1705" s="13"/>
      <c r="AS1705" s="13"/>
      <c r="AT1705" s="12"/>
      <c r="AU1705" s="12"/>
      <c r="AV1705" s="14"/>
      <c r="AW1705" s="15"/>
      <c r="AX1705" s="15"/>
    </row>
    <row r="1706" ht="15.75" customHeight="1"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3"/>
      <c r="AQ1706" s="13"/>
      <c r="AR1706" s="13"/>
      <c r="AS1706" s="13"/>
      <c r="AT1706" s="12"/>
      <c r="AU1706" s="12"/>
      <c r="AV1706" s="14"/>
      <c r="AW1706" s="15"/>
      <c r="AX1706" s="15"/>
    </row>
    <row r="1707" ht="15.75" customHeight="1"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3"/>
      <c r="AQ1707" s="13"/>
      <c r="AR1707" s="13"/>
      <c r="AS1707" s="13"/>
      <c r="AT1707" s="12"/>
      <c r="AU1707" s="12"/>
      <c r="AV1707" s="14"/>
      <c r="AW1707" s="15"/>
      <c r="AX1707" s="15"/>
    </row>
    <row r="1708" ht="15.75" customHeight="1"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3"/>
      <c r="AQ1708" s="13"/>
      <c r="AR1708" s="13"/>
      <c r="AS1708" s="13"/>
      <c r="AT1708" s="12"/>
      <c r="AU1708" s="12"/>
      <c r="AV1708" s="14"/>
      <c r="AW1708" s="15"/>
      <c r="AX1708" s="15"/>
    </row>
    <row r="1709" ht="15.75" customHeight="1"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3"/>
      <c r="AQ1709" s="13"/>
      <c r="AR1709" s="13"/>
      <c r="AS1709" s="13"/>
      <c r="AT1709" s="12"/>
      <c r="AU1709" s="12"/>
      <c r="AV1709" s="14"/>
      <c r="AW1709" s="15"/>
      <c r="AX1709" s="15"/>
    </row>
    <row r="1710" ht="15.75" customHeight="1"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3"/>
      <c r="AQ1710" s="13"/>
      <c r="AR1710" s="13"/>
      <c r="AS1710" s="13"/>
      <c r="AT1710" s="12"/>
      <c r="AU1710" s="12"/>
      <c r="AV1710" s="14"/>
      <c r="AW1710" s="15"/>
      <c r="AX1710" s="15"/>
    </row>
    <row r="1711" ht="15.75" customHeight="1"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3"/>
      <c r="AQ1711" s="13"/>
      <c r="AR1711" s="13"/>
      <c r="AS1711" s="13"/>
      <c r="AT1711" s="12"/>
      <c r="AU1711" s="12"/>
      <c r="AV1711" s="14"/>
      <c r="AW1711" s="15"/>
      <c r="AX1711" s="15"/>
    </row>
    <row r="1712" ht="15.75" customHeight="1"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3"/>
      <c r="AQ1712" s="13"/>
      <c r="AR1712" s="13"/>
      <c r="AS1712" s="13"/>
      <c r="AT1712" s="12"/>
      <c r="AU1712" s="12"/>
      <c r="AV1712" s="14"/>
      <c r="AW1712" s="15"/>
      <c r="AX1712" s="15"/>
    </row>
    <row r="1713" ht="15.75" customHeight="1"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3"/>
      <c r="AQ1713" s="13"/>
      <c r="AR1713" s="13"/>
      <c r="AS1713" s="13"/>
      <c r="AT1713" s="12"/>
      <c r="AU1713" s="12"/>
      <c r="AV1713" s="14"/>
      <c r="AW1713" s="15"/>
      <c r="AX1713" s="15"/>
    </row>
    <row r="1714" ht="15.75" customHeight="1"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3"/>
      <c r="AQ1714" s="13"/>
      <c r="AR1714" s="13"/>
      <c r="AS1714" s="13"/>
      <c r="AT1714" s="12"/>
      <c r="AU1714" s="12"/>
      <c r="AV1714" s="14"/>
      <c r="AW1714" s="15"/>
      <c r="AX1714" s="15"/>
    </row>
    <row r="1715" ht="15.75" customHeight="1"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3"/>
      <c r="AQ1715" s="13"/>
      <c r="AR1715" s="13"/>
      <c r="AS1715" s="13"/>
      <c r="AT1715" s="12"/>
      <c r="AU1715" s="12"/>
      <c r="AV1715" s="14"/>
      <c r="AW1715" s="15"/>
      <c r="AX1715" s="15"/>
    </row>
    <row r="1716" ht="15.75" customHeight="1"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3"/>
      <c r="AQ1716" s="13"/>
      <c r="AR1716" s="13"/>
      <c r="AS1716" s="13"/>
      <c r="AT1716" s="12"/>
      <c r="AU1716" s="12"/>
      <c r="AV1716" s="14"/>
      <c r="AW1716" s="15"/>
      <c r="AX1716" s="15"/>
    </row>
    <row r="1717" ht="15.75" customHeight="1"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3"/>
      <c r="AQ1717" s="13"/>
      <c r="AR1717" s="13"/>
      <c r="AS1717" s="13"/>
      <c r="AT1717" s="12"/>
      <c r="AU1717" s="12"/>
      <c r="AV1717" s="14"/>
      <c r="AW1717" s="15"/>
      <c r="AX1717" s="15"/>
    </row>
    <row r="1718" ht="15.75" customHeight="1"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3"/>
      <c r="AQ1718" s="13"/>
      <c r="AR1718" s="13"/>
      <c r="AS1718" s="13"/>
      <c r="AT1718" s="12"/>
      <c r="AU1718" s="12"/>
      <c r="AV1718" s="14"/>
      <c r="AW1718" s="15"/>
      <c r="AX1718" s="15"/>
    </row>
    <row r="1719" ht="15.75" customHeight="1"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3"/>
      <c r="AQ1719" s="13"/>
      <c r="AR1719" s="13"/>
      <c r="AS1719" s="13"/>
      <c r="AT1719" s="12"/>
      <c r="AU1719" s="12"/>
      <c r="AV1719" s="14"/>
      <c r="AW1719" s="15"/>
      <c r="AX1719" s="15"/>
    </row>
    <row r="1720" ht="15.75" customHeight="1"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3"/>
      <c r="AQ1720" s="13"/>
      <c r="AR1720" s="13"/>
      <c r="AS1720" s="13"/>
      <c r="AT1720" s="12"/>
      <c r="AU1720" s="12"/>
      <c r="AV1720" s="14"/>
      <c r="AW1720" s="15"/>
      <c r="AX1720" s="15"/>
    </row>
    <row r="1721" ht="15.75" customHeight="1"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3"/>
      <c r="AQ1721" s="13"/>
      <c r="AR1721" s="13"/>
      <c r="AS1721" s="13"/>
      <c r="AT1721" s="12"/>
      <c r="AU1721" s="12"/>
      <c r="AV1721" s="14"/>
      <c r="AW1721" s="15"/>
      <c r="AX1721" s="15"/>
    </row>
    <row r="1722" ht="15.75" customHeight="1"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3"/>
      <c r="AQ1722" s="13"/>
      <c r="AR1722" s="13"/>
      <c r="AS1722" s="13"/>
      <c r="AT1722" s="12"/>
      <c r="AU1722" s="12"/>
      <c r="AV1722" s="14"/>
      <c r="AW1722" s="15"/>
      <c r="AX1722" s="15"/>
    </row>
    <row r="1723" ht="15.75" customHeight="1"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3"/>
      <c r="AQ1723" s="13"/>
      <c r="AR1723" s="13"/>
      <c r="AS1723" s="13"/>
      <c r="AT1723" s="12"/>
      <c r="AU1723" s="12"/>
      <c r="AV1723" s="14"/>
      <c r="AW1723" s="15"/>
      <c r="AX1723" s="15"/>
    </row>
    <row r="1724" ht="15.75" customHeight="1"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3"/>
      <c r="AQ1724" s="13"/>
      <c r="AR1724" s="13"/>
      <c r="AS1724" s="13"/>
      <c r="AT1724" s="12"/>
      <c r="AU1724" s="12"/>
      <c r="AV1724" s="14"/>
      <c r="AW1724" s="15"/>
      <c r="AX1724" s="15"/>
    </row>
    <row r="1725" ht="15.75" customHeight="1"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3"/>
      <c r="AQ1725" s="13"/>
      <c r="AR1725" s="13"/>
      <c r="AS1725" s="13"/>
      <c r="AT1725" s="12"/>
      <c r="AU1725" s="12"/>
      <c r="AV1725" s="14"/>
      <c r="AW1725" s="15"/>
      <c r="AX1725" s="15"/>
    </row>
    <row r="1726" ht="15.75" customHeight="1"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3"/>
      <c r="AQ1726" s="13"/>
      <c r="AR1726" s="13"/>
      <c r="AS1726" s="13"/>
      <c r="AT1726" s="12"/>
      <c r="AU1726" s="12"/>
      <c r="AV1726" s="14"/>
      <c r="AW1726" s="15"/>
      <c r="AX1726" s="15"/>
    </row>
    <row r="1727" ht="15.75" customHeight="1"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3"/>
      <c r="AQ1727" s="13"/>
      <c r="AR1727" s="13"/>
      <c r="AS1727" s="13"/>
      <c r="AT1727" s="12"/>
      <c r="AU1727" s="12"/>
      <c r="AV1727" s="14"/>
      <c r="AW1727" s="15"/>
      <c r="AX1727" s="15"/>
    </row>
    <row r="1728" ht="15.75" customHeight="1"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3"/>
      <c r="AQ1728" s="13"/>
      <c r="AR1728" s="13"/>
      <c r="AS1728" s="13"/>
      <c r="AT1728" s="12"/>
      <c r="AU1728" s="12"/>
      <c r="AV1728" s="14"/>
      <c r="AW1728" s="15"/>
      <c r="AX1728" s="15"/>
    </row>
    <row r="1729" ht="15.75" customHeight="1"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3"/>
      <c r="AQ1729" s="13"/>
      <c r="AR1729" s="13"/>
      <c r="AS1729" s="13"/>
      <c r="AT1729" s="12"/>
      <c r="AU1729" s="12"/>
      <c r="AV1729" s="14"/>
      <c r="AW1729" s="15"/>
      <c r="AX1729" s="15"/>
    </row>
    <row r="1730" ht="15.75" customHeight="1"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3"/>
      <c r="AQ1730" s="13"/>
      <c r="AR1730" s="13"/>
      <c r="AS1730" s="13"/>
      <c r="AT1730" s="12"/>
      <c r="AU1730" s="12"/>
      <c r="AV1730" s="14"/>
      <c r="AW1730" s="15"/>
      <c r="AX1730" s="15"/>
    </row>
    <row r="1731" ht="15.75" customHeight="1"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3"/>
      <c r="AQ1731" s="13"/>
      <c r="AR1731" s="13"/>
      <c r="AS1731" s="13"/>
      <c r="AT1731" s="12"/>
      <c r="AU1731" s="12"/>
      <c r="AV1731" s="14"/>
      <c r="AW1731" s="15"/>
      <c r="AX1731" s="15"/>
    </row>
    <row r="1732" ht="15.75" customHeight="1"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3"/>
      <c r="AQ1732" s="13"/>
      <c r="AR1732" s="13"/>
      <c r="AS1732" s="13"/>
      <c r="AT1732" s="12"/>
      <c r="AU1732" s="12"/>
      <c r="AV1732" s="14"/>
      <c r="AW1732" s="15"/>
      <c r="AX1732" s="15"/>
    </row>
    <row r="1733" ht="15.75" customHeight="1"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3"/>
      <c r="AQ1733" s="13"/>
      <c r="AR1733" s="13"/>
      <c r="AS1733" s="13"/>
      <c r="AT1733" s="12"/>
      <c r="AU1733" s="12"/>
      <c r="AV1733" s="14"/>
      <c r="AW1733" s="15"/>
      <c r="AX1733" s="15"/>
    </row>
    <row r="1734" ht="15.75" customHeight="1"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3"/>
      <c r="AQ1734" s="13"/>
      <c r="AR1734" s="13"/>
      <c r="AS1734" s="13"/>
      <c r="AT1734" s="12"/>
      <c r="AU1734" s="12"/>
      <c r="AV1734" s="14"/>
      <c r="AW1734" s="15"/>
      <c r="AX1734" s="15"/>
    </row>
    <row r="1735" ht="15.75" customHeight="1"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3"/>
      <c r="AQ1735" s="13"/>
      <c r="AR1735" s="13"/>
      <c r="AS1735" s="13"/>
      <c r="AT1735" s="12"/>
      <c r="AU1735" s="12"/>
      <c r="AV1735" s="14"/>
      <c r="AW1735" s="15"/>
      <c r="AX1735" s="15"/>
    </row>
    <row r="1736" ht="15.75" customHeight="1"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3"/>
      <c r="AQ1736" s="13"/>
      <c r="AR1736" s="13"/>
      <c r="AS1736" s="13"/>
      <c r="AT1736" s="12"/>
      <c r="AU1736" s="12"/>
      <c r="AV1736" s="14"/>
      <c r="AW1736" s="15"/>
      <c r="AX1736" s="15"/>
    </row>
    <row r="1737" ht="15.75" customHeight="1"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3"/>
      <c r="AQ1737" s="13"/>
      <c r="AR1737" s="13"/>
      <c r="AS1737" s="13"/>
      <c r="AT1737" s="12"/>
      <c r="AU1737" s="12"/>
      <c r="AV1737" s="14"/>
      <c r="AW1737" s="15"/>
      <c r="AX1737" s="15"/>
    </row>
    <row r="1738" ht="15.75" customHeight="1"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3"/>
      <c r="AQ1738" s="13"/>
      <c r="AR1738" s="13"/>
      <c r="AS1738" s="13"/>
      <c r="AT1738" s="12"/>
      <c r="AU1738" s="12"/>
      <c r="AV1738" s="14"/>
      <c r="AW1738" s="15"/>
      <c r="AX1738" s="15"/>
    </row>
    <row r="1739" ht="15.75" customHeight="1"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3"/>
      <c r="AQ1739" s="13"/>
      <c r="AR1739" s="13"/>
      <c r="AS1739" s="13"/>
      <c r="AT1739" s="12"/>
      <c r="AU1739" s="12"/>
      <c r="AV1739" s="14"/>
      <c r="AW1739" s="15"/>
      <c r="AX1739" s="15"/>
    </row>
    <row r="1740" ht="15.75" customHeight="1"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3"/>
      <c r="AQ1740" s="13"/>
      <c r="AR1740" s="13"/>
      <c r="AS1740" s="13"/>
      <c r="AT1740" s="12"/>
      <c r="AU1740" s="12"/>
      <c r="AV1740" s="14"/>
      <c r="AW1740" s="15"/>
      <c r="AX1740" s="15"/>
    </row>
    <row r="1741" ht="15.75" customHeight="1"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3"/>
      <c r="AQ1741" s="13"/>
      <c r="AR1741" s="13"/>
      <c r="AS1741" s="13"/>
      <c r="AT1741" s="12"/>
      <c r="AU1741" s="12"/>
      <c r="AV1741" s="14"/>
      <c r="AW1741" s="15"/>
      <c r="AX1741" s="15"/>
    </row>
    <row r="1742" ht="15.75" customHeight="1"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3"/>
      <c r="AQ1742" s="13"/>
      <c r="AR1742" s="13"/>
      <c r="AS1742" s="13"/>
      <c r="AT1742" s="12"/>
      <c r="AU1742" s="12"/>
      <c r="AV1742" s="14"/>
      <c r="AW1742" s="15"/>
      <c r="AX1742" s="15"/>
    </row>
    <row r="1743" ht="15.75" customHeight="1"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3"/>
      <c r="AQ1743" s="13"/>
      <c r="AR1743" s="13"/>
      <c r="AS1743" s="13"/>
      <c r="AT1743" s="12"/>
      <c r="AU1743" s="12"/>
      <c r="AV1743" s="14"/>
      <c r="AW1743" s="15"/>
      <c r="AX1743" s="15"/>
    </row>
    <row r="1744" ht="15.75" customHeight="1"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3"/>
      <c r="AQ1744" s="13"/>
      <c r="AR1744" s="13"/>
      <c r="AS1744" s="13"/>
      <c r="AT1744" s="12"/>
      <c r="AU1744" s="12"/>
      <c r="AV1744" s="14"/>
      <c r="AW1744" s="15"/>
      <c r="AX1744" s="15"/>
    </row>
    <row r="1745" ht="15.75" customHeight="1"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3"/>
      <c r="AQ1745" s="13"/>
      <c r="AR1745" s="13"/>
      <c r="AS1745" s="13"/>
      <c r="AT1745" s="12"/>
      <c r="AU1745" s="12"/>
      <c r="AV1745" s="14"/>
      <c r="AW1745" s="15"/>
      <c r="AX1745" s="15"/>
    </row>
    <row r="1746" ht="15.75" customHeight="1"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3"/>
      <c r="AQ1746" s="13"/>
      <c r="AR1746" s="13"/>
      <c r="AS1746" s="13"/>
      <c r="AT1746" s="12"/>
      <c r="AU1746" s="12"/>
      <c r="AV1746" s="14"/>
      <c r="AW1746" s="15"/>
      <c r="AX1746" s="15"/>
    </row>
    <row r="1747" ht="15.75" customHeight="1"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3"/>
      <c r="AQ1747" s="13"/>
      <c r="AR1747" s="13"/>
      <c r="AS1747" s="13"/>
      <c r="AT1747" s="12"/>
      <c r="AU1747" s="12"/>
      <c r="AV1747" s="14"/>
      <c r="AW1747" s="15"/>
      <c r="AX1747" s="15"/>
    </row>
    <row r="1748" ht="15.75" customHeight="1"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3"/>
      <c r="AQ1748" s="13"/>
      <c r="AR1748" s="13"/>
      <c r="AS1748" s="13"/>
      <c r="AT1748" s="12"/>
      <c r="AU1748" s="12"/>
      <c r="AV1748" s="14"/>
      <c r="AW1748" s="15"/>
      <c r="AX1748" s="15"/>
    </row>
    <row r="1749" ht="15.75" customHeight="1"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3"/>
      <c r="AQ1749" s="13"/>
      <c r="AR1749" s="13"/>
      <c r="AS1749" s="13"/>
      <c r="AT1749" s="12"/>
      <c r="AU1749" s="12"/>
      <c r="AV1749" s="14"/>
      <c r="AW1749" s="15"/>
      <c r="AX1749" s="15"/>
    </row>
    <row r="1750" ht="15.75" customHeight="1"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3"/>
      <c r="AQ1750" s="13"/>
      <c r="AR1750" s="13"/>
      <c r="AS1750" s="13"/>
      <c r="AT1750" s="12"/>
      <c r="AU1750" s="12"/>
      <c r="AV1750" s="14"/>
      <c r="AW1750" s="15"/>
      <c r="AX1750" s="15"/>
    </row>
    <row r="1751" ht="15.75" customHeight="1"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3"/>
      <c r="AQ1751" s="13"/>
      <c r="AR1751" s="13"/>
      <c r="AS1751" s="13"/>
      <c r="AT1751" s="12"/>
      <c r="AU1751" s="12"/>
      <c r="AV1751" s="14"/>
      <c r="AW1751" s="15"/>
      <c r="AX1751" s="15"/>
    </row>
    <row r="1752" ht="15.75" customHeight="1"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3"/>
      <c r="AQ1752" s="13"/>
      <c r="AR1752" s="13"/>
      <c r="AS1752" s="13"/>
      <c r="AT1752" s="12"/>
      <c r="AU1752" s="12"/>
      <c r="AV1752" s="14"/>
      <c r="AW1752" s="15"/>
      <c r="AX1752" s="15"/>
    </row>
    <row r="1753" ht="15.75" customHeight="1"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3"/>
      <c r="AQ1753" s="13"/>
      <c r="AR1753" s="13"/>
      <c r="AS1753" s="13"/>
      <c r="AT1753" s="12"/>
      <c r="AU1753" s="12"/>
      <c r="AV1753" s="14"/>
      <c r="AW1753" s="15"/>
      <c r="AX1753" s="15"/>
    </row>
    <row r="1754" ht="15.75" customHeight="1"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3"/>
      <c r="AQ1754" s="13"/>
      <c r="AR1754" s="13"/>
      <c r="AS1754" s="13"/>
      <c r="AT1754" s="12"/>
      <c r="AU1754" s="12"/>
      <c r="AV1754" s="14"/>
      <c r="AW1754" s="15"/>
      <c r="AX1754" s="15"/>
    </row>
    <row r="1755" ht="15.75" customHeight="1"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3"/>
      <c r="AQ1755" s="13"/>
      <c r="AR1755" s="13"/>
      <c r="AS1755" s="13"/>
      <c r="AT1755" s="12"/>
      <c r="AU1755" s="12"/>
      <c r="AV1755" s="14"/>
      <c r="AW1755" s="15"/>
      <c r="AX1755" s="15"/>
    </row>
    <row r="1756" ht="15.75" customHeight="1"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3"/>
      <c r="AQ1756" s="13"/>
      <c r="AR1756" s="13"/>
      <c r="AS1756" s="13"/>
      <c r="AT1756" s="12"/>
      <c r="AU1756" s="12"/>
      <c r="AV1756" s="14"/>
      <c r="AW1756" s="15"/>
      <c r="AX1756" s="15"/>
    </row>
    <row r="1757" ht="15.75" customHeight="1"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3"/>
      <c r="AQ1757" s="13"/>
      <c r="AR1757" s="13"/>
      <c r="AS1757" s="13"/>
      <c r="AT1757" s="12"/>
      <c r="AU1757" s="12"/>
      <c r="AV1757" s="14"/>
      <c r="AW1757" s="15"/>
      <c r="AX1757" s="15"/>
    </row>
    <row r="1758" ht="15.75" customHeight="1"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3"/>
      <c r="AQ1758" s="13"/>
      <c r="AR1758" s="13"/>
      <c r="AS1758" s="13"/>
      <c r="AT1758" s="12"/>
      <c r="AU1758" s="12"/>
      <c r="AV1758" s="14"/>
      <c r="AW1758" s="15"/>
      <c r="AX1758" s="15"/>
    </row>
    <row r="1759" ht="15.75" customHeight="1"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3"/>
      <c r="AQ1759" s="13"/>
      <c r="AR1759" s="13"/>
      <c r="AS1759" s="13"/>
      <c r="AT1759" s="12"/>
      <c r="AU1759" s="12"/>
      <c r="AV1759" s="14"/>
      <c r="AW1759" s="15"/>
      <c r="AX1759" s="15"/>
    </row>
    <row r="1760" ht="15.75" customHeight="1"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3"/>
      <c r="AQ1760" s="13"/>
      <c r="AR1760" s="13"/>
      <c r="AS1760" s="13"/>
      <c r="AT1760" s="12"/>
      <c r="AU1760" s="12"/>
      <c r="AV1760" s="14"/>
      <c r="AW1760" s="15"/>
      <c r="AX1760" s="15"/>
    </row>
    <row r="1761" ht="15.75" customHeight="1"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3"/>
      <c r="AQ1761" s="13"/>
      <c r="AR1761" s="13"/>
      <c r="AS1761" s="13"/>
      <c r="AT1761" s="12"/>
      <c r="AU1761" s="12"/>
      <c r="AV1761" s="14"/>
      <c r="AW1761" s="15"/>
      <c r="AX1761" s="15"/>
    </row>
    <row r="1762" ht="15.75" customHeight="1"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3"/>
      <c r="AQ1762" s="13"/>
      <c r="AR1762" s="13"/>
      <c r="AS1762" s="13"/>
      <c r="AT1762" s="12"/>
      <c r="AU1762" s="12"/>
      <c r="AV1762" s="14"/>
      <c r="AW1762" s="15"/>
      <c r="AX1762" s="15"/>
    </row>
    <row r="1763" ht="15.75" customHeight="1"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3"/>
      <c r="AQ1763" s="13"/>
      <c r="AR1763" s="13"/>
      <c r="AS1763" s="13"/>
      <c r="AT1763" s="12"/>
      <c r="AU1763" s="12"/>
      <c r="AV1763" s="14"/>
      <c r="AW1763" s="15"/>
      <c r="AX1763" s="15"/>
    </row>
    <row r="1764" ht="15.75" customHeight="1"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3"/>
      <c r="AQ1764" s="13"/>
      <c r="AR1764" s="13"/>
      <c r="AS1764" s="13"/>
      <c r="AT1764" s="12"/>
      <c r="AU1764" s="12"/>
      <c r="AV1764" s="14"/>
      <c r="AW1764" s="15"/>
      <c r="AX1764" s="15"/>
    </row>
    <row r="1765" ht="15.75" customHeight="1"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3"/>
      <c r="AQ1765" s="13"/>
      <c r="AR1765" s="13"/>
      <c r="AS1765" s="13"/>
      <c r="AT1765" s="12"/>
      <c r="AU1765" s="12"/>
      <c r="AV1765" s="14"/>
      <c r="AW1765" s="15"/>
      <c r="AX1765" s="15"/>
    </row>
    <row r="1766" ht="15.75" customHeight="1"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3"/>
      <c r="AQ1766" s="13"/>
      <c r="AR1766" s="13"/>
      <c r="AS1766" s="13"/>
      <c r="AT1766" s="12"/>
      <c r="AU1766" s="12"/>
      <c r="AV1766" s="14"/>
      <c r="AW1766" s="15"/>
      <c r="AX1766" s="15"/>
    </row>
    <row r="1767" ht="15.75" customHeight="1"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3"/>
      <c r="AQ1767" s="13"/>
      <c r="AR1767" s="13"/>
      <c r="AS1767" s="13"/>
      <c r="AT1767" s="12"/>
      <c r="AU1767" s="12"/>
      <c r="AV1767" s="14"/>
      <c r="AW1767" s="15"/>
      <c r="AX1767" s="15"/>
    </row>
    <row r="1768" ht="15.75" customHeight="1"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3"/>
      <c r="AQ1768" s="13"/>
      <c r="AR1768" s="13"/>
      <c r="AS1768" s="13"/>
      <c r="AT1768" s="12"/>
      <c r="AU1768" s="12"/>
      <c r="AV1768" s="14"/>
      <c r="AW1768" s="15"/>
      <c r="AX1768" s="15"/>
    </row>
    <row r="1769" ht="15.75" customHeight="1"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3"/>
      <c r="AQ1769" s="13"/>
      <c r="AR1769" s="13"/>
      <c r="AS1769" s="13"/>
      <c r="AT1769" s="12"/>
      <c r="AU1769" s="12"/>
      <c r="AV1769" s="14"/>
      <c r="AW1769" s="15"/>
      <c r="AX1769" s="15"/>
    </row>
    <row r="1770" ht="15.75" customHeight="1"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3"/>
      <c r="AQ1770" s="13"/>
      <c r="AR1770" s="13"/>
      <c r="AS1770" s="13"/>
      <c r="AT1770" s="12"/>
      <c r="AU1770" s="12"/>
      <c r="AV1770" s="14"/>
      <c r="AW1770" s="15"/>
      <c r="AX1770" s="15"/>
    </row>
    <row r="1771" ht="15.75" customHeight="1"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3"/>
      <c r="AQ1771" s="13"/>
      <c r="AR1771" s="13"/>
      <c r="AS1771" s="13"/>
      <c r="AT1771" s="12"/>
      <c r="AU1771" s="12"/>
      <c r="AV1771" s="14"/>
      <c r="AW1771" s="15"/>
      <c r="AX1771" s="15"/>
    </row>
    <row r="1772" ht="15.75" customHeight="1"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3"/>
      <c r="AQ1772" s="13"/>
      <c r="AR1772" s="13"/>
      <c r="AS1772" s="13"/>
      <c r="AT1772" s="12"/>
      <c r="AU1772" s="12"/>
      <c r="AV1772" s="14"/>
      <c r="AW1772" s="15"/>
      <c r="AX1772" s="15"/>
    </row>
    <row r="1773" ht="15.75" customHeight="1"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3"/>
      <c r="AQ1773" s="13"/>
      <c r="AR1773" s="13"/>
      <c r="AS1773" s="13"/>
      <c r="AT1773" s="12"/>
      <c r="AU1773" s="12"/>
      <c r="AV1773" s="14"/>
      <c r="AW1773" s="15"/>
      <c r="AX1773" s="15"/>
    </row>
    <row r="1774" ht="15.75" customHeight="1"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3"/>
      <c r="AQ1774" s="13"/>
      <c r="AR1774" s="13"/>
      <c r="AS1774" s="13"/>
      <c r="AT1774" s="12"/>
      <c r="AU1774" s="12"/>
      <c r="AV1774" s="14"/>
      <c r="AW1774" s="15"/>
      <c r="AX1774" s="15"/>
    </row>
    <row r="1775" ht="15.75" customHeight="1"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3"/>
      <c r="AQ1775" s="13"/>
      <c r="AR1775" s="13"/>
      <c r="AS1775" s="13"/>
      <c r="AT1775" s="12"/>
      <c r="AU1775" s="12"/>
      <c r="AV1775" s="14"/>
      <c r="AW1775" s="15"/>
      <c r="AX1775" s="15"/>
    </row>
    <row r="1776" ht="15.75" customHeight="1"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3"/>
      <c r="AQ1776" s="13"/>
      <c r="AR1776" s="13"/>
      <c r="AS1776" s="13"/>
      <c r="AT1776" s="12"/>
      <c r="AU1776" s="12"/>
      <c r="AV1776" s="14"/>
      <c r="AW1776" s="15"/>
      <c r="AX1776" s="15"/>
    </row>
    <row r="1777" ht="15.75" customHeight="1"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3"/>
      <c r="AQ1777" s="13"/>
      <c r="AR1777" s="13"/>
      <c r="AS1777" s="13"/>
      <c r="AT1777" s="12"/>
      <c r="AU1777" s="12"/>
      <c r="AV1777" s="14"/>
      <c r="AW1777" s="15"/>
      <c r="AX1777" s="15"/>
    </row>
    <row r="1778" ht="15.75" customHeight="1"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3"/>
      <c r="AQ1778" s="13"/>
      <c r="AR1778" s="13"/>
      <c r="AS1778" s="13"/>
      <c r="AT1778" s="12"/>
      <c r="AU1778" s="12"/>
      <c r="AV1778" s="14"/>
      <c r="AW1778" s="15"/>
      <c r="AX1778" s="15"/>
    </row>
    <row r="1779" ht="15.75" customHeight="1"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3"/>
      <c r="AQ1779" s="13"/>
      <c r="AR1779" s="13"/>
      <c r="AS1779" s="13"/>
      <c r="AT1779" s="12"/>
      <c r="AU1779" s="12"/>
      <c r="AV1779" s="14"/>
      <c r="AW1779" s="15"/>
      <c r="AX1779" s="15"/>
    </row>
    <row r="1780" ht="15.75" customHeight="1"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3"/>
      <c r="AQ1780" s="13"/>
      <c r="AR1780" s="13"/>
      <c r="AS1780" s="13"/>
      <c r="AT1780" s="12"/>
      <c r="AU1780" s="12"/>
      <c r="AV1780" s="14"/>
      <c r="AW1780" s="15"/>
      <c r="AX1780" s="15"/>
    </row>
    <row r="1781" ht="15.75" customHeight="1"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3"/>
      <c r="AQ1781" s="13"/>
      <c r="AR1781" s="13"/>
      <c r="AS1781" s="13"/>
      <c r="AT1781" s="12"/>
      <c r="AU1781" s="12"/>
      <c r="AV1781" s="14"/>
      <c r="AW1781" s="15"/>
      <c r="AX1781" s="15"/>
    </row>
    <row r="1782" ht="15.75" customHeight="1"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3"/>
      <c r="AQ1782" s="13"/>
      <c r="AR1782" s="13"/>
      <c r="AS1782" s="13"/>
      <c r="AT1782" s="12"/>
      <c r="AU1782" s="12"/>
      <c r="AV1782" s="14"/>
      <c r="AW1782" s="15"/>
      <c r="AX1782" s="15"/>
    </row>
    <row r="1783" ht="15.75" customHeight="1"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3"/>
      <c r="AQ1783" s="13"/>
      <c r="AR1783" s="13"/>
      <c r="AS1783" s="13"/>
      <c r="AT1783" s="12"/>
      <c r="AU1783" s="12"/>
      <c r="AV1783" s="14"/>
      <c r="AW1783" s="15"/>
      <c r="AX1783" s="15"/>
    </row>
    <row r="1784" ht="15.75" customHeight="1"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3"/>
      <c r="AQ1784" s="13"/>
      <c r="AR1784" s="13"/>
      <c r="AS1784" s="13"/>
      <c r="AT1784" s="12"/>
      <c r="AU1784" s="12"/>
      <c r="AV1784" s="14"/>
      <c r="AW1784" s="15"/>
      <c r="AX1784" s="15"/>
    </row>
    <row r="1785" ht="15.75" customHeight="1"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3"/>
      <c r="AQ1785" s="13"/>
      <c r="AR1785" s="13"/>
      <c r="AS1785" s="13"/>
      <c r="AT1785" s="12"/>
      <c r="AU1785" s="12"/>
      <c r="AV1785" s="14"/>
      <c r="AW1785" s="15"/>
      <c r="AX1785" s="15"/>
    </row>
    <row r="1786" ht="15.75" customHeight="1"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3"/>
      <c r="AQ1786" s="13"/>
      <c r="AR1786" s="13"/>
      <c r="AS1786" s="13"/>
      <c r="AT1786" s="12"/>
      <c r="AU1786" s="12"/>
      <c r="AV1786" s="14"/>
      <c r="AW1786" s="15"/>
      <c r="AX1786" s="15"/>
    </row>
    <row r="1787" ht="15.75" customHeight="1"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3"/>
      <c r="AQ1787" s="13"/>
      <c r="AR1787" s="13"/>
      <c r="AS1787" s="13"/>
      <c r="AT1787" s="12"/>
      <c r="AU1787" s="12"/>
      <c r="AV1787" s="14"/>
      <c r="AW1787" s="15"/>
      <c r="AX1787" s="15"/>
    </row>
    <row r="1788" ht="15.75" customHeight="1"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3"/>
      <c r="AQ1788" s="13"/>
      <c r="AR1788" s="13"/>
      <c r="AS1788" s="13"/>
      <c r="AT1788" s="12"/>
      <c r="AU1788" s="12"/>
      <c r="AV1788" s="14"/>
      <c r="AW1788" s="15"/>
      <c r="AX1788" s="15"/>
    </row>
    <row r="1789" ht="15.75" customHeight="1"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3"/>
      <c r="AQ1789" s="13"/>
      <c r="AR1789" s="13"/>
      <c r="AS1789" s="13"/>
      <c r="AT1789" s="12"/>
      <c r="AU1789" s="12"/>
      <c r="AV1789" s="14"/>
      <c r="AW1789" s="15"/>
      <c r="AX1789" s="15"/>
    </row>
    <row r="1790" ht="15.75" customHeight="1"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3"/>
      <c r="AQ1790" s="13"/>
      <c r="AR1790" s="13"/>
      <c r="AS1790" s="13"/>
      <c r="AT1790" s="12"/>
      <c r="AU1790" s="12"/>
      <c r="AV1790" s="14"/>
      <c r="AW1790" s="15"/>
      <c r="AX1790" s="15"/>
    </row>
    <row r="1791" ht="15.75" customHeight="1"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3"/>
      <c r="AQ1791" s="13"/>
      <c r="AR1791" s="13"/>
      <c r="AS1791" s="13"/>
      <c r="AT1791" s="12"/>
      <c r="AU1791" s="12"/>
      <c r="AV1791" s="14"/>
      <c r="AW1791" s="15"/>
      <c r="AX1791" s="15"/>
    </row>
    <row r="1792" ht="15.75" customHeight="1"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3"/>
      <c r="AQ1792" s="13"/>
      <c r="AR1792" s="13"/>
      <c r="AS1792" s="13"/>
      <c r="AT1792" s="12"/>
      <c r="AU1792" s="12"/>
      <c r="AV1792" s="14"/>
      <c r="AW1792" s="15"/>
      <c r="AX1792" s="15"/>
    </row>
    <row r="1793" ht="15.75" customHeight="1"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3"/>
      <c r="AQ1793" s="13"/>
      <c r="AR1793" s="13"/>
      <c r="AS1793" s="13"/>
      <c r="AT1793" s="12"/>
      <c r="AU1793" s="12"/>
      <c r="AV1793" s="14"/>
      <c r="AW1793" s="15"/>
      <c r="AX1793" s="15"/>
    </row>
    <row r="1794" ht="15.75" customHeight="1"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3"/>
      <c r="AQ1794" s="13"/>
      <c r="AR1794" s="13"/>
      <c r="AS1794" s="13"/>
      <c r="AT1794" s="12"/>
      <c r="AU1794" s="12"/>
      <c r="AV1794" s="14"/>
      <c r="AW1794" s="15"/>
      <c r="AX1794" s="15"/>
    </row>
    <row r="1795" ht="15.75" customHeight="1"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3"/>
      <c r="AQ1795" s="13"/>
      <c r="AR1795" s="13"/>
      <c r="AS1795" s="13"/>
      <c r="AT1795" s="12"/>
      <c r="AU1795" s="12"/>
      <c r="AV1795" s="14"/>
      <c r="AW1795" s="15"/>
      <c r="AX1795" s="15"/>
    </row>
    <row r="1796" ht="15.75" customHeight="1"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3"/>
      <c r="AQ1796" s="13"/>
      <c r="AR1796" s="13"/>
      <c r="AS1796" s="13"/>
      <c r="AT1796" s="12"/>
      <c r="AU1796" s="12"/>
      <c r="AV1796" s="14"/>
      <c r="AW1796" s="15"/>
      <c r="AX1796" s="15"/>
    </row>
    <row r="1797" ht="15.75" customHeight="1"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3"/>
      <c r="AQ1797" s="13"/>
      <c r="AR1797" s="13"/>
      <c r="AS1797" s="13"/>
      <c r="AT1797" s="12"/>
      <c r="AU1797" s="12"/>
      <c r="AV1797" s="14"/>
      <c r="AW1797" s="15"/>
      <c r="AX1797" s="15"/>
    </row>
    <row r="1798" ht="15.75" customHeight="1"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3"/>
      <c r="AQ1798" s="13"/>
      <c r="AR1798" s="13"/>
      <c r="AS1798" s="13"/>
      <c r="AT1798" s="12"/>
      <c r="AU1798" s="12"/>
      <c r="AV1798" s="14"/>
      <c r="AW1798" s="15"/>
      <c r="AX1798" s="15"/>
    </row>
    <row r="1799" ht="15.75" customHeight="1"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3"/>
      <c r="AQ1799" s="13"/>
      <c r="AR1799" s="13"/>
      <c r="AS1799" s="13"/>
      <c r="AT1799" s="12"/>
      <c r="AU1799" s="12"/>
      <c r="AV1799" s="14"/>
      <c r="AW1799" s="15"/>
      <c r="AX1799" s="15"/>
    </row>
    <row r="1800" ht="15.75" customHeight="1"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3"/>
      <c r="AQ1800" s="13"/>
      <c r="AR1800" s="13"/>
      <c r="AS1800" s="13"/>
      <c r="AT1800" s="12"/>
      <c r="AU1800" s="12"/>
      <c r="AV1800" s="14"/>
      <c r="AW1800" s="15"/>
      <c r="AX1800" s="15"/>
    </row>
    <row r="1801" ht="15.75" customHeight="1"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3"/>
      <c r="AQ1801" s="13"/>
      <c r="AR1801" s="13"/>
      <c r="AS1801" s="13"/>
      <c r="AT1801" s="12"/>
      <c r="AU1801" s="12"/>
      <c r="AV1801" s="14"/>
      <c r="AW1801" s="15"/>
      <c r="AX1801" s="15"/>
    </row>
    <row r="1802" ht="15.75" customHeight="1"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3"/>
      <c r="AQ1802" s="13"/>
      <c r="AR1802" s="13"/>
      <c r="AS1802" s="13"/>
      <c r="AT1802" s="12"/>
      <c r="AU1802" s="12"/>
      <c r="AV1802" s="14"/>
      <c r="AW1802" s="15"/>
      <c r="AX1802" s="15"/>
    </row>
    <row r="1803" ht="15.75" customHeight="1"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3"/>
      <c r="AQ1803" s="13"/>
      <c r="AR1803" s="13"/>
      <c r="AS1803" s="13"/>
      <c r="AT1803" s="12"/>
      <c r="AU1803" s="12"/>
      <c r="AV1803" s="14"/>
      <c r="AW1803" s="15"/>
      <c r="AX1803" s="15"/>
    </row>
    <row r="1804" ht="15.75" customHeight="1"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3"/>
      <c r="AQ1804" s="13"/>
      <c r="AR1804" s="13"/>
      <c r="AS1804" s="13"/>
      <c r="AT1804" s="12"/>
      <c r="AU1804" s="12"/>
      <c r="AV1804" s="14"/>
      <c r="AW1804" s="15"/>
      <c r="AX1804" s="15"/>
    </row>
    <row r="1805" ht="15.75" customHeight="1"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3"/>
      <c r="AQ1805" s="13"/>
      <c r="AR1805" s="13"/>
      <c r="AS1805" s="13"/>
      <c r="AT1805" s="12"/>
      <c r="AU1805" s="12"/>
      <c r="AV1805" s="14"/>
      <c r="AW1805" s="15"/>
      <c r="AX1805" s="15"/>
    </row>
    <row r="1806" ht="15.75" customHeight="1"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3"/>
      <c r="AQ1806" s="13"/>
      <c r="AR1806" s="13"/>
      <c r="AS1806" s="13"/>
      <c r="AT1806" s="12"/>
      <c r="AU1806" s="12"/>
      <c r="AV1806" s="14"/>
      <c r="AW1806" s="15"/>
      <c r="AX1806" s="15"/>
    </row>
    <row r="1807" ht="15.75" customHeight="1"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3"/>
      <c r="AQ1807" s="13"/>
      <c r="AR1807" s="13"/>
      <c r="AS1807" s="13"/>
      <c r="AT1807" s="12"/>
      <c r="AU1807" s="12"/>
      <c r="AV1807" s="14"/>
      <c r="AW1807" s="15"/>
      <c r="AX1807" s="15"/>
    </row>
    <row r="1808" ht="15.75" customHeight="1"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3"/>
      <c r="AQ1808" s="13"/>
      <c r="AR1808" s="13"/>
      <c r="AS1808" s="13"/>
      <c r="AT1808" s="12"/>
      <c r="AU1808" s="12"/>
      <c r="AV1808" s="14"/>
      <c r="AW1808" s="15"/>
      <c r="AX1808" s="15"/>
    </row>
    <row r="1809" ht="15.75" customHeight="1"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3"/>
      <c r="AQ1809" s="13"/>
      <c r="AR1809" s="13"/>
      <c r="AS1809" s="13"/>
      <c r="AT1809" s="12"/>
      <c r="AU1809" s="12"/>
      <c r="AV1809" s="14"/>
      <c r="AW1809" s="15"/>
      <c r="AX1809" s="15"/>
    </row>
    <row r="1810" ht="15.75" customHeight="1"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3"/>
      <c r="AQ1810" s="13"/>
      <c r="AR1810" s="13"/>
      <c r="AS1810" s="13"/>
      <c r="AT1810" s="12"/>
      <c r="AU1810" s="12"/>
      <c r="AV1810" s="14"/>
      <c r="AW1810" s="15"/>
      <c r="AX1810" s="15"/>
    </row>
    <row r="1811" ht="15.75" customHeight="1"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3"/>
      <c r="AQ1811" s="13"/>
      <c r="AR1811" s="13"/>
      <c r="AS1811" s="13"/>
      <c r="AT1811" s="12"/>
      <c r="AU1811" s="12"/>
      <c r="AV1811" s="14"/>
      <c r="AW1811" s="15"/>
      <c r="AX1811" s="15"/>
    </row>
    <row r="1812" ht="15.75" customHeight="1"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3"/>
      <c r="AQ1812" s="13"/>
      <c r="AR1812" s="13"/>
      <c r="AS1812" s="13"/>
      <c r="AT1812" s="12"/>
      <c r="AU1812" s="12"/>
      <c r="AV1812" s="14"/>
      <c r="AW1812" s="15"/>
      <c r="AX1812" s="15"/>
    </row>
    <row r="1813" ht="15.75" customHeight="1"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3"/>
      <c r="AQ1813" s="13"/>
      <c r="AR1813" s="13"/>
      <c r="AS1813" s="13"/>
      <c r="AT1813" s="12"/>
      <c r="AU1813" s="12"/>
      <c r="AV1813" s="14"/>
      <c r="AW1813" s="15"/>
      <c r="AX1813" s="15"/>
    </row>
    <row r="1814" ht="15.75" customHeight="1"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  <c r="AO1814" s="12"/>
      <c r="AP1814" s="13"/>
      <c r="AQ1814" s="13"/>
      <c r="AR1814" s="13"/>
      <c r="AS1814" s="13"/>
      <c r="AT1814" s="12"/>
      <c r="AU1814" s="12"/>
      <c r="AV1814" s="14"/>
      <c r="AW1814" s="15"/>
      <c r="AX1814" s="15"/>
    </row>
    <row r="1815" ht="15.75" customHeight="1"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12"/>
      <c r="AP1815" s="13"/>
      <c r="AQ1815" s="13"/>
      <c r="AR1815" s="13"/>
      <c r="AS1815" s="13"/>
      <c r="AT1815" s="12"/>
      <c r="AU1815" s="12"/>
      <c r="AV1815" s="14"/>
      <c r="AW1815" s="15"/>
      <c r="AX1815" s="15"/>
    </row>
    <row r="1816" ht="15.75" customHeight="1"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12"/>
      <c r="AP1816" s="13"/>
      <c r="AQ1816" s="13"/>
      <c r="AR1816" s="13"/>
      <c r="AS1816" s="13"/>
      <c r="AT1816" s="12"/>
      <c r="AU1816" s="12"/>
      <c r="AV1816" s="14"/>
      <c r="AW1816" s="15"/>
      <c r="AX1816" s="15"/>
    </row>
    <row r="1817" ht="15.75" customHeight="1"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12"/>
      <c r="AP1817" s="13"/>
      <c r="AQ1817" s="13"/>
      <c r="AR1817" s="13"/>
      <c r="AS1817" s="13"/>
      <c r="AT1817" s="12"/>
      <c r="AU1817" s="12"/>
      <c r="AV1817" s="14"/>
      <c r="AW1817" s="15"/>
      <c r="AX1817" s="15"/>
    </row>
    <row r="1818" ht="15.75" customHeight="1"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3"/>
      <c r="AQ1818" s="13"/>
      <c r="AR1818" s="13"/>
      <c r="AS1818" s="13"/>
      <c r="AT1818" s="12"/>
      <c r="AU1818" s="12"/>
      <c r="AV1818" s="14"/>
      <c r="AW1818" s="15"/>
      <c r="AX1818" s="15"/>
    </row>
    <row r="1819" ht="15.75" customHeight="1"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3"/>
      <c r="AQ1819" s="13"/>
      <c r="AR1819" s="13"/>
      <c r="AS1819" s="13"/>
      <c r="AT1819" s="12"/>
      <c r="AU1819" s="12"/>
      <c r="AV1819" s="14"/>
      <c r="AW1819" s="15"/>
      <c r="AX1819" s="15"/>
    </row>
    <row r="1820" ht="15.75" customHeight="1"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12"/>
      <c r="AP1820" s="13"/>
      <c r="AQ1820" s="13"/>
      <c r="AR1820" s="13"/>
      <c r="AS1820" s="13"/>
      <c r="AT1820" s="12"/>
      <c r="AU1820" s="12"/>
      <c r="AV1820" s="14"/>
      <c r="AW1820" s="15"/>
      <c r="AX1820" s="15"/>
    </row>
    <row r="1821" ht="15.75" customHeight="1"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  <c r="AO1821" s="12"/>
      <c r="AP1821" s="13"/>
      <c r="AQ1821" s="13"/>
      <c r="AR1821" s="13"/>
      <c r="AS1821" s="13"/>
      <c r="AT1821" s="12"/>
      <c r="AU1821" s="12"/>
      <c r="AV1821" s="14"/>
      <c r="AW1821" s="15"/>
      <c r="AX1821" s="15"/>
    </row>
    <row r="1822" ht="15.75" customHeight="1"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3"/>
      <c r="AQ1822" s="13"/>
      <c r="AR1822" s="13"/>
      <c r="AS1822" s="13"/>
      <c r="AT1822" s="12"/>
      <c r="AU1822" s="12"/>
      <c r="AV1822" s="14"/>
      <c r="AW1822" s="15"/>
      <c r="AX1822" s="15"/>
    </row>
    <row r="1823" ht="15.75" customHeight="1"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3"/>
      <c r="AQ1823" s="13"/>
      <c r="AR1823" s="13"/>
      <c r="AS1823" s="13"/>
      <c r="AT1823" s="12"/>
      <c r="AU1823" s="12"/>
      <c r="AV1823" s="14"/>
      <c r="AW1823" s="15"/>
      <c r="AX1823" s="15"/>
    </row>
    <row r="1824" ht="15.75" customHeight="1"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3"/>
      <c r="AQ1824" s="13"/>
      <c r="AR1824" s="13"/>
      <c r="AS1824" s="13"/>
      <c r="AT1824" s="12"/>
      <c r="AU1824" s="12"/>
      <c r="AV1824" s="14"/>
      <c r="AW1824" s="15"/>
      <c r="AX1824" s="15"/>
    </row>
    <row r="1825" ht="15.75" customHeight="1"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3"/>
      <c r="AQ1825" s="13"/>
      <c r="AR1825" s="13"/>
      <c r="AS1825" s="13"/>
      <c r="AT1825" s="12"/>
      <c r="AU1825" s="12"/>
      <c r="AV1825" s="14"/>
      <c r="AW1825" s="15"/>
      <c r="AX1825" s="15"/>
    </row>
    <row r="1826" ht="15.75" customHeight="1"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  <c r="AO1826" s="12"/>
      <c r="AP1826" s="13"/>
      <c r="AQ1826" s="13"/>
      <c r="AR1826" s="13"/>
      <c r="AS1826" s="13"/>
      <c r="AT1826" s="12"/>
      <c r="AU1826" s="12"/>
      <c r="AV1826" s="14"/>
      <c r="AW1826" s="15"/>
      <c r="AX1826" s="15"/>
    </row>
    <row r="1827" ht="15.75" customHeight="1"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  <c r="AO1827" s="12"/>
      <c r="AP1827" s="13"/>
      <c r="AQ1827" s="13"/>
      <c r="AR1827" s="13"/>
      <c r="AS1827" s="13"/>
      <c r="AT1827" s="12"/>
      <c r="AU1827" s="12"/>
      <c r="AV1827" s="14"/>
      <c r="AW1827" s="15"/>
      <c r="AX1827" s="15"/>
    </row>
    <row r="1828" ht="15.75" customHeight="1"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  <c r="AO1828" s="12"/>
      <c r="AP1828" s="13"/>
      <c r="AQ1828" s="13"/>
      <c r="AR1828" s="13"/>
      <c r="AS1828" s="13"/>
      <c r="AT1828" s="12"/>
      <c r="AU1828" s="12"/>
      <c r="AV1828" s="14"/>
      <c r="AW1828" s="15"/>
      <c r="AX1828" s="15"/>
    </row>
    <row r="1829" ht="15.75" customHeight="1"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  <c r="AO1829" s="12"/>
      <c r="AP1829" s="13"/>
      <c r="AQ1829" s="13"/>
      <c r="AR1829" s="13"/>
      <c r="AS1829" s="13"/>
      <c r="AT1829" s="12"/>
      <c r="AU1829" s="12"/>
      <c r="AV1829" s="14"/>
      <c r="AW1829" s="15"/>
      <c r="AX1829" s="15"/>
    </row>
    <row r="1830" ht="15.75" customHeight="1"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  <c r="AN1830" s="12"/>
      <c r="AO1830" s="12"/>
      <c r="AP1830" s="13"/>
      <c r="AQ1830" s="13"/>
      <c r="AR1830" s="13"/>
      <c r="AS1830" s="13"/>
      <c r="AT1830" s="12"/>
      <c r="AU1830" s="12"/>
      <c r="AV1830" s="14"/>
      <c r="AW1830" s="15"/>
      <c r="AX1830" s="15"/>
    </row>
    <row r="1831" ht="15.75" customHeight="1"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  <c r="AN1831" s="12"/>
      <c r="AO1831" s="12"/>
      <c r="AP1831" s="13"/>
      <c r="AQ1831" s="13"/>
      <c r="AR1831" s="13"/>
      <c r="AS1831" s="13"/>
      <c r="AT1831" s="12"/>
      <c r="AU1831" s="12"/>
      <c r="AV1831" s="14"/>
      <c r="AW1831" s="15"/>
      <c r="AX1831" s="15"/>
    </row>
    <row r="1832" ht="15.75" customHeight="1"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12"/>
      <c r="AN1832" s="12"/>
      <c r="AO1832" s="12"/>
      <c r="AP1832" s="13"/>
      <c r="AQ1832" s="13"/>
      <c r="AR1832" s="13"/>
      <c r="AS1832" s="13"/>
      <c r="AT1832" s="12"/>
      <c r="AU1832" s="12"/>
      <c r="AV1832" s="14"/>
      <c r="AW1832" s="15"/>
      <c r="AX1832" s="15"/>
    </row>
    <row r="1833" ht="15.75" customHeight="1"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  <c r="AP1833" s="13"/>
      <c r="AQ1833" s="13"/>
      <c r="AR1833" s="13"/>
      <c r="AS1833" s="13"/>
      <c r="AT1833" s="12"/>
      <c r="AU1833" s="12"/>
      <c r="AV1833" s="14"/>
      <c r="AW1833" s="15"/>
      <c r="AX1833" s="15"/>
    </row>
    <row r="1834" ht="15.75" customHeight="1"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12"/>
      <c r="AP1834" s="13"/>
      <c r="AQ1834" s="13"/>
      <c r="AR1834" s="13"/>
      <c r="AS1834" s="13"/>
      <c r="AT1834" s="12"/>
      <c r="AU1834" s="12"/>
      <c r="AV1834" s="14"/>
      <c r="AW1834" s="15"/>
      <c r="AX1834" s="15"/>
    </row>
    <row r="1835" ht="15.75" customHeight="1"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  <c r="AN1835" s="12"/>
      <c r="AO1835" s="12"/>
      <c r="AP1835" s="13"/>
      <c r="AQ1835" s="13"/>
      <c r="AR1835" s="13"/>
      <c r="AS1835" s="13"/>
      <c r="AT1835" s="12"/>
      <c r="AU1835" s="12"/>
      <c r="AV1835" s="14"/>
      <c r="AW1835" s="15"/>
      <c r="AX1835" s="15"/>
    </row>
    <row r="1836" ht="15.75" customHeight="1"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3"/>
      <c r="AQ1836" s="13"/>
      <c r="AR1836" s="13"/>
      <c r="AS1836" s="13"/>
      <c r="AT1836" s="12"/>
      <c r="AU1836" s="12"/>
      <c r="AV1836" s="14"/>
      <c r="AW1836" s="15"/>
      <c r="AX1836" s="15"/>
    </row>
    <row r="1837" ht="15.75" customHeight="1"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12"/>
      <c r="AP1837" s="13"/>
      <c r="AQ1837" s="13"/>
      <c r="AR1837" s="13"/>
      <c r="AS1837" s="13"/>
      <c r="AT1837" s="12"/>
      <c r="AU1837" s="12"/>
      <c r="AV1837" s="14"/>
      <c r="AW1837" s="15"/>
      <c r="AX1837" s="15"/>
    </row>
    <row r="1838" ht="15.75" customHeight="1"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  <c r="AN1838" s="12"/>
      <c r="AO1838" s="12"/>
      <c r="AP1838" s="13"/>
      <c r="AQ1838" s="13"/>
      <c r="AR1838" s="13"/>
      <c r="AS1838" s="13"/>
      <c r="AT1838" s="12"/>
      <c r="AU1838" s="12"/>
      <c r="AV1838" s="14"/>
      <c r="AW1838" s="15"/>
      <c r="AX1838" s="15"/>
    </row>
    <row r="1839" ht="15.75" customHeight="1"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  <c r="AO1839" s="12"/>
      <c r="AP1839" s="13"/>
      <c r="AQ1839" s="13"/>
      <c r="AR1839" s="13"/>
      <c r="AS1839" s="13"/>
      <c r="AT1839" s="12"/>
      <c r="AU1839" s="12"/>
      <c r="AV1839" s="14"/>
      <c r="AW1839" s="15"/>
      <c r="AX1839" s="15"/>
    </row>
    <row r="1840" ht="15.75" customHeight="1"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  <c r="AN1840" s="12"/>
      <c r="AO1840" s="12"/>
      <c r="AP1840" s="13"/>
      <c r="AQ1840" s="13"/>
      <c r="AR1840" s="13"/>
      <c r="AS1840" s="13"/>
      <c r="AT1840" s="12"/>
      <c r="AU1840" s="12"/>
      <c r="AV1840" s="14"/>
      <c r="AW1840" s="15"/>
      <c r="AX1840" s="15"/>
    </row>
    <row r="1841" ht="15.75" customHeight="1"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  <c r="AN1841" s="12"/>
      <c r="AO1841" s="12"/>
      <c r="AP1841" s="13"/>
      <c r="AQ1841" s="13"/>
      <c r="AR1841" s="13"/>
      <c r="AS1841" s="13"/>
      <c r="AT1841" s="12"/>
      <c r="AU1841" s="12"/>
      <c r="AV1841" s="14"/>
      <c r="AW1841" s="15"/>
      <c r="AX1841" s="15"/>
    </row>
    <row r="1842" ht="15.75" customHeight="1"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  <c r="AO1842" s="12"/>
      <c r="AP1842" s="13"/>
      <c r="AQ1842" s="13"/>
      <c r="AR1842" s="13"/>
      <c r="AS1842" s="13"/>
      <c r="AT1842" s="12"/>
      <c r="AU1842" s="12"/>
      <c r="AV1842" s="14"/>
      <c r="AW1842" s="15"/>
      <c r="AX1842" s="15"/>
    </row>
    <row r="1843" ht="15.75" customHeight="1"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  <c r="AO1843" s="12"/>
      <c r="AP1843" s="13"/>
      <c r="AQ1843" s="13"/>
      <c r="AR1843" s="13"/>
      <c r="AS1843" s="13"/>
      <c r="AT1843" s="12"/>
      <c r="AU1843" s="12"/>
      <c r="AV1843" s="14"/>
      <c r="AW1843" s="15"/>
      <c r="AX1843" s="15"/>
    </row>
    <row r="1844" ht="15.75" customHeight="1"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  <c r="AO1844" s="12"/>
      <c r="AP1844" s="13"/>
      <c r="AQ1844" s="13"/>
      <c r="AR1844" s="13"/>
      <c r="AS1844" s="13"/>
      <c r="AT1844" s="12"/>
      <c r="AU1844" s="12"/>
      <c r="AV1844" s="14"/>
      <c r="AW1844" s="15"/>
      <c r="AX1844" s="15"/>
    </row>
    <row r="1845" ht="15.75" customHeight="1"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  <c r="AN1845" s="12"/>
      <c r="AO1845" s="12"/>
      <c r="AP1845" s="13"/>
      <c r="AQ1845" s="13"/>
      <c r="AR1845" s="13"/>
      <c r="AS1845" s="13"/>
      <c r="AT1845" s="12"/>
      <c r="AU1845" s="12"/>
      <c r="AV1845" s="14"/>
      <c r="AW1845" s="15"/>
      <c r="AX1845" s="15"/>
    </row>
    <row r="1846" ht="15.75" customHeight="1"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  <c r="AN1846" s="12"/>
      <c r="AO1846" s="12"/>
      <c r="AP1846" s="13"/>
      <c r="AQ1846" s="13"/>
      <c r="AR1846" s="13"/>
      <c r="AS1846" s="13"/>
      <c r="AT1846" s="12"/>
      <c r="AU1846" s="12"/>
      <c r="AV1846" s="14"/>
      <c r="AW1846" s="15"/>
      <c r="AX1846" s="15"/>
    </row>
    <row r="1847" ht="15.75" customHeight="1"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  <c r="AO1847" s="12"/>
      <c r="AP1847" s="13"/>
      <c r="AQ1847" s="13"/>
      <c r="AR1847" s="13"/>
      <c r="AS1847" s="13"/>
      <c r="AT1847" s="12"/>
      <c r="AU1847" s="12"/>
      <c r="AV1847" s="14"/>
      <c r="AW1847" s="15"/>
      <c r="AX1847" s="15"/>
    </row>
    <row r="1848" ht="15.75" customHeight="1"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  <c r="AN1848" s="12"/>
      <c r="AO1848" s="12"/>
      <c r="AP1848" s="13"/>
      <c r="AQ1848" s="13"/>
      <c r="AR1848" s="13"/>
      <c r="AS1848" s="13"/>
      <c r="AT1848" s="12"/>
      <c r="AU1848" s="12"/>
      <c r="AV1848" s="14"/>
      <c r="AW1848" s="15"/>
      <c r="AX1848" s="15"/>
    </row>
    <row r="1849" ht="15.75" customHeight="1"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  <c r="AM1849" s="12"/>
      <c r="AN1849" s="12"/>
      <c r="AO1849" s="12"/>
      <c r="AP1849" s="13"/>
      <c r="AQ1849" s="13"/>
      <c r="AR1849" s="13"/>
      <c r="AS1849" s="13"/>
      <c r="AT1849" s="12"/>
      <c r="AU1849" s="12"/>
      <c r="AV1849" s="14"/>
      <c r="AW1849" s="15"/>
      <c r="AX1849" s="15"/>
    </row>
    <row r="1850" ht="15.75" customHeight="1"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3"/>
      <c r="AQ1850" s="13"/>
      <c r="AR1850" s="13"/>
      <c r="AS1850" s="13"/>
      <c r="AT1850" s="12"/>
      <c r="AU1850" s="12"/>
      <c r="AV1850" s="14"/>
      <c r="AW1850" s="15"/>
      <c r="AX1850" s="15"/>
    </row>
    <row r="1851" ht="15.75" customHeight="1"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12"/>
      <c r="AN1851" s="12"/>
      <c r="AO1851" s="12"/>
      <c r="AP1851" s="13"/>
      <c r="AQ1851" s="13"/>
      <c r="AR1851" s="13"/>
      <c r="AS1851" s="13"/>
      <c r="AT1851" s="12"/>
      <c r="AU1851" s="12"/>
      <c r="AV1851" s="14"/>
      <c r="AW1851" s="15"/>
      <c r="AX1851" s="15"/>
    </row>
    <row r="1852" ht="15.75" customHeight="1"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  <c r="AN1852" s="12"/>
      <c r="AO1852" s="12"/>
      <c r="AP1852" s="13"/>
      <c r="AQ1852" s="13"/>
      <c r="AR1852" s="13"/>
      <c r="AS1852" s="13"/>
      <c r="AT1852" s="12"/>
      <c r="AU1852" s="12"/>
      <c r="AV1852" s="14"/>
      <c r="AW1852" s="15"/>
      <c r="AX1852" s="15"/>
    </row>
    <row r="1853" ht="15.75" customHeight="1"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  <c r="AN1853" s="12"/>
      <c r="AO1853" s="12"/>
      <c r="AP1853" s="13"/>
      <c r="AQ1853" s="13"/>
      <c r="AR1853" s="13"/>
      <c r="AS1853" s="13"/>
      <c r="AT1853" s="12"/>
      <c r="AU1853" s="12"/>
      <c r="AV1853" s="14"/>
      <c r="AW1853" s="15"/>
      <c r="AX1853" s="15"/>
    </row>
    <row r="1854" ht="15.75" customHeight="1"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  <c r="AN1854" s="12"/>
      <c r="AO1854" s="12"/>
      <c r="AP1854" s="13"/>
      <c r="AQ1854" s="13"/>
      <c r="AR1854" s="13"/>
      <c r="AS1854" s="13"/>
      <c r="AT1854" s="12"/>
      <c r="AU1854" s="12"/>
      <c r="AV1854" s="14"/>
      <c r="AW1854" s="15"/>
      <c r="AX1854" s="15"/>
    </row>
    <row r="1855" ht="15.75" customHeight="1"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  <c r="AM1855" s="12"/>
      <c r="AN1855" s="12"/>
      <c r="AO1855" s="12"/>
      <c r="AP1855" s="13"/>
      <c r="AQ1855" s="13"/>
      <c r="AR1855" s="13"/>
      <c r="AS1855" s="13"/>
      <c r="AT1855" s="12"/>
      <c r="AU1855" s="12"/>
      <c r="AV1855" s="14"/>
      <c r="AW1855" s="15"/>
      <c r="AX1855" s="15"/>
    </row>
    <row r="1856" ht="15.75" customHeight="1"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  <c r="AM1856" s="12"/>
      <c r="AN1856" s="12"/>
      <c r="AO1856" s="12"/>
      <c r="AP1856" s="13"/>
      <c r="AQ1856" s="13"/>
      <c r="AR1856" s="13"/>
      <c r="AS1856" s="13"/>
      <c r="AT1856" s="12"/>
      <c r="AU1856" s="12"/>
      <c r="AV1856" s="14"/>
      <c r="AW1856" s="15"/>
      <c r="AX1856" s="15"/>
    </row>
    <row r="1857" ht="15.75" customHeight="1"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12"/>
      <c r="AN1857" s="12"/>
      <c r="AO1857" s="12"/>
      <c r="AP1857" s="13"/>
      <c r="AQ1857" s="13"/>
      <c r="AR1857" s="13"/>
      <c r="AS1857" s="13"/>
      <c r="AT1857" s="12"/>
      <c r="AU1857" s="12"/>
      <c r="AV1857" s="14"/>
      <c r="AW1857" s="15"/>
      <c r="AX1857" s="15"/>
    </row>
    <row r="1858" ht="15.75" customHeight="1"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  <c r="AM1858" s="12"/>
      <c r="AN1858" s="12"/>
      <c r="AO1858" s="12"/>
      <c r="AP1858" s="13"/>
      <c r="AQ1858" s="13"/>
      <c r="AR1858" s="13"/>
      <c r="AS1858" s="13"/>
      <c r="AT1858" s="12"/>
      <c r="AU1858" s="12"/>
      <c r="AV1858" s="14"/>
      <c r="AW1858" s="15"/>
      <c r="AX1858" s="15"/>
    </row>
    <row r="1859" ht="15.75" customHeight="1"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  <c r="AM1859" s="12"/>
      <c r="AN1859" s="12"/>
      <c r="AO1859" s="12"/>
      <c r="AP1859" s="13"/>
      <c r="AQ1859" s="13"/>
      <c r="AR1859" s="13"/>
      <c r="AS1859" s="13"/>
      <c r="AT1859" s="12"/>
      <c r="AU1859" s="12"/>
      <c r="AV1859" s="14"/>
      <c r="AW1859" s="15"/>
      <c r="AX1859" s="15"/>
    </row>
    <row r="1860" ht="15.75" customHeight="1"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  <c r="AM1860" s="12"/>
      <c r="AN1860" s="12"/>
      <c r="AO1860" s="12"/>
      <c r="AP1860" s="13"/>
      <c r="AQ1860" s="13"/>
      <c r="AR1860" s="13"/>
      <c r="AS1860" s="13"/>
      <c r="AT1860" s="12"/>
      <c r="AU1860" s="12"/>
      <c r="AV1860" s="14"/>
      <c r="AW1860" s="15"/>
      <c r="AX1860" s="15"/>
    </row>
    <row r="1861" ht="15.75" customHeight="1"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  <c r="AM1861" s="12"/>
      <c r="AN1861" s="12"/>
      <c r="AO1861" s="12"/>
      <c r="AP1861" s="13"/>
      <c r="AQ1861" s="13"/>
      <c r="AR1861" s="13"/>
      <c r="AS1861" s="13"/>
      <c r="AT1861" s="12"/>
      <c r="AU1861" s="12"/>
      <c r="AV1861" s="14"/>
      <c r="AW1861" s="15"/>
      <c r="AX1861" s="15"/>
    </row>
    <row r="1862" ht="15.75" customHeight="1"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  <c r="AM1862" s="12"/>
      <c r="AN1862" s="12"/>
      <c r="AO1862" s="12"/>
      <c r="AP1862" s="13"/>
      <c r="AQ1862" s="13"/>
      <c r="AR1862" s="13"/>
      <c r="AS1862" s="13"/>
      <c r="AT1862" s="12"/>
      <c r="AU1862" s="12"/>
      <c r="AV1862" s="14"/>
      <c r="AW1862" s="15"/>
      <c r="AX1862" s="15"/>
    </row>
    <row r="1863" ht="15.75" customHeight="1"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  <c r="AM1863" s="12"/>
      <c r="AN1863" s="12"/>
      <c r="AO1863" s="12"/>
      <c r="AP1863" s="13"/>
      <c r="AQ1863" s="13"/>
      <c r="AR1863" s="13"/>
      <c r="AS1863" s="13"/>
      <c r="AT1863" s="12"/>
      <c r="AU1863" s="12"/>
      <c r="AV1863" s="14"/>
      <c r="AW1863" s="15"/>
      <c r="AX1863" s="15"/>
    </row>
    <row r="1864" ht="15.75" customHeight="1"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  <c r="AM1864" s="12"/>
      <c r="AN1864" s="12"/>
      <c r="AO1864" s="12"/>
      <c r="AP1864" s="13"/>
      <c r="AQ1864" s="13"/>
      <c r="AR1864" s="13"/>
      <c r="AS1864" s="13"/>
      <c r="AT1864" s="12"/>
      <c r="AU1864" s="12"/>
      <c r="AV1864" s="14"/>
      <c r="AW1864" s="15"/>
      <c r="AX1864" s="15"/>
    </row>
    <row r="1865" ht="15.75" customHeight="1"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  <c r="AM1865" s="12"/>
      <c r="AN1865" s="12"/>
      <c r="AO1865" s="12"/>
      <c r="AP1865" s="13"/>
      <c r="AQ1865" s="13"/>
      <c r="AR1865" s="13"/>
      <c r="AS1865" s="13"/>
      <c r="AT1865" s="12"/>
      <c r="AU1865" s="12"/>
      <c r="AV1865" s="14"/>
      <c r="AW1865" s="15"/>
      <c r="AX1865" s="15"/>
    </row>
    <row r="1866" ht="15.75" customHeight="1"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  <c r="AM1866" s="12"/>
      <c r="AN1866" s="12"/>
      <c r="AO1866" s="12"/>
      <c r="AP1866" s="13"/>
      <c r="AQ1866" s="13"/>
      <c r="AR1866" s="13"/>
      <c r="AS1866" s="13"/>
      <c r="AT1866" s="12"/>
      <c r="AU1866" s="12"/>
      <c r="AV1866" s="14"/>
      <c r="AW1866" s="15"/>
      <c r="AX1866" s="15"/>
    </row>
    <row r="1867" ht="15.75" customHeight="1"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12"/>
      <c r="AN1867" s="12"/>
      <c r="AO1867" s="12"/>
      <c r="AP1867" s="13"/>
      <c r="AQ1867" s="13"/>
      <c r="AR1867" s="13"/>
      <c r="AS1867" s="13"/>
      <c r="AT1867" s="12"/>
      <c r="AU1867" s="12"/>
      <c r="AV1867" s="14"/>
      <c r="AW1867" s="15"/>
      <c r="AX1867" s="15"/>
    </row>
    <row r="1868" ht="15.75" customHeight="1"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  <c r="AM1868" s="12"/>
      <c r="AN1868" s="12"/>
      <c r="AO1868" s="12"/>
      <c r="AP1868" s="13"/>
      <c r="AQ1868" s="13"/>
      <c r="AR1868" s="13"/>
      <c r="AS1868" s="13"/>
      <c r="AT1868" s="12"/>
      <c r="AU1868" s="12"/>
      <c r="AV1868" s="14"/>
      <c r="AW1868" s="15"/>
      <c r="AX1868" s="15"/>
    </row>
    <row r="1869" ht="15.75" customHeight="1"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  <c r="AM1869" s="12"/>
      <c r="AN1869" s="12"/>
      <c r="AO1869" s="12"/>
      <c r="AP1869" s="13"/>
      <c r="AQ1869" s="13"/>
      <c r="AR1869" s="13"/>
      <c r="AS1869" s="13"/>
      <c r="AT1869" s="12"/>
      <c r="AU1869" s="12"/>
      <c r="AV1869" s="14"/>
      <c r="AW1869" s="15"/>
      <c r="AX1869" s="15"/>
    </row>
    <row r="1870" ht="15.75" customHeight="1"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  <c r="AM1870" s="12"/>
      <c r="AN1870" s="12"/>
      <c r="AO1870" s="12"/>
      <c r="AP1870" s="13"/>
      <c r="AQ1870" s="13"/>
      <c r="AR1870" s="13"/>
      <c r="AS1870" s="13"/>
      <c r="AT1870" s="12"/>
      <c r="AU1870" s="12"/>
      <c r="AV1870" s="14"/>
      <c r="AW1870" s="15"/>
      <c r="AX1870" s="15"/>
    </row>
    <row r="1871" ht="15.75" customHeight="1"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  <c r="AM1871" s="12"/>
      <c r="AN1871" s="12"/>
      <c r="AO1871" s="12"/>
      <c r="AP1871" s="13"/>
      <c r="AQ1871" s="13"/>
      <c r="AR1871" s="13"/>
      <c r="AS1871" s="13"/>
      <c r="AT1871" s="12"/>
      <c r="AU1871" s="12"/>
      <c r="AV1871" s="14"/>
      <c r="AW1871" s="15"/>
      <c r="AX1871" s="15"/>
    </row>
    <row r="1872" ht="15.75" customHeight="1"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3"/>
      <c r="AQ1872" s="13"/>
      <c r="AR1872" s="13"/>
      <c r="AS1872" s="13"/>
      <c r="AT1872" s="12"/>
      <c r="AU1872" s="12"/>
      <c r="AV1872" s="14"/>
      <c r="AW1872" s="15"/>
      <c r="AX1872" s="15"/>
    </row>
    <row r="1873" ht="15.75" customHeight="1"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12"/>
      <c r="AN1873" s="12"/>
      <c r="AO1873" s="12"/>
      <c r="AP1873" s="13"/>
      <c r="AQ1873" s="13"/>
      <c r="AR1873" s="13"/>
      <c r="AS1873" s="13"/>
      <c r="AT1873" s="12"/>
      <c r="AU1873" s="12"/>
      <c r="AV1873" s="14"/>
      <c r="AW1873" s="15"/>
      <c r="AX1873" s="15"/>
    </row>
    <row r="1874" ht="15.75" customHeight="1"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12"/>
      <c r="AN1874" s="12"/>
      <c r="AO1874" s="12"/>
      <c r="AP1874" s="13"/>
      <c r="AQ1874" s="13"/>
      <c r="AR1874" s="13"/>
      <c r="AS1874" s="13"/>
      <c r="AT1874" s="12"/>
      <c r="AU1874" s="12"/>
      <c r="AV1874" s="14"/>
      <c r="AW1874" s="15"/>
      <c r="AX1874" s="15"/>
    </row>
    <row r="1875" ht="15.75" customHeight="1"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12"/>
      <c r="AN1875" s="12"/>
      <c r="AO1875" s="12"/>
      <c r="AP1875" s="13"/>
      <c r="AQ1875" s="13"/>
      <c r="AR1875" s="13"/>
      <c r="AS1875" s="13"/>
      <c r="AT1875" s="12"/>
      <c r="AU1875" s="12"/>
      <c r="AV1875" s="14"/>
      <c r="AW1875" s="15"/>
      <c r="AX1875" s="15"/>
    </row>
    <row r="1876" ht="15.75" customHeight="1"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  <c r="AM1876" s="12"/>
      <c r="AN1876" s="12"/>
      <c r="AO1876" s="12"/>
      <c r="AP1876" s="13"/>
      <c r="AQ1876" s="13"/>
      <c r="AR1876" s="13"/>
      <c r="AS1876" s="13"/>
      <c r="AT1876" s="12"/>
      <c r="AU1876" s="12"/>
      <c r="AV1876" s="14"/>
      <c r="AW1876" s="15"/>
      <c r="AX1876" s="15"/>
    </row>
    <row r="1877" ht="15.75" customHeight="1"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  <c r="AM1877" s="12"/>
      <c r="AN1877" s="12"/>
      <c r="AO1877" s="12"/>
      <c r="AP1877" s="13"/>
      <c r="AQ1877" s="13"/>
      <c r="AR1877" s="13"/>
      <c r="AS1877" s="13"/>
      <c r="AT1877" s="12"/>
      <c r="AU1877" s="12"/>
      <c r="AV1877" s="14"/>
      <c r="AW1877" s="15"/>
      <c r="AX1877" s="15"/>
    </row>
    <row r="1878" ht="15.75" customHeight="1"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  <c r="AM1878" s="12"/>
      <c r="AN1878" s="12"/>
      <c r="AO1878" s="12"/>
      <c r="AP1878" s="13"/>
      <c r="AQ1878" s="13"/>
      <c r="AR1878" s="13"/>
      <c r="AS1878" s="13"/>
      <c r="AT1878" s="12"/>
      <c r="AU1878" s="12"/>
      <c r="AV1878" s="14"/>
      <c r="AW1878" s="15"/>
      <c r="AX1878" s="15"/>
    </row>
    <row r="1879" ht="15.75" customHeight="1"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12"/>
      <c r="AN1879" s="12"/>
      <c r="AO1879" s="12"/>
      <c r="AP1879" s="13"/>
      <c r="AQ1879" s="13"/>
      <c r="AR1879" s="13"/>
      <c r="AS1879" s="13"/>
      <c r="AT1879" s="12"/>
      <c r="AU1879" s="12"/>
      <c r="AV1879" s="14"/>
      <c r="AW1879" s="15"/>
      <c r="AX1879" s="15"/>
    </row>
    <row r="1880" ht="15.75" customHeight="1"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  <c r="AN1880" s="12"/>
      <c r="AO1880" s="12"/>
      <c r="AP1880" s="13"/>
      <c r="AQ1880" s="13"/>
      <c r="AR1880" s="13"/>
      <c r="AS1880" s="13"/>
      <c r="AT1880" s="12"/>
      <c r="AU1880" s="12"/>
      <c r="AV1880" s="14"/>
      <c r="AW1880" s="15"/>
      <c r="AX1880" s="15"/>
    </row>
    <row r="1881" ht="15.75" customHeight="1"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  <c r="AN1881" s="12"/>
      <c r="AO1881" s="12"/>
      <c r="AP1881" s="13"/>
      <c r="AQ1881" s="13"/>
      <c r="AR1881" s="13"/>
      <c r="AS1881" s="13"/>
      <c r="AT1881" s="12"/>
      <c r="AU1881" s="12"/>
      <c r="AV1881" s="14"/>
      <c r="AW1881" s="15"/>
      <c r="AX1881" s="15"/>
    </row>
    <row r="1882" ht="15.75" customHeight="1"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  <c r="AN1882" s="12"/>
      <c r="AO1882" s="12"/>
      <c r="AP1882" s="13"/>
      <c r="AQ1882" s="13"/>
      <c r="AR1882" s="13"/>
      <c r="AS1882" s="13"/>
      <c r="AT1882" s="12"/>
      <c r="AU1882" s="12"/>
      <c r="AV1882" s="14"/>
      <c r="AW1882" s="15"/>
      <c r="AX1882" s="15"/>
    </row>
    <row r="1883" ht="15.75" customHeight="1"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  <c r="AM1883" s="12"/>
      <c r="AN1883" s="12"/>
      <c r="AO1883" s="12"/>
      <c r="AP1883" s="13"/>
      <c r="AQ1883" s="13"/>
      <c r="AR1883" s="13"/>
      <c r="AS1883" s="13"/>
      <c r="AT1883" s="12"/>
      <c r="AU1883" s="12"/>
      <c r="AV1883" s="14"/>
      <c r="AW1883" s="15"/>
      <c r="AX1883" s="15"/>
    </row>
    <row r="1884" ht="15.75" customHeight="1"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  <c r="AM1884" s="12"/>
      <c r="AN1884" s="12"/>
      <c r="AO1884" s="12"/>
      <c r="AP1884" s="13"/>
      <c r="AQ1884" s="13"/>
      <c r="AR1884" s="13"/>
      <c r="AS1884" s="13"/>
      <c r="AT1884" s="12"/>
      <c r="AU1884" s="12"/>
      <c r="AV1884" s="14"/>
      <c r="AW1884" s="15"/>
      <c r="AX1884" s="15"/>
    </row>
    <row r="1885" ht="15.75" customHeight="1"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  <c r="AM1885" s="12"/>
      <c r="AN1885" s="12"/>
      <c r="AO1885" s="12"/>
      <c r="AP1885" s="13"/>
      <c r="AQ1885" s="13"/>
      <c r="AR1885" s="13"/>
      <c r="AS1885" s="13"/>
      <c r="AT1885" s="12"/>
      <c r="AU1885" s="12"/>
      <c r="AV1885" s="14"/>
      <c r="AW1885" s="15"/>
      <c r="AX1885" s="15"/>
    </row>
    <row r="1886" ht="15.75" customHeight="1"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  <c r="AM1886" s="12"/>
      <c r="AN1886" s="12"/>
      <c r="AO1886" s="12"/>
      <c r="AP1886" s="13"/>
      <c r="AQ1886" s="13"/>
      <c r="AR1886" s="13"/>
      <c r="AS1886" s="13"/>
      <c r="AT1886" s="12"/>
      <c r="AU1886" s="12"/>
      <c r="AV1886" s="14"/>
      <c r="AW1886" s="15"/>
      <c r="AX1886" s="15"/>
    </row>
    <row r="1887" ht="15.75" customHeight="1"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  <c r="AM1887" s="12"/>
      <c r="AN1887" s="12"/>
      <c r="AO1887" s="12"/>
      <c r="AP1887" s="13"/>
      <c r="AQ1887" s="13"/>
      <c r="AR1887" s="13"/>
      <c r="AS1887" s="13"/>
      <c r="AT1887" s="12"/>
      <c r="AU1887" s="12"/>
      <c r="AV1887" s="14"/>
      <c r="AW1887" s="15"/>
      <c r="AX1887" s="15"/>
    </row>
    <row r="1888" ht="15.75" customHeight="1"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  <c r="AM1888" s="12"/>
      <c r="AN1888" s="12"/>
      <c r="AO1888" s="12"/>
      <c r="AP1888" s="13"/>
      <c r="AQ1888" s="13"/>
      <c r="AR1888" s="13"/>
      <c r="AS1888" s="13"/>
      <c r="AT1888" s="12"/>
      <c r="AU1888" s="12"/>
      <c r="AV1888" s="14"/>
      <c r="AW1888" s="15"/>
      <c r="AX1888" s="15"/>
    </row>
    <row r="1889" ht="15.75" customHeight="1"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  <c r="AM1889" s="12"/>
      <c r="AN1889" s="12"/>
      <c r="AO1889" s="12"/>
      <c r="AP1889" s="13"/>
      <c r="AQ1889" s="13"/>
      <c r="AR1889" s="13"/>
      <c r="AS1889" s="13"/>
      <c r="AT1889" s="12"/>
      <c r="AU1889" s="12"/>
      <c r="AV1889" s="14"/>
      <c r="AW1889" s="15"/>
      <c r="AX1889" s="15"/>
    </row>
    <row r="1890" ht="15.75" customHeight="1"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  <c r="AN1890" s="12"/>
      <c r="AO1890" s="12"/>
      <c r="AP1890" s="13"/>
      <c r="AQ1890" s="13"/>
      <c r="AR1890" s="13"/>
      <c r="AS1890" s="13"/>
      <c r="AT1890" s="12"/>
      <c r="AU1890" s="12"/>
      <c r="AV1890" s="14"/>
      <c r="AW1890" s="15"/>
      <c r="AX1890" s="15"/>
    </row>
    <row r="1891" ht="15.75" customHeight="1"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  <c r="AM1891" s="12"/>
      <c r="AN1891" s="12"/>
      <c r="AO1891" s="12"/>
      <c r="AP1891" s="13"/>
      <c r="AQ1891" s="13"/>
      <c r="AR1891" s="13"/>
      <c r="AS1891" s="13"/>
      <c r="AT1891" s="12"/>
      <c r="AU1891" s="12"/>
      <c r="AV1891" s="14"/>
      <c r="AW1891" s="15"/>
      <c r="AX1891" s="15"/>
    </row>
    <row r="1892" ht="15.75" customHeight="1"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  <c r="AM1892" s="12"/>
      <c r="AN1892" s="12"/>
      <c r="AO1892" s="12"/>
      <c r="AP1892" s="13"/>
      <c r="AQ1892" s="13"/>
      <c r="AR1892" s="13"/>
      <c r="AS1892" s="13"/>
      <c r="AT1892" s="12"/>
      <c r="AU1892" s="12"/>
      <c r="AV1892" s="14"/>
      <c r="AW1892" s="15"/>
      <c r="AX1892" s="15"/>
    </row>
    <row r="1893" ht="15.75" customHeight="1"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  <c r="AM1893" s="12"/>
      <c r="AN1893" s="12"/>
      <c r="AO1893" s="12"/>
      <c r="AP1893" s="13"/>
      <c r="AQ1893" s="13"/>
      <c r="AR1893" s="13"/>
      <c r="AS1893" s="13"/>
      <c r="AT1893" s="12"/>
      <c r="AU1893" s="12"/>
      <c r="AV1893" s="14"/>
      <c r="AW1893" s="15"/>
      <c r="AX1893" s="15"/>
    </row>
    <row r="1894" ht="15.75" customHeight="1"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  <c r="AM1894" s="12"/>
      <c r="AN1894" s="12"/>
      <c r="AO1894" s="12"/>
      <c r="AP1894" s="13"/>
      <c r="AQ1894" s="13"/>
      <c r="AR1894" s="13"/>
      <c r="AS1894" s="13"/>
      <c r="AT1894" s="12"/>
      <c r="AU1894" s="12"/>
      <c r="AV1894" s="14"/>
      <c r="AW1894" s="15"/>
      <c r="AX1894" s="15"/>
    </row>
    <row r="1895" ht="15.75" customHeight="1"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  <c r="AM1895" s="12"/>
      <c r="AN1895" s="12"/>
      <c r="AO1895" s="12"/>
      <c r="AP1895" s="13"/>
      <c r="AQ1895" s="13"/>
      <c r="AR1895" s="13"/>
      <c r="AS1895" s="13"/>
      <c r="AT1895" s="12"/>
      <c r="AU1895" s="12"/>
      <c r="AV1895" s="14"/>
      <c r="AW1895" s="15"/>
      <c r="AX1895" s="15"/>
    </row>
    <row r="1896" ht="15.75" customHeight="1"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  <c r="AM1896" s="12"/>
      <c r="AN1896" s="12"/>
      <c r="AO1896" s="12"/>
      <c r="AP1896" s="13"/>
      <c r="AQ1896" s="13"/>
      <c r="AR1896" s="13"/>
      <c r="AS1896" s="13"/>
      <c r="AT1896" s="12"/>
      <c r="AU1896" s="12"/>
      <c r="AV1896" s="14"/>
      <c r="AW1896" s="15"/>
      <c r="AX1896" s="15"/>
    </row>
    <row r="1897" ht="15.75" customHeight="1"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  <c r="AM1897" s="12"/>
      <c r="AN1897" s="12"/>
      <c r="AO1897" s="12"/>
      <c r="AP1897" s="13"/>
      <c r="AQ1897" s="13"/>
      <c r="AR1897" s="13"/>
      <c r="AS1897" s="13"/>
      <c r="AT1897" s="12"/>
      <c r="AU1897" s="12"/>
      <c r="AV1897" s="14"/>
      <c r="AW1897" s="15"/>
      <c r="AX1897" s="15"/>
    </row>
    <row r="1898" ht="15.75" customHeight="1"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  <c r="AM1898" s="12"/>
      <c r="AN1898" s="12"/>
      <c r="AO1898" s="12"/>
      <c r="AP1898" s="13"/>
      <c r="AQ1898" s="13"/>
      <c r="AR1898" s="13"/>
      <c r="AS1898" s="13"/>
      <c r="AT1898" s="12"/>
      <c r="AU1898" s="12"/>
      <c r="AV1898" s="14"/>
      <c r="AW1898" s="15"/>
      <c r="AX1898" s="15"/>
    </row>
    <row r="1899" ht="15.75" customHeight="1"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12"/>
      <c r="AN1899" s="12"/>
      <c r="AO1899" s="12"/>
      <c r="AP1899" s="13"/>
      <c r="AQ1899" s="13"/>
      <c r="AR1899" s="13"/>
      <c r="AS1899" s="13"/>
      <c r="AT1899" s="12"/>
      <c r="AU1899" s="12"/>
      <c r="AV1899" s="14"/>
      <c r="AW1899" s="15"/>
      <c r="AX1899" s="15"/>
    </row>
    <row r="1900" ht="15.75" customHeight="1"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  <c r="AM1900" s="12"/>
      <c r="AN1900" s="12"/>
      <c r="AO1900" s="12"/>
      <c r="AP1900" s="13"/>
      <c r="AQ1900" s="13"/>
      <c r="AR1900" s="13"/>
      <c r="AS1900" s="13"/>
      <c r="AT1900" s="12"/>
      <c r="AU1900" s="12"/>
      <c r="AV1900" s="14"/>
      <c r="AW1900" s="15"/>
      <c r="AX1900" s="15"/>
    </row>
    <row r="1901" ht="15.75" customHeight="1"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  <c r="AM1901" s="12"/>
      <c r="AN1901" s="12"/>
      <c r="AO1901" s="12"/>
      <c r="AP1901" s="13"/>
      <c r="AQ1901" s="13"/>
      <c r="AR1901" s="13"/>
      <c r="AS1901" s="13"/>
      <c r="AT1901" s="12"/>
      <c r="AU1901" s="12"/>
      <c r="AV1901" s="14"/>
      <c r="AW1901" s="15"/>
      <c r="AX1901" s="15"/>
    </row>
    <row r="1902" ht="15.75" customHeight="1"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  <c r="AN1902" s="12"/>
      <c r="AO1902" s="12"/>
      <c r="AP1902" s="13"/>
      <c r="AQ1902" s="13"/>
      <c r="AR1902" s="13"/>
      <c r="AS1902" s="13"/>
      <c r="AT1902" s="12"/>
      <c r="AU1902" s="12"/>
      <c r="AV1902" s="14"/>
      <c r="AW1902" s="15"/>
      <c r="AX1902" s="15"/>
    </row>
    <row r="1903" ht="15.75" customHeight="1"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  <c r="AM1903" s="12"/>
      <c r="AN1903" s="12"/>
      <c r="AO1903" s="12"/>
      <c r="AP1903" s="13"/>
      <c r="AQ1903" s="13"/>
      <c r="AR1903" s="13"/>
      <c r="AS1903" s="13"/>
      <c r="AT1903" s="12"/>
      <c r="AU1903" s="12"/>
      <c r="AV1903" s="14"/>
      <c r="AW1903" s="15"/>
      <c r="AX1903" s="15"/>
    </row>
    <row r="1904" ht="15.75" customHeight="1"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  <c r="AM1904" s="12"/>
      <c r="AN1904" s="12"/>
      <c r="AO1904" s="12"/>
      <c r="AP1904" s="13"/>
      <c r="AQ1904" s="13"/>
      <c r="AR1904" s="13"/>
      <c r="AS1904" s="13"/>
      <c r="AT1904" s="12"/>
      <c r="AU1904" s="12"/>
      <c r="AV1904" s="14"/>
      <c r="AW1904" s="15"/>
      <c r="AX1904" s="15"/>
    </row>
    <row r="1905" ht="15.75" customHeight="1"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  <c r="AM1905" s="12"/>
      <c r="AN1905" s="12"/>
      <c r="AO1905" s="12"/>
      <c r="AP1905" s="13"/>
      <c r="AQ1905" s="13"/>
      <c r="AR1905" s="13"/>
      <c r="AS1905" s="13"/>
      <c r="AT1905" s="12"/>
      <c r="AU1905" s="12"/>
      <c r="AV1905" s="14"/>
      <c r="AW1905" s="15"/>
      <c r="AX1905" s="15"/>
    </row>
    <row r="1906" ht="15.75" customHeight="1"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  <c r="AM1906" s="12"/>
      <c r="AN1906" s="12"/>
      <c r="AO1906" s="12"/>
      <c r="AP1906" s="13"/>
      <c r="AQ1906" s="13"/>
      <c r="AR1906" s="13"/>
      <c r="AS1906" s="13"/>
      <c r="AT1906" s="12"/>
      <c r="AU1906" s="12"/>
      <c r="AV1906" s="14"/>
      <c r="AW1906" s="15"/>
      <c r="AX1906" s="15"/>
    </row>
    <row r="1907" ht="15.75" customHeight="1"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  <c r="AM1907" s="12"/>
      <c r="AN1907" s="12"/>
      <c r="AO1907" s="12"/>
      <c r="AP1907" s="13"/>
      <c r="AQ1907" s="13"/>
      <c r="AR1907" s="13"/>
      <c r="AS1907" s="13"/>
      <c r="AT1907" s="12"/>
      <c r="AU1907" s="12"/>
      <c r="AV1907" s="14"/>
      <c r="AW1907" s="15"/>
      <c r="AX1907" s="15"/>
    </row>
    <row r="1908" ht="15.75" customHeight="1"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12"/>
      <c r="AN1908" s="12"/>
      <c r="AO1908" s="12"/>
      <c r="AP1908" s="13"/>
      <c r="AQ1908" s="13"/>
      <c r="AR1908" s="13"/>
      <c r="AS1908" s="13"/>
      <c r="AT1908" s="12"/>
      <c r="AU1908" s="12"/>
      <c r="AV1908" s="14"/>
      <c r="AW1908" s="15"/>
      <c r="AX1908" s="15"/>
    </row>
    <row r="1909" ht="15.75" customHeight="1"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  <c r="AN1909" s="12"/>
      <c r="AO1909" s="12"/>
      <c r="AP1909" s="13"/>
      <c r="AQ1909" s="13"/>
      <c r="AR1909" s="13"/>
      <c r="AS1909" s="13"/>
      <c r="AT1909" s="12"/>
      <c r="AU1909" s="12"/>
      <c r="AV1909" s="14"/>
      <c r="AW1909" s="15"/>
      <c r="AX1909" s="15"/>
    </row>
    <row r="1910" ht="15.75" customHeight="1"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  <c r="AM1910" s="12"/>
      <c r="AN1910" s="12"/>
      <c r="AO1910" s="12"/>
      <c r="AP1910" s="13"/>
      <c r="AQ1910" s="13"/>
      <c r="AR1910" s="13"/>
      <c r="AS1910" s="13"/>
      <c r="AT1910" s="12"/>
      <c r="AU1910" s="12"/>
      <c r="AV1910" s="14"/>
      <c r="AW1910" s="15"/>
      <c r="AX1910" s="15"/>
    </row>
    <row r="1911" ht="15.75" customHeight="1"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12"/>
      <c r="AN1911" s="12"/>
      <c r="AO1911" s="12"/>
      <c r="AP1911" s="13"/>
      <c r="AQ1911" s="13"/>
      <c r="AR1911" s="13"/>
      <c r="AS1911" s="13"/>
      <c r="AT1911" s="12"/>
      <c r="AU1911" s="12"/>
      <c r="AV1911" s="14"/>
      <c r="AW1911" s="15"/>
      <c r="AX1911" s="15"/>
    </row>
    <row r="1912" ht="15.75" customHeight="1"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  <c r="AN1912" s="12"/>
      <c r="AO1912" s="12"/>
      <c r="AP1912" s="13"/>
      <c r="AQ1912" s="13"/>
      <c r="AR1912" s="13"/>
      <c r="AS1912" s="13"/>
      <c r="AT1912" s="12"/>
      <c r="AU1912" s="12"/>
      <c r="AV1912" s="14"/>
      <c r="AW1912" s="15"/>
      <c r="AX1912" s="15"/>
    </row>
    <row r="1913" ht="15.75" customHeight="1"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  <c r="AM1913" s="12"/>
      <c r="AN1913" s="12"/>
      <c r="AO1913" s="12"/>
      <c r="AP1913" s="13"/>
      <c r="AQ1913" s="13"/>
      <c r="AR1913" s="13"/>
      <c r="AS1913" s="13"/>
      <c r="AT1913" s="12"/>
      <c r="AU1913" s="12"/>
      <c r="AV1913" s="14"/>
      <c r="AW1913" s="15"/>
      <c r="AX1913" s="15"/>
    </row>
    <row r="1914" ht="15.75" customHeight="1"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  <c r="AM1914" s="12"/>
      <c r="AN1914" s="12"/>
      <c r="AO1914" s="12"/>
      <c r="AP1914" s="13"/>
      <c r="AQ1914" s="13"/>
      <c r="AR1914" s="13"/>
      <c r="AS1914" s="13"/>
      <c r="AT1914" s="12"/>
      <c r="AU1914" s="12"/>
      <c r="AV1914" s="14"/>
      <c r="AW1914" s="15"/>
      <c r="AX1914" s="15"/>
    </row>
    <row r="1915" ht="15.75" customHeight="1"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  <c r="AM1915" s="12"/>
      <c r="AN1915" s="12"/>
      <c r="AO1915" s="12"/>
      <c r="AP1915" s="13"/>
      <c r="AQ1915" s="13"/>
      <c r="AR1915" s="13"/>
      <c r="AS1915" s="13"/>
      <c r="AT1915" s="12"/>
      <c r="AU1915" s="12"/>
      <c r="AV1915" s="14"/>
      <c r="AW1915" s="15"/>
      <c r="AX1915" s="15"/>
    </row>
    <row r="1916" ht="15.75" customHeight="1"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  <c r="AP1916" s="13"/>
      <c r="AQ1916" s="13"/>
      <c r="AR1916" s="13"/>
      <c r="AS1916" s="13"/>
      <c r="AT1916" s="12"/>
      <c r="AU1916" s="12"/>
      <c r="AV1916" s="14"/>
      <c r="AW1916" s="15"/>
      <c r="AX1916" s="15"/>
    </row>
    <row r="1917" ht="15.75" customHeight="1"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  <c r="AM1917" s="12"/>
      <c r="AN1917" s="12"/>
      <c r="AO1917" s="12"/>
      <c r="AP1917" s="13"/>
      <c r="AQ1917" s="13"/>
      <c r="AR1917" s="13"/>
      <c r="AS1917" s="13"/>
      <c r="AT1917" s="12"/>
      <c r="AU1917" s="12"/>
      <c r="AV1917" s="14"/>
      <c r="AW1917" s="15"/>
      <c r="AX1917" s="15"/>
    </row>
    <row r="1918" ht="15.75" customHeight="1"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  <c r="AM1918" s="12"/>
      <c r="AN1918" s="12"/>
      <c r="AO1918" s="12"/>
      <c r="AP1918" s="13"/>
      <c r="AQ1918" s="13"/>
      <c r="AR1918" s="13"/>
      <c r="AS1918" s="13"/>
      <c r="AT1918" s="12"/>
      <c r="AU1918" s="12"/>
      <c r="AV1918" s="14"/>
      <c r="AW1918" s="15"/>
      <c r="AX1918" s="15"/>
    </row>
    <row r="1919" ht="15.75" customHeight="1"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  <c r="AN1919" s="12"/>
      <c r="AO1919" s="12"/>
      <c r="AP1919" s="13"/>
      <c r="AQ1919" s="13"/>
      <c r="AR1919" s="13"/>
      <c r="AS1919" s="13"/>
      <c r="AT1919" s="12"/>
      <c r="AU1919" s="12"/>
      <c r="AV1919" s="14"/>
      <c r="AW1919" s="15"/>
      <c r="AX1919" s="15"/>
    </row>
    <row r="1920" ht="15.75" customHeight="1"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12"/>
      <c r="AP1920" s="13"/>
      <c r="AQ1920" s="13"/>
      <c r="AR1920" s="13"/>
      <c r="AS1920" s="13"/>
      <c r="AT1920" s="12"/>
      <c r="AU1920" s="12"/>
      <c r="AV1920" s="14"/>
      <c r="AW1920" s="15"/>
      <c r="AX1920" s="15"/>
    </row>
    <row r="1921" ht="15.75" customHeight="1"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12"/>
      <c r="AP1921" s="13"/>
      <c r="AQ1921" s="13"/>
      <c r="AR1921" s="13"/>
      <c r="AS1921" s="13"/>
      <c r="AT1921" s="12"/>
      <c r="AU1921" s="12"/>
      <c r="AV1921" s="14"/>
      <c r="AW1921" s="15"/>
      <c r="AX1921" s="15"/>
    </row>
    <row r="1922" ht="15.75" customHeight="1"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  <c r="AN1922" s="12"/>
      <c r="AO1922" s="12"/>
      <c r="AP1922" s="13"/>
      <c r="AQ1922" s="13"/>
      <c r="AR1922" s="13"/>
      <c r="AS1922" s="13"/>
      <c r="AT1922" s="12"/>
      <c r="AU1922" s="12"/>
      <c r="AV1922" s="14"/>
      <c r="AW1922" s="15"/>
      <c r="AX1922" s="15"/>
    </row>
    <row r="1923" ht="15.75" customHeight="1"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  <c r="AM1923" s="12"/>
      <c r="AN1923" s="12"/>
      <c r="AO1923" s="12"/>
      <c r="AP1923" s="13"/>
      <c r="AQ1923" s="13"/>
      <c r="AR1923" s="13"/>
      <c r="AS1923" s="13"/>
      <c r="AT1923" s="12"/>
      <c r="AU1923" s="12"/>
      <c r="AV1923" s="14"/>
      <c r="AW1923" s="15"/>
      <c r="AX1923" s="15"/>
    </row>
    <row r="1924" ht="15.75" customHeight="1"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  <c r="AN1924" s="12"/>
      <c r="AO1924" s="12"/>
      <c r="AP1924" s="13"/>
      <c r="AQ1924" s="13"/>
      <c r="AR1924" s="13"/>
      <c r="AS1924" s="13"/>
      <c r="AT1924" s="12"/>
      <c r="AU1924" s="12"/>
      <c r="AV1924" s="14"/>
      <c r="AW1924" s="15"/>
      <c r="AX1924" s="15"/>
    </row>
    <row r="1925" ht="15.75" customHeight="1"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  <c r="AM1925" s="12"/>
      <c r="AN1925" s="12"/>
      <c r="AO1925" s="12"/>
      <c r="AP1925" s="13"/>
      <c r="AQ1925" s="13"/>
      <c r="AR1925" s="13"/>
      <c r="AS1925" s="13"/>
      <c r="AT1925" s="12"/>
      <c r="AU1925" s="12"/>
      <c r="AV1925" s="14"/>
      <c r="AW1925" s="15"/>
      <c r="AX1925" s="15"/>
    </row>
    <row r="1926" ht="15.75" customHeight="1"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  <c r="AN1926" s="12"/>
      <c r="AO1926" s="12"/>
      <c r="AP1926" s="13"/>
      <c r="AQ1926" s="13"/>
      <c r="AR1926" s="13"/>
      <c r="AS1926" s="13"/>
      <c r="AT1926" s="12"/>
      <c r="AU1926" s="12"/>
      <c r="AV1926" s="14"/>
      <c r="AW1926" s="15"/>
      <c r="AX1926" s="15"/>
    </row>
    <row r="1927" ht="15.75" customHeight="1"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  <c r="AM1927" s="12"/>
      <c r="AN1927" s="12"/>
      <c r="AO1927" s="12"/>
      <c r="AP1927" s="13"/>
      <c r="AQ1927" s="13"/>
      <c r="AR1927" s="13"/>
      <c r="AS1927" s="13"/>
      <c r="AT1927" s="12"/>
      <c r="AU1927" s="12"/>
      <c r="AV1927" s="14"/>
      <c r="AW1927" s="15"/>
      <c r="AX1927" s="15"/>
    </row>
    <row r="1928" ht="15.75" customHeight="1"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  <c r="AM1928" s="12"/>
      <c r="AN1928" s="12"/>
      <c r="AO1928" s="12"/>
      <c r="AP1928" s="13"/>
      <c r="AQ1928" s="13"/>
      <c r="AR1928" s="13"/>
      <c r="AS1928" s="13"/>
      <c r="AT1928" s="12"/>
      <c r="AU1928" s="12"/>
      <c r="AV1928" s="14"/>
      <c r="AW1928" s="15"/>
      <c r="AX1928" s="15"/>
    </row>
    <row r="1929" ht="15.75" customHeight="1"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  <c r="AM1929" s="12"/>
      <c r="AN1929" s="12"/>
      <c r="AO1929" s="12"/>
      <c r="AP1929" s="13"/>
      <c r="AQ1929" s="13"/>
      <c r="AR1929" s="13"/>
      <c r="AS1929" s="13"/>
      <c r="AT1929" s="12"/>
      <c r="AU1929" s="12"/>
      <c r="AV1929" s="14"/>
      <c r="AW1929" s="15"/>
      <c r="AX1929" s="15"/>
    </row>
    <row r="1930" ht="15.75" customHeight="1"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  <c r="AN1930" s="12"/>
      <c r="AO1930" s="12"/>
      <c r="AP1930" s="13"/>
      <c r="AQ1930" s="13"/>
      <c r="AR1930" s="13"/>
      <c r="AS1930" s="13"/>
      <c r="AT1930" s="12"/>
      <c r="AU1930" s="12"/>
      <c r="AV1930" s="14"/>
      <c r="AW1930" s="15"/>
      <c r="AX1930" s="15"/>
    </row>
    <row r="1931" ht="15.75" customHeight="1"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  <c r="AM1931" s="12"/>
      <c r="AN1931" s="12"/>
      <c r="AO1931" s="12"/>
      <c r="AP1931" s="13"/>
      <c r="AQ1931" s="13"/>
      <c r="AR1931" s="13"/>
      <c r="AS1931" s="13"/>
      <c r="AT1931" s="12"/>
      <c r="AU1931" s="12"/>
      <c r="AV1931" s="14"/>
      <c r="AW1931" s="15"/>
      <c r="AX1931" s="15"/>
    </row>
    <row r="1932" ht="15.75" customHeight="1"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  <c r="AM1932" s="12"/>
      <c r="AN1932" s="12"/>
      <c r="AO1932" s="12"/>
      <c r="AP1932" s="13"/>
      <c r="AQ1932" s="13"/>
      <c r="AR1932" s="13"/>
      <c r="AS1932" s="13"/>
      <c r="AT1932" s="12"/>
      <c r="AU1932" s="12"/>
      <c r="AV1932" s="14"/>
      <c r="AW1932" s="15"/>
      <c r="AX1932" s="15"/>
    </row>
    <row r="1933" ht="15.75" customHeight="1"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  <c r="AN1933" s="12"/>
      <c r="AO1933" s="12"/>
      <c r="AP1933" s="13"/>
      <c r="AQ1933" s="13"/>
      <c r="AR1933" s="13"/>
      <c r="AS1933" s="13"/>
      <c r="AT1933" s="12"/>
      <c r="AU1933" s="12"/>
      <c r="AV1933" s="14"/>
      <c r="AW1933" s="15"/>
      <c r="AX1933" s="15"/>
    </row>
    <row r="1934" ht="15.75" customHeight="1"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  <c r="AM1934" s="12"/>
      <c r="AN1934" s="12"/>
      <c r="AO1934" s="12"/>
      <c r="AP1934" s="13"/>
      <c r="AQ1934" s="13"/>
      <c r="AR1934" s="13"/>
      <c r="AS1934" s="13"/>
      <c r="AT1934" s="12"/>
      <c r="AU1934" s="12"/>
      <c r="AV1934" s="14"/>
      <c r="AW1934" s="15"/>
      <c r="AX1934" s="15"/>
    </row>
    <row r="1935" ht="15.75" customHeight="1"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  <c r="AM1935" s="12"/>
      <c r="AN1935" s="12"/>
      <c r="AO1935" s="12"/>
      <c r="AP1935" s="13"/>
      <c r="AQ1935" s="13"/>
      <c r="AR1935" s="13"/>
      <c r="AS1935" s="13"/>
      <c r="AT1935" s="12"/>
      <c r="AU1935" s="12"/>
      <c r="AV1935" s="14"/>
      <c r="AW1935" s="15"/>
      <c r="AX1935" s="15"/>
    </row>
    <row r="1936" ht="15.75" customHeight="1"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  <c r="AM1936" s="12"/>
      <c r="AN1936" s="12"/>
      <c r="AO1936" s="12"/>
      <c r="AP1936" s="13"/>
      <c r="AQ1936" s="13"/>
      <c r="AR1936" s="13"/>
      <c r="AS1936" s="13"/>
      <c r="AT1936" s="12"/>
      <c r="AU1936" s="12"/>
      <c r="AV1936" s="14"/>
      <c r="AW1936" s="15"/>
      <c r="AX1936" s="15"/>
    </row>
    <row r="1937" ht="15.75" customHeight="1"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  <c r="AM1937" s="12"/>
      <c r="AN1937" s="12"/>
      <c r="AO1937" s="12"/>
      <c r="AP1937" s="13"/>
      <c r="AQ1937" s="13"/>
      <c r="AR1937" s="13"/>
      <c r="AS1937" s="13"/>
      <c r="AT1937" s="12"/>
      <c r="AU1937" s="12"/>
      <c r="AV1937" s="14"/>
      <c r="AW1937" s="15"/>
      <c r="AX1937" s="15"/>
    </row>
    <row r="1938" ht="15.75" customHeight="1"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  <c r="AM1938" s="12"/>
      <c r="AN1938" s="12"/>
      <c r="AO1938" s="12"/>
      <c r="AP1938" s="13"/>
      <c r="AQ1938" s="13"/>
      <c r="AR1938" s="13"/>
      <c r="AS1938" s="13"/>
      <c r="AT1938" s="12"/>
      <c r="AU1938" s="12"/>
      <c r="AV1938" s="14"/>
      <c r="AW1938" s="15"/>
      <c r="AX1938" s="15"/>
    </row>
    <row r="1939" ht="15.75" customHeight="1"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  <c r="AN1939" s="12"/>
      <c r="AO1939" s="12"/>
      <c r="AP1939" s="13"/>
      <c r="AQ1939" s="13"/>
      <c r="AR1939" s="13"/>
      <c r="AS1939" s="13"/>
      <c r="AT1939" s="12"/>
      <c r="AU1939" s="12"/>
      <c r="AV1939" s="14"/>
      <c r="AW1939" s="15"/>
      <c r="AX1939" s="15"/>
    </row>
    <row r="1940" ht="15.75" customHeight="1"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  <c r="AN1940" s="12"/>
      <c r="AO1940" s="12"/>
      <c r="AP1940" s="13"/>
      <c r="AQ1940" s="13"/>
      <c r="AR1940" s="13"/>
      <c r="AS1940" s="13"/>
      <c r="AT1940" s="12"/>
      <c r="AU1940" s="12"/>
      <c r="AV1940" s="14"/>
      <c r="AW1940" s="15"/>
      <c r="AX1940" s="15"/>
    </row>
    <row r="1941" ht="15.75" customHeight="1"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  <c r="AM1941" s="12"/>
      <c r="AN1941" s="12"/>
      <c r="AO1941" s="12"/>
      <c r="AP1941" s="13"/>
      <c r="AQ1941" s="13"/>
      <c r="AR1941" s="13"/>
      <c r="AS1941" s="13"/>
      <c r="AT1941" s="12"/>
      <c r="AU1941" s="12"/>
      <c r="AV1941" s="14"/>
      <c r="AW1941" s="15"/>
      <c r="AX1941" s="15"/>
    </row>
    <row r="1942" ht="15.75" customHeight="1"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  <c r="AM1942" s="12"/>
      <c r="AN1942" s="12"/>
      <c r="AO1942" s="12"/>
      <c r="AP1942" s="13"/>
      <c r="AQ1942" s="13"/>
      <c r="AR1942" s="13"/>
      <c r="AS1942" s="13"/>
      <c r="AT1942" s="12"/>
      <c r="AU1942" s="12"/>
      <c r="AV1942" s="14"/>
      <c r="AW1942" s="15"/>
      <c r="AX1942" s="15"/>
    </row>
    <row r="1943" ht="15.75" customHeight="1"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  <c r="AN1943" s="12"/>
      <c r="AO1943" s="12"/>
      <c r="AP1943" s="13"/>
      <c r="AQ1943" s="13"/>
      <c r="AR1943" s="13"/>
      <c r="AS1943" s="13"/>
      <c r="AT1943" s="12"/>
      <c r="AU1943" s="12"/>
      <c r="AV1943" s="14"/>
      <c r="AW1943" s="15"/>
      <c r="AX1943" s="15"/>
    </row>
    <row r="1944" ht="15.75" customHeight="1"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12"/>
      <c r="AP1944" s="13"/>
      <c r="AQ1944" s="13"/>
      <c r="AR1944" s="13"/>
      <c r="AS1944" s="13"/>
      <c r="AT1944" s="12"/>
      <c r="AU1944" s="12"/>
      <c r="AV1944" s="14"/>
      <c r="AW1944" s="15"/>
      <c r="AX1944" s="15"/>
    </row>
    <row r="1945" ht="15.75" customHeight="1"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  <c r="AM1945" s="12"/>
      <c r="AN1945" s="12"/>
      <c r="AO1945" s="12"/>
      <c r="AP1945" s="13"/>
      <c r="AQ1945" s="13"/>
      <c r="AR1945" s="13"/>
      <c r="AS1945" s="13"/>
      <c r="AT1945" s="12"/>
      <c r="AU1945" s="12"/>
      <c r="AV1945" s="14"/>
      <c r="AW1945" s="15"/>
      <c r="AX1945" s="15"/>
    </row>
    <row r="1946" ht="15.75" customHeight="1"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  <c r="AM1946" s="12"/>
      <c r="AN1946" s="12"/>
      <c r="AO1946" s="12"/>
      <c r="AP1946" s="13"/>
      <c r="AQ1946" s="13"/>
      <c r="AR1946" s="13"/>
      <c r="AS1946" s="13"/>
      <c r="AT1946" s="12"/>
      <c r="AU1946" s="12"/>
      <c r="AV1946" s="14"/>
      <c r="AW1946" s="15"/>
      <c r="AX1946" s="15"/>
    </row>
    <row r="1947" ht="15.75" customHeight="1"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  <c r="AM1947" s="12"/>
      <c r="AN1947" s="12"/>
      <c r="AO1947" s="12"/>
      <c r="AP1947" s="13"/>
      <c r="AQ1947" s="13"/>
      <c r="AR1947" s="13"/>
      <c r="AS1947" s="13"/>
      <c r="AT1947" s="12"/>
      <c r="AU1947" s="12"/>
      <c r="AV1947" s="14"/>
      <c r="AW1947" s="15"/>
      <c r="AX1947" s="15"/>
    </row>
    <row r="1948" ht="15.75" customHeight="1"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  <c r="AM1948" s="12"/>
      <c r="AN1948" s="12"/>
      <c r="AO1948" s="12"/>
      <c r="AP1948" s="13"/>
      <c r="AQ1948" s="13"/>
      <c r="AR1948" s="13"/>
      <c r="AS1948" s="13"/>
      <c r="AT1948" s="12"/>
      <c r="AU1948" s="12"/>
      <c r="AV1948" s="14"/>
      <c r="AW1948" s="15"/>
      <c r="AX1948" s="15"/>
    </row>
    <row r="1949" ht="15.75" customHeight="1"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  <c r="AM1949" s="12"/>
      <c r="AN1949" s="12"/>
      <c r="AO1949" s="12"/>
      <c r="AP1949" s="13"/>
      <c r="AQ1949" s="13"/>
      <c r="AR1949" s="13"/>
      <c r="AS1949" s="13"/>
      <c r="AT1949" s="12"/>
      <c r="AU1949" s="12"/>
      <c r="AV1949" s="14"/>
      <c r="AW1949" s="15"/>
      <c r="AX1949" s="15"/>
    </row>
    <row r="1950" ht="15.75" customHeight="1"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  <c r="AM1950" s="12"/>
      <c r="AN1950" s="12"/>
      <c r="AO1950" s="12"/>
      <c r="AP1950" s="13"/>
      <c r="AQ1950" s="13"/>
      <c r="AR1950" s="13"/>
      <c r="AS1950" s="13"/>
      <c r="AT1950" s="12"/>
      <c r="AU1950" s="12"/>
      <c r="AV1950" s="14"/>
      <c r="AW1950" s="15"/>
      <c r="AX1950" s="15"/>
    </row>
    <row r="1951" ht="15.75" customHeight="1"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  <c r="AM1951" s="12"/>
      <c r="AN1951" s="12"/>
      <c r="AO1951" s="12"/>
      <c r="AP1951" s="13"/>
      <c r="AQ1951" s="13"/>
      <c r="AR1951" s="13"/>
      <c r="AS1951" s="13"/>
      <c r="AT1951" s="12"/>
      <c r="AU1951" s="12"/>
      <c r="AV1951" s="14"/>
      <c r="AW1951" s="15"/>
      <c r="AX1951" s="15"/>
    </row>
    <row r="1952" ht="15.75" customHeight="1"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  <c r="AM1952" s="12"/>
      <c r="AN1952" s="12"/>
      <c r="AO1952" s="12"/>
      <c r="AP1952" s="13"/>
      <c r="AQ1952" s="13"/>
      <c r="AR1952" s="13"/>
      <c r="AS1952" s="13"/>
      <c r="AT1952" s="12"/>
      <c r="AU1952" s="12"/>
      <c r="AV1952" s="14"/>
      <c r="AW1952" s="15"/>
      <c r="AX1952" s="15"/>
    </row>
    <row r="1953" ht="15.75" customHeight="1"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  <c r="AN1953" s="12"/>
      <c r="AO1953" s="12"/>
      <c r="AP1953" s="13"/>
      <c r="AQ1953" s="13"/>
      <c r="AR1953" s="13"/>
      <c r="AS1953" s="13"/>
      <c r="AT1953" s="12"/>
      <c r="AU1953" s="12"/>
      <c r="AV1953" s="14"/>
      <c r="AW1953" s="15"/>
      <c r="AX1953" s="15"/>
    </row>
    <row r="1954" ht="15.75" customHeight="1"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12"/>
      <c r="AI1954" s="12"/>
      <c r="AJ1954" s="12"/>
      <c r="AK1954" s="12"/>
      <c r="AL1954" s="12"/>
      <c r="AM1954" s="12"/>
      <c r="AN1954" s="12"/>
      <c r="AO1954" s="12"/>
      <c r="AP1954" s="13"/>
      <c r="AQ1954" s="13"/>
      <c r="AR1954" s="13"/>
      <c r="AS1954" s="13"/>
      <c r="AT1954" s="12"/>
      <c r="AU1954" s="12"/>
      <c r="AV1954" s="14"/>
      <c r="AW1954" s="15"/>
      <c r="AX1954" s="15"/>
    </row>
    <row r="1955" ht="15.75" customHeight="1"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  <c r="AM1955" s="12"/>
      <c r="AN1955" s="12"/>
      <c r="AO1955" s="12"/>
      <c r="AP1955" s="13"/>
      <c r="AQ1955" s="13"/>
      <c r="AR1955" s="13"/>
      <c r="AS1955" s="13"/>
      <c r="AT1955" s="12"/>
      <c r="AU1955" s="12"/>
      <c r="AV1955" s="14"/>
      <c r="AW1955" s="15"/>
      <c r="AX1955" s="15"/>
    </row>
    <row r="1956" ht="15.75" customHeight="1"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  <c r="AM1956" s="12"/>
      <c r="AN1956" s="12"/>
      <c r="AO1956" s="12"/>
      <c r="AP1956" s="13"/>
      <c r="AQ1956" s="13"/>
      <c r="AR1956" s="13"/>
      <c r="AS1956" s="13"/>
      <c r="AT1956" s="12"/>
      <c r="AU1956" s="12"/>
      <c r="AV1956" s="14"/>
      <c r="AW1956" s="15"/>
      <c r="AX1956" s="15"/>
    </row>
    <row r="1957" ht="15.75" customHeight="1"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  <c r="AM1957" s="12"/>
      <c r="AN1957" s="12"/>
      <c r="AO1957" s="12"/>
      <c r="AP1957" s="13"/>
      <c r="AQ1957" s="13"/>
      <c r="AR1957" s="13"/>
      <c r="AS1957" s="13"/>
      <c r="AT1957" s="12"/>
      <c r="AU1957" s="12"/>
      <c r="AV1957" s="14"/>
      <c r="AW1957" s="15"/>
      <c r="AX1957" s="15"/>
    </row>
    <row r="1958" ht="15.75" customHeight="1"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12"/>
      <c r="AI1958" s="12"/>
      <c r="AJ1958" s="12"/>
      <c r="AK1958" s="12"/>
      <c r="AL1958" s="12"/>
      <c r="AM1958" s="12"/>
      <c r="AN1958" s="12"/>
      <c r="AO1958" s="12"/>
      <c r="AP1958" s="13"/>
      <c r="AQ1958" s="13"/>
      <c r="AR1958" s="13"/>
      <c r="AS1958" s="13"/>
      <c r="AT1958" s="12"/>
      <c r="AU1958" s="12"/>
      <c r="AV1958" s="14"/>
      <c r="AW1958" s="15"/>
      <c r="AX1958" s="15"/>
    </row>
    <row r="1959" ht="15.75" customHeight="1"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  <c r="AM1959" s="12"/>
      <c r="AN1959" s="12"/>
      <c r="AO1959" s="12"/>
      <c r="AP1959" s="13"/>
      <c r="AQ1959" s="13"/>
      <c r="AR1959" s="13"/>
      <c r="AS1959" s="13"/>
      <c r="AT1959" s="12"/>
      <c r="AU1959" s="12"/>
      <c r="AV1959" s="14"/>
      <c r="AW1959" s="15"/>
      <c r="AX1959" s="15"/>
    </row>
    <row r="1960" ht="15.75" customHeight="1"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  <c r="AM1960" s="12"/>
      <c r="AN1960" s="12"/>
      <c r="AO1960" s="12"/>
      <c r="AP1960" s="13"/>
      <c r="AQ1960" s="13"/>
      <c r="AR1960" s="13"/>
      <c r="AS1960" s="13"/>
      <c r="AT1960" s="12"/>
      <c r="AU1960" s="12"/>
      <c r="AV1960" s="14"/>
      <c r="AW1960" s="15"/>
      <c r="AX1960" s="15"/>
    </row>
    <row r="1961" ht="15.75" customHeight="1"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2"/>
      <c r="AI1961" s="12"/>
      <c r="AJ1961" s="12"/>
      <c r="AK1961" s="12"/>
      <c r="AL1961" s="12"/>
      <c r="AM1961" s="12"/>
      <c r="AN1961" s="12"/>
      <c r="AO1961" s="12"/>
      <c r="AP1961" s="13"/>
      <c r="AQ1961" s="13"/>
      <c r="AR1961" s="13"/>
      <c r="AS1961" s="13"/>
      <c r="AT1961" s="12"/>
      <c r="AU1961" s="12"/>
      <c r="AV1961" s="14"/>
      <c r="AW1961" s="15"/>
      <c r="AX1961" s="15"/>
    </row>
    <row r="1962" ht="15.75" customHeight="1"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12"/>
      <c r="AL1962" s="12"/>
      <c r="AM1962" s="12"/>
      <c r="AN1962" s="12"/>
      <c r="AO1962" s="12"/>
      <c r="AP1962" s="13"/>
      <c r="AQ1962" s="13"/>
      <c r="AR1962" s="13"/>
      <c r="AS1962" s="13"/>
      <c r="AT1962" s="12"/>
      <c r="AU1962" s="12"/>
      <c r="AV1962" s="14"/>
      <c r="AW1962" s="15"/>
      <c r="AX1962" s="15"/>
    </row>
    <row r="1963" ht="15.75" customHeight="1"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2"/>
      <c r="AI1963" s="12"/>
      <c r="AJ1963" s="12"/>
      <c r="AK1963" s="12"/>
      <c r="AL1963" s="12"/>
      <c r="AM1963" s="12"/>
      <c r="AN1963" s="12"/>
      <c r="AO1963" s="12"/>
      <c r="AP1963" s="13"/>
      <c r="AQ1963" s="13"/>
      <c r="AR1963" s="13"/>
      <c r="AS1963" s="13"/>
      <c r="AT1963" s="12"/>
      <c r="AU1963" s="12"/>
      <c r="AV1963" s="14"/>
      <c r="AW1963" s="15"/>
      <c r="AX1963" s="15"/>
    </row>
    <row r="1964" ht="15.75" customHeight="1"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12"/>
      <c r="AI1964" s="12"/>
      <c r="AJ1964" s="12"/>
      <c r="AK1964" s="12"/>
      <c r="AL1964" s="12"/>
      <c r="AM1964" s="12"/>
      <c r="AN1964" s="12"/>
      <c r="AO1964" s="12"/>
      <c r="AP1964" s="13"/>
      <c r="AQ1964" s="13"/>
      <c r="AR1964" s="13"/>
      <c r="AS1964" s="13"/>
      <c r="AT1964" s="12"/>
      <c r="AU1964" s="12"/>
      <c r="AV1964" s="14"/>
      <c r="AW1964" s="15"/>
      <c r="AX1964" s="15"/>
    </row>
    <row r="1965" ht="15.75" customHeight="1"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2"/>
      <c r="AI1965" s="12"/>
      <c r="AJ1965" s="12"/>
      <c r="AK1965" s="12"/>
      <c r="AL1965" s="12"/>
      <c r="AM1965" s="12"/>
      <c r="AN1965" s="12"/>
      <c r="AO1965" s="12"/>
      <c r="AP1965" s="13"/>
      <c r="AQ1965" s="13"/>
      <c r="AR1965" s="13"/>
      <c r="AS1965" s="13"/>
      <c r="AT1965" s="12"/>
      <c r="AU1965" s="12"/>
      <c r="AV1965" s="14"/>
      <c r="AW1965" s="15"/>
      <c r="AX1965" s="15"/>
    </row>
    <row r="1966" ht="15.75" customHeight="1"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  <c r="AG1966" s="12"/>
      <c r="AH1966" s="12"/>
      <c r="AI1966" s="12"/>
      <c r="AJ1966" s="12"/>
      <c r="AK1966" s="12"/>
      <c r="AL1966" s="12"/>
      <c r="AM1966" s="12"/>
      <c r="AN1966" s="12"/>
      <c r="AO1966" s="12"/>
      <c r="AP1966" s="13"/>
      <c r="AQ1966" s="13"/>
      <c r="AR1966" s="13"/>
      <c r="AS1966" s="13"/>
      <c r="AT1966" s="12"/>
      <c r="AU1966" s="12"/>
      <c r="AV1966" s="14"/>
      <c r="AW1966" s="15"/>
      <c r="AX1966" s="15"/>
    </row>
    <row r="1967" ht="15.75" customHeight="1"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12"/>
      <c r="AI1967" s="12"/>
      <c r="AJ1967" s="12"/>
      <c r="AK1967" s="12"/>
      <c r="AL1967" s="12"/>
      <c r="AM1967" s="12"/>
      <c r="AN1967" s="12"/>
      <c r="AO1967" s="12"/>
      <c r="AP1967" s="13"/>
      <c r="AQ1967" s="13"/>
      <c r="AR1967" s="13"/>
      <c r="AS1967" s="13"/>
      <c r="AT1967" s="12"/>
      <c r="AU1967" s="12"/>
      <c r="AV1967" s="14"/>
      <c r="AW1967" s="15"/>
      <c r="AX1967" s="15"/>
    </row>
    <row r="1968" ht="15.75" customHeight="1"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12"/>
      <c r="AI1968" s="12"/>
      <c r="AJ1968" s="12"/>
      <c r="AK1968" s="12"/>
      <c r="AL1968" s="12"/>
      <c r="AM1968" s="12"/>
      <c r="AN1968" s="12"/>
      <c r="AO1968" s="12"/>
      <c r="AP1968" s="13"/>
      <c r="AQ1968" s="13"/>
      <c r="AR1968" s="13"/>
      <c r="AS1968" s="13"/>
      <c r="AT1968" s="12"/>
      <c r="AU1968" s="12"/>
      <c r="AV1968" s="14"/>
      <c r="AW1968" s="15"/>
      <c r="AX1968" s="15"/>
    </row>
    <row r="1969" ht="15.75" customHeight="1"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  <c r="AG1969" s="12"/>
      <c r="AH1969" s="12"/>
      <c r="AI1969" s="12"/>
      <c r="AJ1969" s="12"/>
      <c r="AK1969" s="12"/>
      <c r="AL1969" s="12"/>
      <c r="AM1969" s="12"/>
      <c r="AN1969" s="12"/>
      <c r="AO1969" s="12"/>
      <c r="AP1969" s="13"/>
      <c r="AQ1969" s="13"/>
      <c r="AR1969" s="13"/>
      <c r="AS1969" s="13"/>
      <c r="AT1969" s="12"/>
      <c r="AU1969" s="12"/>
      <c r="AV1969" s="14"/>
      <c r="AW1969" s="15"/>
      <c r="AX1969" s="15"/>
    </row>
    <row r="1970" ht="15.75" customHeight="1"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  <c r="AG1970" s="12"/>
      <c r="AH1970" s="12"/>
      <c r="AI1970" s="12"/>
      <c r="AJ1970" s="12"/>
      <c r="AK1970" s="12"/>
      <c r="AL1970" s="12"/>
      <c r="AM1970" s="12"/>
      <c r="AN1970" s="12"/>
      <c r="AO1970" s="12"/>
      <c r="AP1970" s="13"/>
      <c r="AQ1970" s="13"/>
      <c r="AR1970" s="13"/>
      <c r="AS1970" s="13"/>
      <c r="AT1970" s="12"/>
      <c r="AU1970" s="12"/>
      <c r="AV1970" s="14"/>
      <c r="AW1970" s="15"/>
      <c r="AX1970" s="15"/>
    </row>
    <row r="1971" ht="15.75" customHeight="1"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  <c r="AM1971" s="12"/>
      <c r="AN1971" s="12"/>
      <c r="AO1971" s="12"/>
      <c r="AP1971" s="13"/>
      <c r="AQ1971" s="13"/>
      <c r="AR1971" s="13"/>
      <c r="AS1971" s="13"/>
      <c r="AT1971" s="12"/>
      <c r="AU1971" s="12"/>
      <c r="AV1971" s="14"/>
      <c r="AW1971" s="15"/>
      <c r="AX1971" s="15"/>
    </row>
    <row r="1972" ht="15.75" customHeight="1"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  <c r="AG1972" s="12"/>
      <c r="AH1972" s="12"/>
      <c r="AI1972" s="12"/>
      <c r="AJ1972" s="12"/>
      <c r="AK1972" s="12"/>
      <c r="AL1972" s="12"/>
      <c r="AM1972" s="12"/>
      <c r="AN1972" s="12"/>
      <c r="AO1972" s="12"/>
      <c r="AP1972" s="13"/>
      <c r="AQ1972" s="13"/>
      <c r="AR1972" s="13"/>
      <c r="AS1972" s="13"/>
      <c r="AT1972" s="12"/>
      <c r="AU1972" s="12"/>
      <c r="AV1972" s="14"/>
      <c r="AW1972" s="15"/>
      <c r="AX1972" s="15"/>
    </row>
    <row r="1973" ht="15.75" customHeight="1"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2"/>
      <c r="AI1973" s="12"/>
      <c r="AJ1973" s="12"/>
      <c r="AK1973" s="12"/>
      <c r="AL1973" s="12"/>
      <c r="AM1973" s="12"/>
      <c r="AN1973" s="12"/>
      <c r="AO1973" s="12"/>
      <c r="AP1973" s="13"/>
      <c r="AQ1973" s="13"/>
      <c r="AR1973" s="13"/>
      <c r="AS1973" s="13"/>
      <c r="AT1973" s="12"/>
      <c r="AU1973" s="12"/>
      <c r="AV1973" s="14"/>
      <c r="AW1973" s="15"/>
      <c r="AX1973" s="15"/>
    </row>
    <row r="1974" ht="15.75" customHeight="1"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12"/>
      <c r="AI1974" s="12"/>
      <c r="AJ1974" s="12"/>
      <c r="AK1974" s="12"/>
      <c r="AL1974" s="12"/>
      <c r="AM1974" s="12"/>
      <c r="AN1974" s="12"/>
      <c r="AO1974" s="12"/>
      <c r="AP1974" s="13"/>
      <c r="AQ1974" s="13"/>
      <c r="AR1974" s="13"/>
      <c r="AS1974" s="13"/>
      <c r="AT1974" s="12"/>
      <c r="AU1974" s="12"/>
      <c r="AV1974" s="14"/>
      <c r="AW1974" s="15"/>
      <c r="AX1974" s="15"/>
    </row>
    <row r="1975" ht="15.75" customHeight="1"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12"/>
      <c r="AL1975" s="12"/>
      <c r="AM1975" s="12"/>
      <c r="AN1975" s="12"/>
      <c r="AO1975" s="12"/>
      <c r="AP1975" s="13"/>
      <c r="AQ1975" s="13"/>
      <c r="AR1975" s="13"/>
      <c r="AS1975" s="13"/>
      <c r="AT1975" s="12"/>
      <c r="AU1975" s="12"/>
      <c r="AV1975" s="14"/>
      <c r="AW1975" s="15"/>
      <c r="AX1975" s="15"/>
    </row>
    <row r="1976" ht="15.75" customHeight="1"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  <c r="AM1976" s="12"/>
      <c r="AN1976" s="12"/>
      <c r="AO1976" s="12"/>
      <c r="AP1976" s="13"/>
      <c r="AQ1976" s="13"/>
      <c r="AR1976" s="13"/>
      <c r="AS1976" s="13"/>
      <c r="AT1976" s="12"/>
      <c r="AU1976" s="12"/>
      <c r="AV1976" s="14"/>
      <c r="AW1976" s="15"/>
      <c r="AX1976" s="15"/>
    </row>
    <row r="1977" ht="15.75" customHeight="1"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2"/>
      <c r="AI1977" s="12"/>
      <c r="AJ1977" s="12"/>
      <c r="AK1977" s="12"/>
      <c r="AL1977" s="12"/>
      <c r="AM1977" s="12"/>
      <c r="AN1977" s="12"/>
      <c r="AO1977" s="12"/>
      <c r="AP1977" s="13"/>
      <c r="AQ1977" s="13"/>
      <c r="AR1977" s="13"/>
      <c r="AS1977" s="13"/>
      <c r="AT1977" s="12"/>
      <c r="AU1977" s="12"/>
      <c r="AV1977" s="14"/>
      <c r="AW1977" s="15"/>
      <c r="AX1977" s="15"/>
    </row>
    <row r="1978" ht="15.75" customHeight="1"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12"/>
      <c r="AL1978" s="12"/>
      <c r="AM1978" s="12"/>
      <c r="AN1978" s="12"/>
      <c r="AO1978" s="12"/>
      <c r="AP1978" s="13"/>
      <c r="AQ1978" s="13"/>
      <c r="AR1978" s="13"/>
      <c r="AS1978" s="13"/>
      <c r="AT1978" s="12"/>
      <c r="AU1978" s="12"/>
      <c r="AV1978" s="14"/>
      <c r="AW1978" s="15"/>
      <c r="AX1978" s="15"/>
    </row>
    <row r="1979" ht="15.75" customHeight="1"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2"/>
      <c r="AI1979" s="12"/>
      <c r="AJ1979" s="12"/>
      <c r="AK1979" s="12"/>
      <c r="AL1979" s="12"/>
      <c r="AM1979" s="12"/>
      <c r="AN1979" s="12"/>
      <c r="AO1979" s="12"/>
      <c r="AP1979" s="13"/>
      <c r="AQ1979" s="13"/>
      <c r="AR1979" s="13"/>
      <c r="AS1979" s="13"/>
      <c r="AT1979" s="12"/>
      <c r="AU1979" s="12"/>
      <c r="AV1979" s="14"/>
      <c r="AW1979" s="15"/>
      <c r="AX1979" s="15"/>
    </row>
    <row r="1980" ht="15.75" customHeight="1"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12"/>
      <c r="AI1980" s="12"/>
      <c r="AJ1980" s="12"/>
      <c r="AK1980" s="12"/>
      <c r="AL1980" s="12"/>
      <c r="AM1980" s="12"/>
      <c r="AN1980" s="12"/>
      <c r="AO1980" s="12"/>
      <c r="AP1980" s="13"/>
      <c r="AQ1980" s="13"/>
      <c r="AR1980" s="13"/>
      <c r="AS1980" s="13"/>
      <c r="AT1980" s="12"/>
      <c r="AU1980" s="12"/>
      <c r="AV1980" s="14"/>
      <c r="AW1980" s="15"/>
      <c r="AX1980" s="15"/>
    </row>
    <row r="1981" ht="15.75" customHeight="1"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  <c r="AM1981" s="12"/>
      <c r="AN1981" s="12"/>
      <c r="AO1981" s="12"/>
      <c r="AP1981" s="13"/>
      <c r="AQ1981" s="13"/>
      <c r="AR1981" s="13"/>
      <c r="AS1981" s="13"/>
      <c r="AT1981" s="12"/>
      <c r="AU1981" s="12"/>
      <c r="AV1981" s="14"/>
      <c r="AW1981" s="15"/>
      <c r="AX1981" s="15"/>
    </row>
    <row r="1982" ht="15.75" customHeight="1"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  <c r="AM1982" s="12"/>
      <c r="AN1982" s="12"/>
      <c r="AO1982" s="12"/>
      <c r="AP1982" s="13"/>
      <c r="AQ1982" s="13"/>
      <c r="AR1982" s="13"/>
      <c r="AS1982" s="13"/>
      <c r="AT1982" s="12"/>
      <c r="AU1982" s="12"/>
      <c r="AV1982" s="14"/>
      <c r="AW1982" s="15"/>
      <c r="AX1982" s="15"/>
    </row>
    <row r="1983" ht="15.75" customHeight="1"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2"/>
      <c r="AI1983" s="12"/>
      <c r="AJ1983" s="12"/>
      <c r="AK1983" s="12"/>
      <c r="AL1983" s="12"/>
      <c r="AM1983" s="12"/>
      <c r="AN1983" s="12"/>
      <c r="AO1983" s="12"/>
      <c r="AP1983" s="13"/>
      <c r="AQ1983" s="13"/>
      <c r="AR1983" s="13"/>
      <c r="AS1983" s="13"/>
      <c r="AT1983" s="12"/>
      <c r="AU1983" s="12"/>
      <c r="AV1983" s="14"/>
      <c r="AW1983" s="15"/>
      <c r="AX1983" s="15"/>
    </row>
    <row r="1984" ht="15.75" customHeight="1"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12"/>
      <c r="AL1984" s="12"/>
      <c r="AM1984" s="12"/>
      <c r="AN1984" s="12"/>
      <c r="AO1984" s="12"/>
      <c r="AP1984" s="13"/>
      <c r="AQ1984" s="13"/>
      <c r="AR1984" s="13"/>
      <c r="AS1984" s="13"/>
      <c r="AT1984" s="12"/>
      <c r="AU1984" s="12"/>
      <c r="AV1984" s="14"/>
      <c r="AW1984" s="15"/>
      <c r="AX1984" s="15"/>
    </row>
    <row r="1985" ht="15.75" customHeight="1"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2"/>
      <c r="AI1985" s="12"/>
      <c r="AJ1985" s="12"/>
      <c r="AK1985" s="12"/>
      <c r="AL1985" s="12"/>
      <c r="AM1985" s="12"/>
      <c r="AN1985" s="12"/>
      <c r="AO1985" s="12"/>
      <c r="AP1985" s="13"/>
      <c r="AQ1985" s="13"/>
      <c r="AR1985" s="13"/>
      <c r="AS1985" s="13"/>
      <c r="AT1985" s="12"/>
      <c r="AU1985" s="12"/>
      <c r="AV1985" s="14"/>
      <c r="AW1985" s="15"/>
      <c r="AX1985" s="15"/>
    </row>
    <row r="1986" ht="15.75" customHeight="1"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  <c r="AG1986" s="12"/>
      <c r="AH1986" s="12"/>
      <c r="AI1986" s="12"/>
      <c r="AJ1986" s="12"/>
      <c r="AK1986" s="12"/>
      <c r="AL1986" s="12"/>
      <c r="AM1986" s="12"/>
      <c r="AN1986" s="12"/>
      <c r="AO1986" s="12"/>
      <c r="AP1986" s="13"/>
      <c r="AQ1986" s="13"/>
      <c r="AR1986" s="13"/>
      <c r="AS1986" s="13"/>
      <c r="AT1986" s="12"/>
      <c r="AU1986" s="12"/>
      <c r="AV1986" s="14"/>
      <c r="AW1986" s="15"/>
      <c r="AX1986" s="15"/>
    </row>
    <row r="1987" ht="15.75" customHeight="1"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  <c r="AM1987" s="12"/>
      <c r="AN1987" s="12"/>
      <c r="AO1987" s="12"/>
      <c r="AP1987" s="13"/>
      <c r="AQ1987" s="13"/>
      <c r="AR1987" s="13"/>
      <c r="AS1987" s="13"/>
      <c r="AT1987" s="12"/>
      <c r="AU1987" s="12"/>
      <c r="AV1987" s="14"/>
      <c r="AW1987" s="15"/>
      <c r="AX1987" s="15"/>
    </row>
    <row r="1988" ht="15.75" customHeight="1"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  <c r="AG1988" s="12"/>
      <c r="AH1988" s="12"/>
      <c r="AI1988" s="12"/>
      <c r="AJ1988" s="12"/>
      <c r="AK1988" s="12"/>
      <c r="AL1988" s="12"/>
      <c r="AM1988" s="12"/>
      <c r="AN1988" s="12"/>
      <c r="AO1988" s="12"/>
      <c r="AP1988" s="13"/>
      <c r="AQ1988" s="13"/>
      <c r="AR1988" s="13"/>
      <c r="AS1988" s="13"/>
      <c r="AT1988" s="12"/>
      <c r="AU1988" s="12"/>
      <c r="AV1988" s="14"/>
      <c r="AW1988" s="15"/>
      <c r="AX1988" s="15"/>
    </row>
    <row r="1989" ht="15.75" customHeight="1"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12"/>
      <c r="AI1989" s="12"/>
      <c r="AJ1989" s="12"/>
      <c r="AK1989" s="12"/>
      <c r="AL1989" s="12"/>
      <c r="AM1989" s="12"/>
      <c r="AN1989" s="12"/>
      <c r="AO1989" s="12"/>
      <c r="AP1989" s="13"/>
      <c r="AQ1989" s="13"/>
      <c r="AR1989" s="13"/>
      <c r="AS1989" s="13"/>
      <c r="AT1989" s="12"/>
      <c r="AU1989" s="12"/>
      <c r="AV1989" s="14"/>
      <c r="AW1989" s="15"/>
      <c r="AX1989" s="15"/>
    </row>
    <row r="1990" ht="15.75" customHeight="1"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12"/>
      <c r="AL1990" s="12"/>
      <c r="AM1990" s="12"/>
      <c r="AN1990" s="12"/>
      <c r="AO1990" s="12"/>
      <c r="AP1990" s="13"/>
      <c r="AQ1990" s="13"/>
      <c r="AR1990" s="13"/>
      <c r="AS1990" s="13"/>
      <c r="AT1990" s="12"/>
      <c r="AU1990" s="12"/>
      <c r="AV1990" s="14"/>
      <c r="AW1990" s="15"/>
      <c r="AX1990" s="15"/>
    </row>
    <row r="1991" ht="15.75" customHeight="1"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2"/>
      <c r="AI1991" s="12"/>
      <c r="AJ1991" s="12"/>
      <c r="AK1991" s="12"/>
      <c r="AL1991" s="12"/>
      <c r="AM1991" s="12"/>
      <c r="AN1991" s="12"/>
      <c r="AO1991" s="12"/>
      <c r="AP1991" s="13"/>
      <c r="AQ1991" s="13"/>
      <c r="AR1991" s="13"/>
      <c r="AS1991" s="13"/>
      <c r="AT1991" s="12"/>
      <c r="AU1991" s="12"/>
      <c r="AV1991" s="14"/>
      <c r="AW1991" s="15"/>
      <c r="AX1991" s="15"/>
    </row>
    <row r="1992" ht="15.75" customHeight="1"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  <c r="AG1992" s="12"/>
      <c r="AH1992" s="12"/>
      <c r="AI1992" s="12"/>
      <c r="AJ1992" s="12"/>
      <c r="AK1992" s="12"/>
      <c r="AL1992" s="12"/>
      <c r="AM1992" s="12"/>
      <c r="AN1992" s="12"/>
      <c r="AO1992" s="12"/>
      <c r="AP1992" s="13"/>
      <c r="AQ1992" s="13"/>
      <c r="AR1992" s="13"/>
      <c r="AS1992" s="13"/>
      <c r="AT1992" s="12"/>
      <c r="AU1992" s="12"/>
      <c r="AV1992" s="14"/>
      <c r="AW1992" s="15"/>
      <c r="AX1992" s="15"/>
    </row>
    <row r="1993" ht="15.75" customHeight="1"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  <c r="AM1993" s="12"/>
      <c r="AN1993" s="12"/>
      <c r="AO1993" s="12"/>
      <c r="AP1993" s="13"/>
      <c r="AQ1993" s="13"/>
      <c r="AR1993" s="13"/>
      <c r="AS1993" s="13"/>
      <c r="AT1993" s="12"/>
      <c r="AU1993" s="12"/>
      <c r="AV1993" s="14"/>
      <c r="AW1993" s="15"/>
      <c r="AX1993" s="15"/>
    </row>
    <row r="1994" ht="15.75" customHeight="1"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12"/>
      <c r="AL1994" s="12"/>
      <c r="AM1994" s="12"/>
      <c r="AN1994" s="12"/>
      <c r="AO1994" s="12"/>
      <c r="AP1994" s="13"/>
      <c r="AQ1994" s="13"/>
      <c r="AR1994" s="13"/>
      <c r="AS1994" s="13"/>
      <c r="AT1994" s="12"/>
      <c r="AU1994" s="12"/>
      <c r="AV1994" s="14"/>
      <c r="AW1994" s="15"/>
      <c r="AX1994" s="15"/>
    </row>
    <row r="1995" ht="15.75" customHeight="1"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2"/>
      <c r="AI1995" s="12"/>
      <c r="AJ1995" s="12"/>
      <c r="AK1995" s="12"/>
      <c r="AL1995" s="12"/>
      <c r="AM1995" s="12"/>
      <c r="AN1995" s="12"/>
      <c r="AO1995" s="12"/>
      <c r="AP1995" s="13"/>
      <c r="AQ1995" s="13"/>
      <c r="AR1995" s="13"/>
      <c r="AS1995" s="13"/>
      <c r="AT1995" s="12"/>
      <c r="AU1995" s="12"/>
      <c r="AV1995" s="14"/>
      <c r="AW1995" s="15"/>
      <c r="AX1995" s="15"/>
    </row>
    <row r="1996" ht="15.75" customHeight="1"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2"/>
      <c r="AE1996" s="12"/>
      <c r="AF1996" s="12"/>
      <c r="AG1996" s="12"/>
      <c r="AH1996" s="12"/>
      <c r="AI1996" s="12"/>
      <c r="AJ1996" s="12"/>
      <c r="AK1996" s="12"/>
      <c r="AL1996" s="12"/>
      <c r="AM1996" s="12"/>
      <c r="AN1996" s="12"/>
      <c r="AO1996" s="12"/>
      <c r="AP1996" s="13"/>
      <c r="AQ1996" s="13"/>
      <c r="AR1996" s="13"/>
      <c r="AS1996" s="13"/>
      <c r="AT1996" s="12"/>
      <c r="AU1996" s="12"/>
      <c r="AV1996" s="14"/>
      <c r="AW1996" s="15"/>
      <c r="AX1996" s="15"/>
    </row>
    <row r="1997" ht="15.75" customHeight="1"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2"/>
      <c r="AI1997" s="12"/>
      <c r="AJ1997" s="12"/>
      <c r="AK1997" s="12"/>
      <c r="AL1997" s="12"/>
      <c r="AM1997" s="12"/>
      <c r="AN1997" s="12"/>
      <c r="AO1997" s="12"/>
      <c r="AP1997" s="13"/>
      <c r="AQ1997" s="13"/>
      <c r="AR1997" s="13"/>
      <c r="AS1997" s="13"/>
      <c r="AT1997" s="12"/>
      <c r="AU1997" s="12"/>
      <c r="AV1997" s="14"/>
      <c r="AW1997" s="15"/>
      <c r="AX1997" s="15"/>
    </row>
    <row r="1998" ht="15.75" customHeight="1"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12"/>
      <c r="AI1998" s="12"/>
      <c r="AJ1998" s="12"/>
      <c r="AK1998" s="12"/>
      <c r="AL1998" s="12"/>
      <c r="AM1998" s="12"/>
      <c r="AN1998" s="12"/>
      <c r="AO1998" s="12"/>
      <c r="AP1998" s="13"/>
      <c r="AQ1998" s="13"/>
      <c r="AR1998" s="13"/>
      <c r="AS1998" s="13"/>
      <c r="AT1998" s="12"/>
      <c r="AU1998" s="12"/>
      <c r="AV1998" s="14"/>
      <c r="AW1998" s="15"/>
      <c r="AX1998" s="15"/>
    </row>
    <row r="1999" ht="15.75" customHeight="1"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  <c r="AG1999" s="12"/>
      <c r="AH1999" s="12"/>
      <c r="AI1999" s="12"/>
      <c r="AJ1999" s="12"/>
      <c r="AK1999" s="12"/>
      <c r="AL1999" s="12"/>
      <c r="AM1999" s="12"/>
      <c r="AN1999" s="12"/>
      <c r="AO1999" s="12"/>
      <c r="AP1999" s="13"/>
      <c r="AQ1999" s="13"/>
      <c r="AR1999" s="13"/>
      <c r="AS1999" s="13"/>
      <c r="AT1999" s="12"/>
      <c r="AU1999" s="12"/>
      <c r="AV1999" s="14"/>
      <c r="AW1999" s="15"/>
      <c r="AX1999" s="15"/>
    </row>
    <row r="2000" ht="15.75" customHeight="1"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  <c r="AG2000" s="12"/>
      <c r="AH2000" s="12"/>
      <c r="AI2000" s="12"/>
      <c r="AJ2000" s="12"/>
      <c r="AK2000" s="12"/>
      <c r="AL2000" s="12"/>
      <c r="AM2000" s="12"/>
      <c r="AN2000" s="12"/>
      <c r="AO2000" s="12"/>
      <c r="AP2000" s="13"/>
      <c r="AQ2000" s="13"/>
      <c r="AR2000" s="13"/>
      <c r="AS2000" s="13"/>
      <c r="AT2000" s="12"/>
      <c r="AU2000" s="12"/>
      <c r="AV2000" s="14"/>
      <c r="AW2000" s="15"/>
      <c r="AX2000" s="15"/>
    </row>
    <row r="2001" ht="15.75" customHeight="1"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12"/>
      <c r="AI2001" s="12"/>
      <c r="AJ2001" s="12"/>
      <c r="AK2001" s="12"/>
      <c r="AL2001" s="12"/>
      <c r="AM2001" s="12"/>
      <c r="AN2001" s="12"/>
      <c r="AO2001" s="12"/>
      <c r="AP2001" s="13"/>
      <c r="AQ2001" s="13"/>
      <c r="AR2001" s="13"/>
      <c r="AS2001" s="13"/>
      <c r="AT2001" s="12"/>
      <c r="AU2001" s="12"/>
      <c r="AV2001" s="14"/>
      <c r="AW2001" s="15"/>
      <c r="AX2001" s="15"/>
    </row>
    <row r="2002" ht="15.75" customHeight="1"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  <c r="AA2002" s="12"/>
      <c r="AB2002" s="12"/>
      <c r="AC2002" s="12"/>
      <c r="AD2002" s="12"/>
      <c r="AE2002" s="12"/>
      <c r="AF2002" s="12"/>
      <c r="AG2002" s="12"/>
      <c r="AH2002" s="12"/>
      <c r="AI2002" s="12"/>
      <c r="AJ2002" s="12"/>
      <c r="AK2002" s="12"/>
      <c r="AL2002" s="12"/>
      <c r="AM2002" s="12"/>
      <c r="AN2002" s="12"/>
      <c r="AO2002" s="12"/>
      <c r="AP2002" s="13"/>
      <c r="AQ2002" s="13"/>
      <c r="AR2002" s="13"/>
      <c r="AS2002" s="13"/>
      <c r="AT2002" s="12"/>
      <c r="AU2002" s="12"/>
      <c r="AV2002" s="14"/>
      <c r="AW2002" s="15"/>
      <c r="AX2002" s="15"/>
    </row>
    <row r="2003" ht="15.75" customHeight="1"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12"/>
      <c r="AI2003" s="12"/>
      <c r="AJ2003" s="12"/>
      <c r="AK2003" s="12"/>
      <c r="AL2003" s="12"/>
      <c r="AM2003" s="12"/>
      <c r="AN2003" s="12"/>
      <c r="AO2003" s="12"/>
      <c r="AP2003" s="13"/>
      <c r="AQ2003" s="13"/>
      <c r="AR2003" s="13"/>
      <c r="AS2003" s="13"/>
      <c r="AT2003" s="12"/>
      <c r="AU2003" s="12"/>
      <c r="AV2003" s="14"/>
      <c r="AW2003" s="15"/>
      <c r="AX2003" s="15"/>
    </row>
    <row r="2004" ht="15.75" customHeight="1"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2"/>
      <c r="AE2004" s="12"/>
      <c r="AF2004" s="12"/>
      <c r="AG2004" s="12"/>
      <c r="AH2004" s="12"/>
      <c r="AI2004" s="12"/>
      <c r="AJ2004" s="12"/>
      <c r="AK2004" s="12"/>
      <c r="AL2004" s="12"/>
      <c r="AM2004" s="12"/>
      <c r="AN2004" s="12"/>
      <c r="AO2004" s="12"/>
      <c r="AP2004" s="13"/>
      <c r="AQ2004" s="13"/>
      <c r="AR2004" s="13"/>
      <c r="AS2004" s="13"/>
      <c r="AT2004" s="12"/>
      <c r="AU2004" s="12"/>
      <c r="AV2004" s="14"/>
      <c r="AW2004" s="15"/>
      <c r="AX2004" s="15"/>
    </row>
    <row r="2005" ht="15.75" customHeight="1"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2"/>
      <c r="AE2005" s="12"/>
      <c r="AF2005" s="12"/>
      <c r="AG2005" s="12"/>
      <c r="AH2005" s="12"/>
      <c r="AI2005" s="12"/>
      <c r="AJ2005" s="12"/>
      <c r="AK2005" s="12"/>
      <c r="AL2005" s="12"/>
      <c r="AM2005" s="12"/>
      <c r="AN2005" s="12"/>
      <c r="AO2005" s="12"/>
      <c r="AP2005" s="13"/>
      <c r="AQ2005" s="13"/>
      <c r="AR2005" s="13"/>
      <c r="AS2005" s="13"/>
      <c r="AT2005" s="12"/>
      <c r="AU2005" s="12"/>
      <c r="AV2005" s="14"/>
      <c r="AW2005" s="15"/>
      <c r="AX2005" s="15"/>
    </row>
    <row r="2006" ht="15.75" customHeight="1"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2"/>
      <c r="AB2006" s="12"/>
      <c r="AC2006" s="12"/>
      <c r="AD2006" s="12"/>
      <c r="AE2006" s="12"/>
      <c r="AF2006" s="12"/>
      <c r="AG2006" s="12"/>
      <c r="AH2006" s="12"/>
      <c r="AI2006" s="12"/>
      <c r="AJ2006" s="12"/>
      <c r="AK2006" s="12"/>
      <c r="AL2006" s="12"/>
      <c r="AM2006" s="12"/>
      <c r="AN2006" s="12"/>
      <c r="AO2006" s="12"/>
      <c r="AP2006" s="13"/>
      <c r="AQ2006" s="13"/>
      <c r="AR2006" s="13"/>
      <c r="AS2006" s="13"/>
      <c r="AT2006" s="12"/>
      <c r="AU2006" s="12"/>
      <c r="AV2006" s="14"/>
      <c r="AW2006" s="15"/>
      <c r="AX2006" s="15"/>
    </row>
    <row r="2007" ht="15.75" customHeight="1"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  <c r="AC2007" s="12"/>
      <c r="AD2007" s="12"/>
      <c r="AE2007" s="12"/>
      <c r="AF2007" s="12"/>
      <c r="AG2007" s="12"/>
      <c r="AH2007" s="12"/>
      <c r="AI2007" s="12"/>
      <c r="AJ2007" s="12"/>
      <c r="AK2007" s="12"/>
      <c r="AL2007" s="12"/>
      <c r="AM2007" s="12"/>
      <c r="AN2007" s="12"/>
      <c r="AO2007" s="12"/>
      <c r="AP2007" s="13"/>
      <c r="AQ2007" s="13"/>
      <c r="AR2007" s="13"/>
      <c r="AS2007" s="13"/>
      <c r="AT2007" s="12"/>
      <c r="AU2007" s="12"/>
      <c r="AV2007" s="14"/>
      <c r="AW2007" s="15"/>
      <c r="AX2007" s="15"/>
    </row>
    <row r="2008" ht="15.75" customHeight="1"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2"/>
      <c r="AB2008" s="12"/>
      <c r="AC2008" s="12"/>
      <c r="AD2008" s="12"/>
      <c r="AE2008" s="12"/>
      <c r="AF2008" s="12"/>
      <c r="AG2008" s="12"/>
      <c r="AH2008" s="12"/>
      <c r="AI2008" s="12"/>
      <c r="AJ2008" s="12"/>
      <c r="AK2008" s="12"/>
      <c r="AL2008" s="12"/>
      <c r="AM2008" s="12"/>
      <c r="AN2008" s="12"/>
      <c r="AO2008" s="12"/>
      <c r="AP2008" s="13"/>
      <c r="AQ2008" s="13"/>
      <c r="AR2008" s="13"/>
      <c r="AS2008" s="13"/>
      <c r="AT2008" s="12"/>
      <c r="AU2008" s="12"/>
      <c r="AV2008" s="14"/>
      <c r="AW2008" s="15"/>
      <c r="AX2008" s="15"/>
    </row>
    <row r="2009" ht="15.75" customHeight="1"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  <c r="AG2009" s="12"/>
      <c r="AH2009" s="12"/>
      <c r="AI2009" s="12"/>
      <c r="AJ2009" s="12"/>
      <c r="AK2009" s="12"/>
      <c r="AL2009" s="12"/>
      <c r="AM2009" s="12"/>
      <c r="AN2009" s="12"/>
      <c r="AO2009" s="12"/>
      <c r="AP2009" s="13"/>
      <c r="AQ2009" s="13"/>
      <c r="AR2009" s="13"/>
      <c r="AS2009" s="13"/>
      <c r="AT2009" s="12"/>
      <c r="AU2009" s="12"/>
      <c r="AV2009" s="14"/>
      <c r="AW2009" s="15"/>
      <c r="AX2009" s="15"/>
    </row>
    <row r="2010" ht="15.75" customHeight="1"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2"/>
      <c r="AB2010" s="12"/>
      <c r="AC2010" s="12"/>
      <c r="AD2010" s="12"/>
      <c r="AE2010" s="12"/>
      <c r="AF2010" s="12"/>
      <c r="AG2010" s="12"/>
      <c r="AH2010" s="12"/>
      <c r="AI2010" s="12"/>
      <c r="AJ2010" s="12"/>
      <c r="AK2010" s="12"/>
      <c r="AL2010" s="12"/>
      <c r="AM2010" s="12"/>
      <c r="AN2010" s="12"/>
      <c r="AO2010" s="12"/>
      <c r="AP2010" s="13"/>
      <c r="AQ2010" s="13"/>
      <c r="AR2010" s="13"/>
      <c r="AS2010" s="13"/>
      <c r="AT2010" s="12"/>
      <c r="AU2010" s="12"/>
      <c r="AV2010" s="14"/>
      <c r="AW2010" s="15"/>
      <c r="AX2010" s="15"/>
    </row>
    <row r="2011" ht="15.75" customHeight="1"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  <c r="AB2011" s="12"/>
      <c r="AC2011" s="12"/>
      <c r="AD2011" s="12"/>
      <c r="AE2011" s="12"/>
      <c r="AF2011" s="12"/>
      <c r="AG2011" s="12"/>
      <c r="AH2011" s="12"/>
      <c r="AI2011" s="12"/>
      <c r="AJ2011" s="12"/>
      <c r="AK2011" s="12"/>
      <c r="AL2011" s="12"/>
      <c r="AM2011" s="12"/>
      <c r="AN2011" s="12"/>
      <c r="AO2011" s="12"/>
      <c r="AP2011" s="13"/>
      <c r="AQ2011" s="13"/>
      <c r="AR2011" s="13"/>
      <c r="AS2011" s="13"/>
      <c r="AT2011" s="12"/>
      <c r="AU2011" s="12"/>
      <c r="AV2011" s="14"/>
      <c r="AW2011" s="15"/>
      <c r="AX2011" s="15"/>
    </row>
    <row r="2012" ht="15.75" customHeight="1"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  <c r="AA2012" s="12"/>
      <c r="AB2012" s="12"/>
      <c r="AC2012" s="12"/>
      <c r="AD2012" s="12"/>
      <c r="AE2012" s="12"/>
      <c r="AF2012" s="12"/>
      <c r="AG2012" s="12"/>
      <c r="AH2012" s="12"/>
      <c r="AI2012" s="12"/>
      <c r="AJ2012" s="12"/>
      <c r="AK2012" s="12"/>
      <c r="AL2012" s="12"/>
      <c r="AM2012" s="12"/>
      <c r="AN2012" s="12"/>
      <c r="AO2012" s="12"/>
      <c r="AP2012" s="13"/>
      <c r="AQ2012" s="13"/>
      <c r="AR2012" s="13"/>
      <c r="AS2012" s="13"/>
      <c r="AT2012" s="12"/>
      <c r="AU2012" s="12"/>
      <c r="AV2012" s="14"/>
      <c r="AW2012" s="15"/>
      <c r="AX2012" s="15"/>
    </row>
    <row r="2013" ht="15.75" customHeight="1"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  <c r="AC2013" s="12"/>
      <c r="AD2013" s="12"/>
      <c r="AE2013" s="12"/>
      <c r="AF2013" s="12"/>
      <c r="AG2013" s="12"/>
      <c r="AH2013" s="12"/>
      <c r="AI2013" s="12"/>
      <c r="AJ2013" s="12"/>
      <c r="AK2013" s="12"/>
      <c r="AL2013" s="12"/>
      <c r="AM2013" s="12"/>
      <c r="AN2013" s="12"/>
      <c r="AO2013" s="12"/>
      <c r="AP2013" s="13"/>
      <c r="AQ2013" s="13"/>
      <c r="AR2013" s="13"/>
      <c r="AS2013" s="13"/>
      <c r="AT2013" s="12"/>
      <c r="AU2013" s="12"/>
      <c r="AV2013" s="14"/>
      <c r="AW2013" s="15"/>
      <c r="AX2013" s="15"/>
    </row>
    <row r="2014" ht="15.75" customHeight="1"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2"/>
      <c r="AB2014" s="12"/>
      <c r="AC2014" s="12"/>
      <c r="AD2014" s="12"/>
      <c r="AE2014" s="12"/>
      <c r="AF2014" s="12"/>
      <c r="AG2014" s="12"/>
      <c r="AH2014" s="12"/>
      <c r="AI2014" s="12"/>
      <c r="AJ2014" s="12"/>
      <c r="AK2014" s="12"/>
      <c r="AL2014" s="12"/>
      <c r="AM2014" s="12"/>
      <c r="AN2014" s="12"/>
      <c r="AO2014" s="12"/>
      <c r="AP2014" s="13"/>
      <c r="AQ2014" s="13"/>
      <c r="AR2014" s="13"/>
      <c r="AS2014" s="13"/>
      <c r="AT2014" s="12"/>
      <c r="AU2014" s="12"/>
      <c r="AV2014" s="14"/>
      <c r="AW2014" s="15"/>
      <c r="AX2014" s="15"/>
    </row>
    <row r="2015" ht="15.75" customHeight="1"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2"/>
      <c r="AE2015" s="12"/>
      <c r="AF2015" s="12"/>
      <c r="AG2015" s="12"/>
      <c r="AH2015" s="12"/>
      <c r="AI2015" s="12"/>
      <c r="AJ2015" s="12"/>
      <c r="AK2015" s="12"/>
      <c r="AL2015" s="12"/>
      <c r="AM2015" s="12"/>
      <c r="AN2015" s="12"/>
      <c r="AO2015" s="12"/>
      <c r="AP2015" s="13"/>
      <c r="AQ2015" s="13"/>
      <c r="AR2015" s="13"/>
      <c r="AS2015" s="13"/>
      <c r="AT2015" s="12"/>
      <c r="AU2015" s="12"/>
      <c r="AV2015" s="14"/>
      <c r="AW2015" s="15"/>
      <c r="AX2015" s="15"/>
    </row>
    <row r="2016" ht="15.75" customHeight="1"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2"/>
      <c r="AB2016" s="12"/>
      <c r="AC2016" s="12"/>
      <c r="AD2016" s="12"/>
      <c r="AE2016" s="12"/>
      <c r="AF2016" s="12"/>
      <c r="AG2016" s="12"/>
      <c r="AH2016" s="12"/>
      <c r="AI2016" s="12"/>
      <c r="AJ2016" s="12"/>
      <c r="AK2016" s="12"/>
      <c r="AL2016" s="12"/>
      <c r="AM2016" s="12"/>
      <c r="AN2016" s="12"/>
      <c r="AO2016" s="12"/>
      <c r="AP2016" s="13"/>
      <c r="AQ2016" s="13"/>
      <c r="AR2016" s="13"/>
      <c r="AS2016" s="13"/>
      <c r="AT2016" s="12"/>
      <c r="AU2016" s="12"/>
      <c r="AV2016" s="14"/>
      <c r="AW2016" s="15"/>
      <c r="AX2016" s="15"/>
    </row>
    <row r="2017" ht="15.75" customHeight="1"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  <c r="AA2017" s="12"/>
      <c r="AB2017" s="12"/>
      <c r="AC2017" s="12"/>
      <c r="AD2017" s="12"/>
      <c r="AE2017" s="12"/>
      <c r="AF2017" s="12"/>
      <c r="AG2017" s="12"/>
      <c r="AH2017" s="12"/>
      <c r="AI2017" s="12"/>
      <c r="AJ2017" s="12"/>
      <c r="AK2017" s="12"/>
      <c r="AL2017" s="12"/>
      <c r="AM2017" s="12"/>
      <c r="AN2017" s="12"/>
      <c r="AO2017" s="12"/>
      <c r="AP2017" s="13"/>
      <c r="AQ2017" s="13"/>
      <c r="AR2017" s="13"/>
      <c r="AS2017" s="13"/>
      <c r="AT2017" s="12"/>
      <c r="AU2017" s="12"/>
      <c r="AV2017" s="14"/>
      <c r="AW2017" s="15"/>
      <c r="AX2017" s="15"/>
    </row>
    <row r="2018" ht="15.75" customHeight="1"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2"/>
      <c r="AB2018" s="12"/>
      <c r="AC2018" s="12"/>
      <c r="AD2018" s="12"/>
      <c r="AE2018" s="12"/>
      <c r="AF2018" s="12"/>
      <c r="AG2018" s="12"/>
      <c r="AH2018" s="12"/>
      <c r="AI2018" s="12"/>
      <c r="AJ2018" s="12"/>
      <c r="AK2018" s="12"/>
      <c r="AL2018" s="12"/>
      <c r="AM2018" s="12"/>
      <c r="AN2018" s="12"/>
      <c r="AO2018" s="12"/>
      <c r="AP2018" s="13"/>
      <c r="AQ2018" s="13"/>
      <c r="AR2018" s="13"/>
      <c r="AS2018" s="13"/>
      <c r="AT2018" s="12"/>
      <c r="AU2018" s="12"/>
      <c r="AV2018" s="14"/>
      <c r="AW2018" s="15"/>
      <c r="AX2018" s="15"/>
    </row>
    <row r="2019" ht="15.75" customHeight="1"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12"/>
      <c r="AI2019" s="12"/>
      <c r="AJ2019" s="12"/>
      <c r="AK2019" s="12"/>
      <c r="AL2019" s="12"/>
      <c r="AM2019" s="12"/>
      <c r="AN2019" s="12"/>
      <c r="AO2019" s="12"/>
      <c r="AP2019" s="13"/>
      <c r="AQ2019" s="13"/>
      <c r="AR2019" s="13"/>
      <c r="AS2019" s="13"/>
      <c r="AT2019" s="12"/>
      <c r="AU2019" s="12"/>
      <c r="AV2019" s="14"/>
      <c r="AW2019" s="15"/>
      <c r="AX2019" s="15"/>
    </row>
    <row r="2020" ht="15.75" customHeight="1"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2"/>
      <c r="AE2020" s="12"/>
      <c r="AF2020" s="12"/>
      <c r="AG2020" s="12"/>
      <c r="AH2020" s="12"/>
      <c r="AI2020" s="12"/>
      <c r="AJ2020" s="12"/>
      <c r="AK2020" s="12"/>
      <c r="AL2020" s="12"/>
      <c r="AM2020" s="12"/>
      <c r="AN2020" s="12"/>
      <c r="AO2020" s="12"/>
      <c r="AP2020" s="13"/>
      <c r="AQ2020" s="13"/>
      <c r="AR2020" s="13"/>
      <c r="AS2020" s="13"/>
      <c r="AT2020" s="12"/>
      <c r="AU2020" s="12"/>
      <c r="AV2020" s="14"/>
      <c r="AW2020" s="15"/>
      <c r="AX2020" s="15"/>
    </row>
    <row r="2021" ht="15.75" customHeight="1"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2"/>
      <c r="AB2021" s="12"/>
      <c r="AC2021" s="12"/>
      <c r="AD2021" s="12"/>
      <c r="AE2021" s="12"/>
      <c r="AF2021" s="12"/>
      <c r="AG2021" s="12"/>
      <c r="AH2021" s="12"/>
      <c r="AI2021" s="12"/>
      <c r="AJ2021" s="12"/>
      <c r="AK2021" s="12"/>
      <c r="AL2021" s="12"/>
      <c r="AM2021" s="12"/>
      <c r="AN2021" s="12"/>
      <c r="AO2021" s="12"/>
      <c r="AP2021" s="13"/>
      <c r="AQ2021" s="13"/>
      <c r="AR2021" s="13"/>
      <c r="AS2021" s="13"/>
      <c r="AT2021" s="12"/>
      <c r="AU2021" s="12"/>
      <c r="AV2021" s="14"/>
      <c r="AW2021" s="15"/>
      <c r="AX2021" s="15"/>
    </row>
    <row r="2022" ht="15.75" customHeight="1"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  <c r="AA2022" s="12"/>
      <c r="AB2022" s="12"/>
      <c r="AC2022" s="12"/>
      <c r="AD2022" s="12"/>
      <c r="AE2022" s="12"/>
      <c r="AF2022" s="12"/>
      <c r="AG2022" s="12"/>
      <c r="AH2022" s="12"/>
      <c r="AI2022" s="12"/>
      <c r="AJ2022" s="12"/>
      <c r="AK2022" s="12"/>
      <c r="AL2022" s="12"/>
      <c r="AM2022" s="12"/>
      <c r="AN2022" s="12"/>
      <c r="AO2022" s="12"/>
      <c r="AP2022" s="13"/>
      <c r="AQ2022" s="13"/>
      <c r="AR2022" s="13"/>
      <c r="AS2022" s="13"/>
      <c r="AT2022" s="12"/>
      <c r="AU2022" s="12"/>
      <c r="AV2022" s="14"/>
      <c r="AW2022" s="15"/>
      <c r="AX2022" s="15"/>
    </row>
    <row r="2023" ht="15.75" customHeight="1"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2"/>
      <c r="AB2023" s="12"/>
      <c r="AC2023" s="12"/>
      <c r="AD2023" s="12"/>
      <c r="AE2023" s="12"/>
      <c r="AF2023" s="12"/>
      <c r="AG2023" s="12"/>
      <c r="AH2023" s="12"/>
      <c r="AI2023" s="12"/>
      <c r="AJ2023" s="12"/>
      <c r="AK2023" s="12"/>
      <c r="AL2023" s="12"/>
      <c r="AM2023" s="12"/>
      <c r="AN2023" s="12"/>
      <c r="AO2023" s="12"/>
      <c r="AP2023" s="13"/>
      <c r="AQ2023" s="13"/>
      <c r="AR2023" s="13"/>
      <c r="AS2023" s="13"/>
      <c r="AT2023" s="12"/>
      <c r="AU2023" s="12"/>
      <c r="AV2023" s="14"/>
      <c r="AW2023" s="15"/>
      <c r="AX2023" s="15"/>
    </row>
    <row r="2024" ht="15.75" customHeight="1"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2"/>
      <c r="AB2024" s="12"/>
      <c r="AC2024" s="12"/>
      <c r="AD2024" s="12"/>
      <c r="AE2024" s="12"/>
      <c r="AF2024" s="12"/>
      <c r="AG2024" s="12"/>
      <c r="AH2024" s="12"/>
      <c r="AI2024" s="12"/>
      <c r="AJ2024" s="12"/>
      <c r="AK2024" s="12"/>
      <c r="AL2024" s="12"/>
      <c r="AM2024" s="12"/>
      <c r="AN2024" s="12"/>
      <c r="AO2024" s="12"/>
      <c r="AP2024" s="13"/>
      <c r="AQ2024" s="13"/>
      <c r="AR2024" s="13"/>
      <c r="AS2024" s="13"/>
      <c r="AT2024" s="12"/>
      <c r="AU2024" s="12"/>
      <c r="AV2024" s="14"/>
      <c r="AW2024" s="15"/>
      <c r="AX2024" s="15"/>
    </row>
    <row r="2025" ht="15.75" customHeight="1"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2"/>
      <c r="AB2025" s="12"/>
      <c r="AC2025" s="12"/>
      <c r="AD2025" s="12"/>
      <c r="AE2025" s="12"/>
      <c r="AF2025" s="12"/>
      <c r="AG2025" s="12"/>
      <c r="AH2025" s="12"/>
      <c r="AI2025" s="12"/>
      <c r="AJ2025" s="12"/>
      <c r="AK2025" s="12"/>
      <c r="AL2025" s="12"/>
      <c r="AM2025" s="12"/>
      <c r="AN2025" s="12"/>
      <c r="AO2025" s="12"/>
      <c r="AP2025" s="13"/>
      <c r="AQ2025" s="13"/>
      <c r="AR2025" s="13"/>
      <c r="AS2025" s="13"/>
      <c r="AT2025" s="12"/>
      <c r="AU2025" s="12"/>
      <c r="AV2025" s="14"/>
      <c r="AW2025" s="15"/>
      <c r="AX2025" s="15"/>
    </row>
    <row r="2026" ht="15.75" customHeight="1"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  <c r="AA2026" s="12"/>
      <c r="AB2026" s="12"/>
      <c r="AC2026" s="12"/>
      <c r="AD2026" s="12"/>
      <c r="AE2026" s="12"/>
      <c r="AF2026" s="12"/>
      <c r="AG2026" s="12"/>
      <c r="AH2026" s="12"/>
      <c r="AI2026" s="12"/>
      <c r="AJ2026" s="12"/>
      <c r="AK2026" s="12"/>
      <c r="AL2026" s="12"/>
      <c r="AM2026" s="12"/>
      <c r="AN2026" s="12"/>
      <c r="AO2026" s="12"/>
      <c r="AP2026" s="13"/>
      <c r="AQ2026" s="13"/>
      <c r="AR2026" s="13"/>
      <c r="AS2026" s="13"/>
      <c r="AT2026" s="12"/>
      <c r="AU2026" s="12"/>
      <c r="AV2026" s="14"/>
      <c r="AW2026" s="15"/>
      <c r="AX2026" s="15"/>
    </row>
    <row r="2027" ht="15.75" customHeight="1"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2"/>
      <c r="AE2027" s="12"/>
      <c r="AF2027" s="12"/>
      <c r="AG2027" s="12"/>
      <c r="AH2027" s="12"/>
      <c r="AI2027" s="12"/>
      <c r="AJ2027" s="12"/>
      <c r="AK2027" s="12"/>
      <c r="AL2027" s="12"/>
      <c r="AM2027" s="12"/>
      <c r="AN2027" s="12"/>
      <c r="AO2027" s="12"/>
      <c r="AP2027" s="13"/>
      <c r="AQ2027" s="13"/>
      <c r="AR2027" s="13"/>
      <c r="AS2027" s="13"/>
      <c r="AT2027" s="12"/>
      <c r="AU2027" s="12"/>
      <c r="AV2027" s="14"/>
      <c r="AW2027" s="15"/>
      <c r="AX2027" s="15"/>
    </row>
    <row r="2028" ht="15.75" customHeight="1"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2"/>
      <c r="AE2028" s="12"/>
      <c r="AF2028" s="12"/>
      <c r="AG2028" s="12"/>
      <c r="AH2028" s="12"/>
      <c r="AI2028" s="12"/>
      <c r="AJ2028" s="12"/>
      <c r="AK2028" s="12"/>
      <c r="AL2028" s="12"/>
      <c r="AM2028" s="12"/>
      <c r="AN2028" s="12"/>
      <c r="AO2028" s="12"/>
      <c r="AP2028" s="13"/>
      <c r="AQ2028" s="13"/>
      <c r="AR2028" s="13"/>
      <c r="AS2028" s="13"/>
      <c r="AT2028" s="12"/>
      <c r="AU2028" s="12"/>
      <c r="AV2028" s="14"/>
      <c r="AW2028" s="15"/>
      <c r="AX2028" s="15"/>
    </row>
    <row r="2029" ht="15.75" customHeight="1"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2"/>
      <c r="AB2029" s="12"/>
      <c r="AC2029" s="12"/>
      <c r="AD2029" s="12"/>
      <c r="AE2029" s="12"/>
      <c r="AF2029" s="12"/>
      <c r="AG2029" s="12"/>
      <c r="AH2029" s="12"/>
      <c r="AI2029" s="12"/>
      <c r="AJ2029" s="12"/>
      <c r="AK2029" s="12"/>
      <c r="AL2029" s="12"/>
      <c r="AM2029" s="12"/>
      <c r="AN2029" s="12"/>
      <c r="AO2029" s="12"/>
      <c r="AP2029" s="13"/>
      <c r="AQ2029" s="13"/>
      <c r="AR2029" s="13"/>
      <c r="AS2029" s="13"/>
      <c r="AT2029" s="12"/>
      <c r="AU2029" s="12"/>
      <c r="AV2029" s="14"/>
      <c r="AW2029" s="15"/>
      <c r="AX2029" s="15"/>
    </row>
    <row r="2030" ht="15.75" customHeight="1"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  <c r="AA2030" s="12"/>
      <c r="AB2030" s="12"/>
      <c r="AC2030" s="12"/>
      <c r="AD2030" s="12"/>
      <c r="AE2030" s="12"/>
      <c r="AF2030" s="12"/>
      <c r="AG2030" s="12"/>
      <c r="AH2030" s="12"/>
      <c r="AI2030" s="12"/>
      <c r="AJ2030" s="12"/>
      <c r="AK2030" s="12"/>
      <c r="AL2030" s="12"/>
      <c r="AM2030" s="12"/>
      <c r="AN2030" s="12"/>
      <c r="AO2030" s="12"/>
      <c r="AP2030" s="13"/>
      <c r="AQ2030" s="13"/>
      <c r="AR2030" s="13"/>
      <c r="AS2030" s="13"/>
      <c r="AT2030" s="12"/>
      <c r="AU2030" s="12"/>
      <c r="AV2030" s="14"/>
      <c r="AW2030" s="15"/>
      <c r="AX2030" s="15"/>
    </row>
    <row r="2031" ht="15.75" customHeight="1"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2"/>
      <c r="AB2031" s="12"/>
      <c r="AC2031" s="12"/>
      <c r="AD2031" s="12"/>
      <c r="AE2031" s="12"/>
      <c r="AF2031" s="12"/>
      <c r="AG2031" s="12"/>
      <c r="AH2031" s="12"/>
      <c r="AI2031" s="12"/>
      <c r="AJ2031" s="12"/>
      <c r="AK2031" s="12"/>
      <c r="AL2031" s="12"/>
      <c r="AM2031" s="12"/>
      <c r="AN2031" s="12"/>
      <c r="AO2031" s="12"/>
      <c r="AP2031" s="13"/>
      <c r="AQ2031" s="13"/>
      <c r="AR2031" s="13"/>
      <c r="AS2031" s="13"/>
      <c r="AT2031" s="12"/>
      <c r="AU2031" s="12"/>
      <c r="AV2031" s="14"/>
      <c r="AW2031" s="15"/>
      <c r="AX2031" s="15"/>
    </row>
    <row r="2032" ht="15.75" customHeight="1"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2"/>
      <c r="AE2032" s="12"/>
      <c r="AF2032" s="12"/>
      <c r="AG2032" s="12"/>
      <c r="AH2032" s="12"/>
      <c r="AI2032" s="12"/>
      <c r="AJ2032" s="12"/>
      <c r="AK2032" s="12"/>
      <c r="AL2032" s="12"/>
      <c r="AM2032" s="12"/>
      <c r="AN2032" s="12"/>
      <c r="AO2032" s="12"/>
      <c r="AP2032" s="13"/>
      <c r="AQ2032" s="13"/>
      <c r="AR2032" s="13"/>
      <c r="AS2032" s="13"/>
      <c r="AT2032" s="12"/>
      <c r="AU2032" s="12"/>
      <c r="AV2032" s="14"/>
      <c r="AW2032" s="15"/>
      <c r="AX2032" s="15"/>
    </row>
    <row r="2033" ht="15.75" customHeight="1"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2"/>
      <c r="AE2033" s="12"/>
      <c r="AF2033" s="12"/>
      <c r="AG2033" s="12"/>
      <c r="AH2033" s="12"/>
      <c r="AI2033" s="12"/>
      <c r="AJ2033" s="12"/>
      <c r="AK2033" s="12"/>
      <c r="AL2033" s="12"/>
      <c r="AM2033" s="12"/>
      <c r="AN2033" s="12"/>
      <c r="AO2033" s="12"/>
      <c r="AP2033" s="13"/>
      <c r="AQ2033" s="13"/>
      <c r="AR2033" s="13"/>
      <c r="AS2033" s="13"/>
      <c r="AT2033" s="12"/>
      <c r="AU2033" s="12"/>
      <c r="AV2033" s="14"/>
      <c r="AW2033" s="15"/>
      <c r="AX2033" s="15"/>
    </row>
    <row r="2034" ht="15.75" customHeight="1"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2"/>
      <c r="AE2034" s="12"/>
      <c r="AF2034" s="12"/>
      <c r="AG2034" s="12"/>
      <c r="AH2034" s="12"/>
      <c r="AI2034" s="12"/>
      <c r="AJ2034" s="12"/>
      <c r="AK2034" s="12"/>
      <c r="AL2034" s="12"/>
      <c r="AM2034" s="12"/>
      <c r="AN2034" s="12"/>
      <c r="AO2034" s="12"/>
      <c r="AP2034" s="13"/>
      <c r="AQ2034" s="13"/>
      <c r="AR2034" s="13"/>
      <c r="AS2034" s="13"/>
      <c r="AT2034" s="12"/>
      <c r="AU2034" s="12"/>
      <c r="AV2034" s="14"/>
      <c r="AW2034" s="15"/>
      <c r="AX2034" s="15"/>
    </row>
    <row r="2035" ht="15.75" customHeight="1"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  <c r="AG2035" s="12"/>
      <c r="AH2035" s="12"/>
      <c r="AI2035" s="12"/>
      <c r="AJ2035" s="12"/>
      <c r="AK2035" s="12"/>
      <c r="AL2035" s="12"/>
      <c r="AM2035" s="12"/>
      <c r="AN2035" s="12"/>
      <c r="AO2035" s="12"/>
      <c r="AP2035" s="13"/>
      <c r="AQ2035" s="13"/>
      <c r="AR2035" s="13"/>
      <c r="AS2035" s="13"/>
      <c r="AT2035" s="12"/>
      <c r="AU2035" s="12"/>
      <c r="AV2035" s="14"/>
      <c r="AW2035" s="15"/>
      <c r="AX2035" s="15"/>
    </row>
    <row r="2036" ht="15.75" customHeight="1"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  <c r="AA2036" s="12"/>
      <c r="AB2036" s="12"/>
      <c r="AC2036" s="12"/>
      <c r="AD2036" s="12"/>
      <c r="AE2036" s="12"/>
      <c r="AF2036" s="12"/>
      <c r="AG2036" s="12"/>
      <c r="AH2036" s="12"/>
      <c r="AI2036" s="12"/>
      <c r="AJ2036" s="12"/>
      <c r="AK2036" s="12"/>
      <c r="AL2036" s="12"/>
      <c r="AM2036" s="12"/>
      <c r="AN2036" s="12"/>
      <c r="AO2036" s="12"/>
      <c r="AP2036" s="13"/>
      <c r="AQ2036" s="13"/>
      <c r="AR2036" s="13"/>
      <c r="AS2036" s="13"/>
      <c r="AT2036" s="12"/>
      <c r="AU2036" s="12"/>
      <c r="AV2036" s="14"/>
      <c r="AW2036" s="15"/>
      <c r="AX2036" s="15"/>
    </row>
    <row r="2037" ht="15.75" customHeight="1"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  <c r="AA2037" s="12"/>
      <c r="AB2037" s="12"/>
      <c r="AC2037" s="12"/>
      <c r="AD2037" s="12"/>
      <c r="AE2037" s="12"/>
      <c r="AF2037" s="12"/>
      <c r="AG2037" s="12"/>
      <c r="AH2037" s="12"/>
      <c r="AI2037" s="12"/>
      <c r="AJ2037" s="12"/>
      <c r="AK2037" s="12"/>
      <c r="AL2037" s="12"/>
      <c r="AM2037" s="12"/>
      <c r="AN2037" s="12"/>
      <c r="AO2037" s="12"/>
      <c r="AP2037" s="13"/>
      <c r="AQ2037" s="13"/>
      <c r="AR2037" s="13"/>
      <c r="AS2037" s="13"/>
      <c r="AT2037" s="12"/>
      <c r="AU2037" s="12"/>
      <c r="AV2037" s="14"/>
      <c r="AW2037" s="15"/>
      <c r="AX2037" s="15"/>
    </row>
    <row r="2038" ht="15.75" customHeight="1"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  <c r="AG2038" s="12"/>
      <c r="AH2038" s="12"/>
      <c r="AI2038" s="12"/>
      <c r="AJ2038" s="12"/>
      <c r="AK2038" s="12"/>
      <c r="AL2038" s="12"/>
      <c r="AM2038" s="12"/>
      <c r="AN2038" s="12"/>
      <c r="AO2038" s="12"/>
      <c r="AP2038" s="13"/>
      <c r="AQ2038" s="13"/>
      <c r="AR2038" s="13"/>
      <c r="AS2038" s="13"/>
      <c r="AT2038" s="12"/>
      <c r="AU2038" s="12"/>
      <c r="AV2038" s="14"/>
      <c r="AW2038" s="15"/>
      <c r="AX2038" s="15"/>
    </row>
    <row r="2039" ht="15.75" customHeight="1"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2"/>
      <c r="AE2039" s="12"/>
      <c r="AF2039" s="12"/>
      <c r="AG2039" s="12"/>
      <c r="AH2039" s="12"/>
      <c r="AI2039" s="12"/>
      <c r="AJ2039" s="12"/>
      <c r="AK2039" s="12"/>
      <c r="AL2039" s="12"/>
      <c r="AM2039" s="12"/>
      <c r="AN2039" s="12"/>
      <c r="AO2039" s="12"/>
      <c r="AP2039" s="13"/>
      <c r="AQ2039" s="13"/>
      <c r="AR2039" s="13"/>
      <c r="AS2039" s="13"/>
      <c r="AT2039" s="12"/>
      <c r="AU2039" s="12"/>
      <c r="AV2039" s="14"/>
      <c r="AW2039" s="15"/>
      <c r="AX2039" s="15"/>
    </row>
    <row r="2040" ht="15.75" customHeight="1"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2"/>
      <c r="AE2040" s="12"/>
      <c r="AF2040" s="12"/>
      <c r="AG2040" s="12"/>
      <c r="AH2040" s="12"/>
      <c r="AI2040" s="12"/>
      <c r="AJ2040" s="12"/>
      <c r="AK2040" s="12"/>
      <c r="AL2040" s="12"/>
      <c r="AM2040" s="12"/>
      <c r="AN2040" s="12"/>
      <c r="AO2040" s="12"/>
      <c r="AP2040" s="13"/>
      <c r="AQ2040" s="13"/>
      <c r="AR2040" s="13"/>
      <c r="AS2040" s="13"/>
      <c r="AT2040" s="12"/>
      <c r="AU2040" s="12"/>
      <c r="AV2040" s="14"/>
      <c r="AW2040" s="15"/>
      <c r="AX2040" s="15"/>
    </row>
    <row r="2041" ht="15.75" customHeight="1"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12"/>
      <c r="AI2041" s="12"/>
      <c r="AJ2041" s="12"/>
      <c r="AK2041" s="12"/>
      <c r="AL2041" s="12"/>
      <c r="AM2041" s="12"/>
      <c r="AN2041" s="12"/>
      <c r="AO2041" s="12"/>
      <c r="AP2041" s="13"/>
      <c r="AQ2041" s="13"/>
      <c r="AR2041" s="13"/>
      <c r="AS2041" s="13"/>
      <c r="AT2041" s="12"/>
      <c r="AU2041" s="12"/>
      <c r="AV2041" s="14"/>
      <c r="AW2041" s="15"/>
      <c r="AX2041" s="15"/>
    </row>
    <row r="2042" ht="15.75" customHeight="1"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  <c r="AA2042" s="12"/>
      <c r="AB2042" s="12"/>
      <c r="AC2042" s="12"/>
      <c r="AD2042" s="12"/>
      <c r="AE2042" s="12"/>
      <c r="AF2042" s="12"/>
      <c r="AG2042" s="12"/>
      <c r="AH2042" s="12"/>
      <c r="AI2042" s="12"/>
      <c r="AJ2042" s="12"/>
      <c r="AK2042" s="12"/>
      <c r="AL2042" s="12"/>
      <c r="AM2042" s="12"/>
      <c r="AN2042" s="12"/>
      <c r="AO2042" s="12"/>
      <c r="AP2042" s="13"/>
      <c r="AQ2042" s="13"/>
      <c r="AR2042" s="13"/>
      <c r="AS2042" s="13"/>
      <c r="AT2042" s="12"/>
      <c r="AU2042" s="12"/>
      <c r="AV2042" s="14"/>
      <c r="AW2042" s="15"/>
      <c r="AX2042" s="15"/>
    </row>
    <row r="2043" ht="15.75" customHeight="1"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12"/>
      <c r="AI2043" s="12"/>
      <c r="AJ2043" s="12"/>
      <c r="AK2043" s="12"/>
      <c r="AL2043" s="12"/>
      <c r="AM2043" s="12"/>
      <c r="AN2043" s="12"/>
      <c r="AO2043" s="12"/>
      <c r="AP2043" s="13"/>
      <c r="AQ2043" s="13"/>
      <c r="AR2043" s="13"/>
      <c r="AS2043" s="13"/>
      <c r="AT2043" s="12"/>
      <c r="AU2043" s="12"/>
      <c r="AV2043" s="14"/>
      <c r="AW2043" s="15"/>
      <c r="AX2043" s="15"/>
    </row>
    <row r="2044" ht="15.75" customHeight="1"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12"/>
      <c r="AI2044" s="12"/>
      <c r="AJ2044" s="12"/>
      <c r="AK2044" s="12"/>
      <c r="AL2044" s="12"/>
      <c r="AM2044" s="12"/>
      <c r="AN2044" s="12"/>
      <c r="AO2044" s="12"/>
      <c r="AP2044" s="13"/>
      <c r="AQ2044" s="13"/>
      <c r="AR2044" s="13"/>
      <c r="AS2044" s="13"/>
      <c r="AT2044" s="12"/>
      <c r="AU2044" s="12"/>
      <c r="AV2044" s="14"/>
      <c r="AW2044" s="15"/>
      <c r="AX2044" s="15"/>
    </row>
    <row r="2045" ht="15.75" customHeight="1"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  <c r="AG2045" s="12"/>
      <c r="AH2045" s="12"/>
      <c r="AI2045" s="12"/>
      <c r="AJ2045" s="12"/>
      <c r="AK2045" s="12"/>
      <c r="AL2045" s="12"/>
      <c r="AM2045" s="12"/>
      <c r="AN2045" s="12"/>
      <c r="AO2045" s="12"/>
      <c r="AP2045" s="13"/>
      <c r="AQ2045" s="13"/>
      <c r="AR2045" s="13"/>
      <c r="AS2045" s="13"/>
      <c r="AT2045" s="12"/>
      <c r="AU2045" s="12"/>
      <c r="AV2045" s="14"/>
      <c r="AW2045" s="15"/>
      <c r="AX2045" s="15"/>
    </row>
    <row r="2046" ht="15.75" customHeight="1"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12"/>
      <c r="AI2046" s="12"/>
      <c r="AJ2046" s="12"/>
      <c r="AK2046" s="12"/>
      <c r="AL2046" s="12"/>
      <c r="AM2046" s="12"/>
      <c r="AN2046" s="12"/>
      <c r="AO2046" s="12"/>
      <c r="AP2046" s="13"/>
      <c r="AQ2046" s="13"/>
      <c r="AR2046" s="13"/>
      <c r="AS2046" s="13"/>
      <c r="AT2046" s="12"/>
      <c r="AU2046" s="12"/>
      <c r="AV2046" s="14"/>
      <c r="AW2046" s="15"/>
      <c r="AX2046" s="15"/>
    </row>
    <row r="2047" ht="15.75" customHeight="1"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  <c r="AG2047" s="12"/>
      <c r="AH2047" s="12"/>
      <c r="AI2047" s="12"/>
      <c r="AJ2047" s="12"/>
      <c r="AK2047" s="12"/>
      <c r="AL2047" s="12"/>
      <c r="AM2047" s="12"/>
      <c r="AN2047" s="12"/>
      <c r="AO2047" s="12"/>
      <c r="AP2047" s="13"/>
      <c r="AQ2047" s="13"/>
      <c r="AR2047" s="13"/>
      <c r="AS2047" s="13"/>
      <c r="AT2047" s="12"/>
      <c r="AU2047" s="12"/>
      <c r="AV2047" s="14"/>
      <c r="AW2047" s="15"/>
      <c r="AX2047" s="15"/>
    </row>
    <row r="2048" ht="15.75" customHeight="1"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2"/>
      <c r="AB2048" s="12"/>
      <c r="AC2048" s="12"/>
      <c r="AD2048" s="12"/>
      <c r="AE2048" s="12"/>
      <c r="AF2048" s="12"/>
      <c r="AG2048" s="12"/>
      <c r="AH2048" s="12"/>
      <c r="AI2048" s="12"/>
      <c r="AJ2048" s="12"/>
      <c r="AK2048" s="12"/>
      <c r="AL2048" s="12"/>
      <c r="AM2048" s="12"/>
      <c r="AN2048" s="12"/>
      <c r="AO2048" s="12"/>
      <c r="AP2048" s="13"/>
      <c r="AQ2048" s="13"/>
      <c r="AR2048" s="13"/>
      <c r="AS2048" s="13"/>
      <c r="AT2048" s="12"/>
      <c r="AU2048" s="12"/>
      <c r="AV2048" s="14"/>
      <c r="AW2048" s="15"/>
      <c r="AX2048" s="15"/>
    </row>
    <row r="2049" ht="15.75" customHeight="1"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12"/>
      <c r="AI2049" s="12"/>
      <c r="AJ2049" s="12"/>
      <c r="AK2049" s="12"/>
      <c r="AL2049" s="12"/>
      <c r="AM2049" s="12"/>
      <c r="AN2049" s="12"/>
      <c r="AO2049" s="12"/>
      <c r="AP2049" s="13"/>
      <c r="AQ2049" s="13"/>
      <c r="AR2049" s="13"/>
      <c r="AS2049" s="13"/>
      <c r="AT2049" s="12"/>
      <c r="AU2049" s="12"/>
      <c r="AV2049" s="14"/>
      <c r="AW2049" s="15"/>
      <c r="AX2049" s="15"/>
    </row>
    <row r="2050" ht="15.75" customHeight="1"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2"/>
      <c r="AE2050" s="12"/>
      <c r="AF2050" s="12"/>
      <c r="AG2050" s="12"/>
      <c r="AH2050" s="12"/>
      <c r="AI2050" s="12"/>
      <c r="AJ2050" s="12"/>
      <c r="AK2050" s="12"/>
      <c r="AL2050" s="12"/>
      <c r="AM2050" s="12"/>
      <c r="AN2050" s="12"/>
      <c r="AO2050" s="12"/>
      <c r="AP2050" s="13"/>
      <c r="AQ2050" s="13"/>
      <c r="AR2050" s="13"/>
      <c r="AS2050" s="13"/>
      <c r="AT2050" s="12"/>
      <c r="AU2050" s="12"/>
      <c r="AV2050" s="14"/>
      <c r="AW2050" s="15"/>
      <c r="AX2050" s="15"/>
    </row>
    <row r="2051" ht="15.75" customHeight="1"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2"/>
      <c r="AE2051" s="12"/>
      <c r="AF2051" s="12"/>
      <c r="AG2051" s="12"/>
      <c r="AH2051" s="12"/>
      <c r="AI2051" s="12"/>
      <c r="AJ2051" s="12"/>
      <c r="AK2051" s="12"/>
      <c r="AL2051" s="12"/>
      <c r="AM2051" s="12"/>
      <c r="AN2051" s="12"/>
      <c r="AO2051" s="12"/>
      <c r="AP2051" s="13"/>
      <c r="AQ2051" s="13"/>
      <c r="AR2051" s="13"/>
      <c r="AS2051" s="13"/>
      <c r="AT2051" s="12"/>
      <c r="AU2051" s="12"/>
      <c r="AV2051" s="14"/>
      <c r="AW2051" s="15"/>
      <c r="AX2051" s="15"/>
    </row>
    <row r="2052" ht="15.75" customHeight="1"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2"/>
      <c r="AE2052" s="12"/>
      <c r="AF2052" s="12"/>
      <c r="AG2052" s="12"/>
      <c r="AH2052" s="12"/>
      <c r="AI2052" s="12"/>
      <c r="AJ2052" s="12"/>
      <c r="AK2052" s="12"/>
      <c r="AL2052" s="12"/>
      <c r="AM2052" s="12"/>
      <c r="AN2052" s="12"/>
      <c r="AO2052" s="12"/>
      <c r="AP2052" s="13"/>
      <c r="AQ2052" s="13"/>
      <c r="AR2052" s="13"/>
      <c r="AS2052" s="13"/>
      <c r="AT2052" s="12"/>
      <c r="AU2052" s="12"/>
      <c r="AV2052" s="14"/>
      <c r="AW2052" s="15"/>
      <c r="AX2052" s="15"/>
    </row>
    <row r="2053" ht="15.75" customHeight="1"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12"/>
      <c r="AL2053" s="12"/>
      <c r="AM2053" s="12"/>
      <c r="AN2053" s="12"/>
      <c r="AO2053" s="12"/>
      <c r="AP2053" s="13"/>
      <c r="AQ2053" s="13"/>
      <c r="AR2053" s="13"/>
      <c r="AS2053" s="13"/>
      <c r="AT2053" s="12"/>
      <c r="AU2053" s="12"/>
      <c r="AV2053" s="14"/>
      <c r="AW2053" s="15"/>
      <c r="AX2053" s="15"/>
    </row>
    <row r="2054" ht="15.75" customHeight="1"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2"/>
      <c r="AB2054" s="12"/>
      <c r="AC2054" s="12"/>
      <c r="AD2054" s="12"/>
      <c r="AE2054" s="12"/>
      <c r="AF2054" s="12"/>
      <c r="AG2054" s="12"/>
      <c r="AH2054" s="12"/>
      <c r="AI2054" s="12"/>
      <c r="AJ2054" s="12"/>
      <c r="AK2054" s="12"/>
      <c r="AL2054" s="12"/>
      <c r="AM2054" s="12"/>
      <c r="AN2054" s="12"/>
      <c r="AO2054" s="12"/>
      <c r="AP2054" s="13"/>
      <c r="AQ2054" s="13"/>
      <c r="AR2054" s="13"/>
      <c r="AS2054" s="13"/>
      <c r="AT2054" s="12"/>
      <c r="AU2054" s="12"/>
      <c r="AV2054" s="14"/>
      <c r="AW2054" s="15"/>
      <c r="AX2054" s="15"/>
    </row>
    <row r="2055" ht="15.75" customHeight="1"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  <c r="AC2055" s="12"/>
      <c r="AD2055" s="12"/>
      <c r="AE2055" s="12"/>
      <c r="AF2055" s="12"/>
      <c r="AG2055" s="12"/>
      <c r="AH2055" s="12"/>
      <c r="AI2055" s="12"/>
      <c r="AJ2055" s="12"/>
      <c r="AK2055" s="12"/>
      <c r="AL2055" s="12"/>
      <c r="AM2055" s="12"/>
      <c r="AN2055" s="12"/>
      <c r="AO2055" s="12"/>
      <c r="AP2055" s="13"/>
      <c r="AQ2055" s="13"/>
      <c r="AR2055" s="13"/>
      <c r="AS2055" s="13"/>
      <c r="AT2055" s="12"/>
      <c r="AU2055" s="12"/>
      <c r="AV2055" s="14"/>
      <c r="AW2055" s="15"/>
      <c r="AX2055" s="15"/>
    </row>
    <row r="2056" ht="15.75" customHeight="1"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2"/>
      <c r="AE2056" s="12"/>
      <c r="AF2056" s="12"/>
      <c r="AG2056" s="12"/>
      <c r="AH2056" s="12"/>
      <c r="AI2056" s="12"/>
      <c r="AJ2056" s="12"/>
      <c r="AK2056" s="12"/>
      <c r="AL2056" s="12"/>
      <c r="AM2056" s="12"/>
      <c r="AN2056" s="12"/>
      <c r="AO2056" s="12"/>
      <c r="AP2056" s="13"/>
      <c r="AQ2056" s="13"/>
      <c r="AR2056" s="13"/>
      <c r="AS2056" s="13"/>
      <c r="AT2056" s="12"/>
      <c r="AU2056" s="12"/>
      <c r="AV2056" s="14"/>
      <c r="AW2056" s="15"/>
      <c r="AX2056" s="15"/>
    </row>
    <row r="2057" ht="15.75" customHeight="1"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  <c r="AG2057" s="12"/>
      <c r="AH2057" s="12"/>
      <c r="AI2057" s="12"/>
      <c r="AJ2057" s="12"/>
      <c r="AK2057" s="12"/>
      <c r="AL2057" s="12"/>
      <c r="AM2057" s="12"/>
      <c r="AN2057" s="12"/>
      <c r="AO2057" s="12"/>
      <c r="AP2057" s="13"/>
      <c r="AQ2057" s="13"/>
      <c r="AR2057" s="13"/>
      <c r="AS2057" s="13"/>
      <c r="AT2057" s="12"/>
      <c r="AU2057" s="12"/>
      <c r="AV2057" s="14"/>
      <c r="AW2057" s="15"/>
      <c r="AX2057" s="15"/>
    </row>
    <row r="2058" ht="15.75" customHeight="1"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2"/>
      <c r="AE2058" s="12"/>
      <c r="AF2058" s="12"/>
      <c r="AG2058" s="12"/>
      <c r="AH2058" s="12"/>
      <c r="AI2058" s="12"/>
      <c r="AJ2058" s="12"/>
      <c r="AK2058" s="12"/>
      <c r="AL2058" s="12"/>
      <c r="AM2058" s="12"/>
      <c r="AN2058" s="12"/>
      <c r="AO2058" s="12"/>
      <c r="AP2058" s="13"/>
      <c r="AQ2058" s="13"/>
      <c r="AR2058" s="13"/>
      <c r="AS2058" s="13"/>
      <c r="AT2058" s="12"/>
      <c r="AU2058" s="12"/>
      <c r="AV2058" s="14"/>
      <c r="AW2058" s="15"/>
      <c r="AX2058" s="15"/>
    </row>
    <row r="2059" ht="15.75" customHeight="1"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  <c r="AG2059" s="12"/>
      <c r="AH2059" s="12"/>
      <c r="AI2059" s="12"/>
      <c r="AJ2059" s="12"/>
      <c r="AK2059" s="12"/>
      <c r="AL2059" s="12"/>
      <c r="AM2059" s="12"/>
      <c r="AN2059" s="12"/>
      <c r="AO2059" s="12"/>
      <c r="AP2059" s="13"/>
      <c r="AQ2059" s="13"/>
      <c r="AR2059" s="13"/>
      <c r="AS2059" s="13"/>
      <c r="AT2059" s="12"/>
      <c r="AU2059" s="12"/>
      <c r="AV2059" s="14"/>
      <c r="AW2059" s="15"/>
      <c r="AX2059" s="15"/>
    </row>
    <row r="2060" ht="15.75" customHeight="1"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2"/>
      <c r="AE2060" s="12"/>
      <c r="AF2060" s="12"/>
      <c r="AG2060" s="12"/>
      <c r="AH2060" s="12"/>
      <c r="AI2060" s="12"/>
      <c r="AJ2060" s="12"/>
      <c r="AK2060" s="12"/>
      <c r="AL2060" s="12"/>
      <c r="AM2060" s="12"/>
      <c r="AN2060" s="12"/>
      <c r="AO2060" s="12"/>
      <c r="AP2060" s="13"/>
      <c r="AQ2060" s="13"/>
      <c r="AR2060" s="13"/>
      <c r="AS2060" s="13"/>
      <c r="AT2060" s="12"/>
      <c r="AU2060" s="12"/>
      <c r="AV2060" s="14"/>
      <c r="AW2060" s="15"/>
      <c r="AX2060" s="15"/>
    </row>
    <row r="2061" ht="15.75" customHeight="1"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2"/>
      <c r="AE2061" s="12"/>
      <c r="AF2061" s="12"/>
      <c r="AG2061" s="12"/>
      <c r="AH2061" s="12"/>
      <c r="AI2061" s="12"/>
      <c r="AJ2061" s="12"/>
      <c r="AK2061" s="12"/>
      <c r="AL2061" s="12"/>
      <c r="AM2061" s="12"/>
      <c r="AN2061" s="12"/>
      <c r="AO2061" s="12"/>
      <c r="AP2061" s="13"/>
      <c r="AQ2061" s="13"/>
      <c r="AR2061" s="13"/>
      <c r="AS2061" s="13"/>
      <c r="AT2061" s="12"/>
      <c r="AU2061" s="12"/>
      <c r="AV2061" s="14"/>
      <c r="AW2061" s="15"/>
      <c r="AX2061" s="15"/>
    </row>
    <row r="2062" ht="15.75" customHeight="1"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2"/>
      <c r="AE2062" s="12"/>
      <c r="AF2062" s="12"/>
      <c r="AG2062" s="12"/>
      <c r="AH2062" s="12"/>
      <c r="AI2062" s="12"/>
      <c r="AJ2062" s="12"/>
      <c r="AK2062" s="12"/>
      <c r="AL2062" s="12"/>
      <c r="AM2062" s="12"/>
      <c r="AN2062" s="12"/>
      <c r="AO2062" s="12"/>
      <c r="AP2062" s="13"/>
      <c r="AQ2062" s="13"/>
      <c r="AR2062" s="13"/>
      <c r="AS2062" s="13"/>
      <c r="AT2062" s="12"/>
      <c r="AU2062" s="12"/>
      <c r="AV2062" s="14"/>
      <c r="AW2062" s="15"/>
      <c r="AX2062" s="15"/>
    </row>
    <row r="2063" ht="15.75" customHeight="1"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2"/>
      <c r="AE2063" s="12"/>
      <c r="AF2063" s="12"/>
      <c r="AG2063" s="12"/>
      <c r="AH2063" s="12"/>
      <c r="AI2063" s="12"/>
      <c r="AJ2063" s="12"/>
      <c r="AK2063" s="12"/>
      <c r="AL2063" s="12"/>
      <c r="AM2063" s="12"/>
      <c r="AN2063" s="12"/>
      <c r="AO2063" s="12"/>
      <c r="AP2063" s="13"/>
      <c r="AQ2063" s="13"/>
      <c r="AR2063" s="13"/>
      <c r="AS2063" s="13"/>
      <c r="AT2063" s="12"/>
      <c r="AU2063" s="12"/>
      <c r="AV2063" s="14"/>
      <c r="AW2063" s="15"/>
      <c r="AX2063" s="15"/>
    </row>
    <row r="2064" ht="15.75" customHeight="1"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2"/>
      <c r="AE2064" s="12"/>
      <c r="AF2064" s="12"/>
      <c r="AG2064" s="12"/>
      <c r="AH2064" s="12"/>
      <c r="AI2064" s="12"/>
      <c r="AJ2064" s="12"/>
      <c r="AK2064" s="12"/>
      <c r="AL2064" s="12"/>
      <c r="AM2064" s="12"/>
      <c r="AN2064" s="12"/>
      <c r="AO2064" s="12"/>
      <c r="AP2064" s="13"/>
      <c r="AQ2064" s="13"/>
      <c r="AR2064" s="13"/>
      <c r="AS2064" s="13"/>
      <c r="AT2064" s="12"/>
      <c r="AU2064" s="12"/>
      <c r="AV2064" s="14"/>
      <c r="AW2064" s="15"/>
      <c r="AX2064" s="15"/>
    </row>
    <row r="2065" ht="15.75" customHeight="1"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  <c r="AG2065" s="12"/>
      <c r="AH2065" s="12"/>
      <c r="AI2065" s="12"/>
      <c r="AJ2065" s="12"/>
      <c r="AK2065" s="12"/>
      <c r="AL2065" s="12"/>
      <c r="AM2065" s="12"/>
      <c r="AN2065" s="12"/>
      <c r="AO2065" s="12"/>
      <c r="AP2065" s="13"/>
      <c r="AQ2065" s="13"/>
      <c r="AR2065" s="13"/>
      <c r="AS2065" s="13"/>
      <c r="AT2065" s="12"/>
      <c r="AU2065" s="12"/>
      <c r="AV2065" s="14"/>
      <c r="AW2065" s="15"/>
      <c r="AX2065" s="15"/>
    </row>
    <row r="2066" ht="15.75" customHeight="1"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2"/>
      <c r="AE2066" s="12"/>
      <c r="AF2066" s="12"/>
      <c r="AG2066" s="12"/>
      <c r="AH2066" s="12"/>
      <c r="AI2066" s="12"/>
      <c r="AJ2066" s="12"/>
      <c r="AK2066" s="12"/>
      <c r="AL2066" s="12"/>
      <c r="AM2066" s="12"/>
      <c r="AN2066" s="12"/>
      <c r="AO2066" s="12"/>
      <c r="AP2066" s="13"/>
      <c r="AQ2066" s="13"/>
      <c r="AR2066" s="13"/>
      <c r="AS2066" s="13"/>
      <c r="AT2066" s="12"/>
      <c r="AU2066" s="12"/>
      <c r="AV2066" s="14"/>
      <c r="AW2066" s="15"/>
      <c r="AX2066" s="15"/>
    </row>
    <row r="2067" ht="15.75" customHeight="1"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2"/>
      <c r="AE2067" s="12"/>
      <c r="AF2067" s="12"/>
      <c r="AG2067" s="12"/>
      <c r="AH2067" s="12"/>
      <c r="AI2067" s="12"/>
      <c r="AJ2067" s="12"/>
      <c r="AK2067" s="12"/>
      <c r="AL2067" s="12"/>
      <c r="AM2067" s="12"/>
      <c r="AN2067" s="12"/>
      <c r="AO2067" s="12"/>
      <c r="AP2067" s="13"/>
      <c r="AQ2067" s="13"/>
      <c r="AR2067" s="13"/>
      <c r="AS2067" s="13"/>
      <c r="AT2067" s="12"/>
      <c r="AU2067" s="12"/>
      <c r="AV2067" s="14"/>
      <c r="AW2067" s="15"/>
      <c r="AX2067" s="15"/>
    </row>
    <row r="2068" ht="15.75" customHeight="1"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  <c r="AG2068" s="12"/>
      <c r="AH2068" s="12"/>
      <c r="AI2068" s="12"/>
      <c r="AJ2068" s="12"/>
      <c r="AK2068" s="12"/>
      <c r="AL2068" s="12"/>
      <c r="AM2068" s="12"/>
      <c r="AN2068" s="12"/>
      <c r="AO2068" s="12"/>
      <c r="AP2068" s="13"/>
      <c r="AQ2068" s="13"/>
      <c r="AR2068" s="13"/>
      <c r="AS2068" s="13"/>
      <c r="AT2068" s="12"/>
      <c r="AU2068" s="12"/>
      <c r="AV2068" s="14"/>
      <c r="AW2068" s="15"/>
      <c r="AX2068" s="15"/>
    </row>
    <row r="2069" ht="15.75" customHeight="1"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2"/>
      <c r="AE2069" s="12"/>
      <c r="AF2069" s="12"/>
      <c r="AG2069" s="12"/>
      <c r="AH2069" s="12"/>
      <c r="AI2069" s="12"/>
      <c r="AJ2069" s="12"/>
      <c r="AK2069" s="12"/>
      <c r="AL2069" s="12"/>
      <c r="AM2069" s="12"/>
      <c r="AN2069" s="12"/>
      <c r="AO2069" s="12"/>
      <c r="AP2069" s="13"/>
      <c r="AQ2069" s="13"/>
      <c r="AR2069" s="13"/>
      <c r="AS2069" s="13"/>
      <c r="AT2069" s="12"/>
      <c r="AU2069" s="12"/>
      <c r="AV2069" s="14"/>
      <c r="AW2069" s="15"/>
      <c r="AX2069" s="15"/>
    </row>
    <row r="2070" ht="15.75" customHeight="1"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2"/>
      <c r="AE2070" s="12"/>
      <c r="AF2070" s="12"/>
      <c r="AG2070" s="12"/>
      <c r="AH2070" s="12"/>
      <c r="AI2070" s="12"/>
      <c r="AJ2070" s="12"/>
      <c r="AK2070" s="12"/>
      <c r="AL2070" s="12"/>
      <c r="AM2070" s="12"/>
      <c r="AN2070" s="12"/>
      <c r="AO2070" s="12"/>
      <c r="AP2070" s="13"/>
      <c r="AQ2070" s="13"/>
      <c r="AR2070" s="13"/>
      <c r="AS2070" s="13"/>
      <c r="AT2070" s="12"/>
      <c r="AU2070" s="12"/>
      <c r="AV2070" s="14"/>
      <c r="AW2070" s="15"/>
      <c r="AX2070" s="15"/>
    </row>
    <row r="2071" ht="15.75" customHeight="1"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  <c r="AG2071" s="12"/>
      <c r="AH2071" s="12"/>
      <c r="AI2071" s="12"/>
      <c r="AJ2071" s="12"/>
      <c r="AK2071" s="12"/>
      <c r="AL2071" s="12"/>
      <c r="AM2071" s="12"/>
      <c r="AN2071" s="12"/>
      <c r="AO2071" s="12"/>
      <c r="AP2071" s="13"/>
      <c r="AQ2071" s="13"/>
      <c r="AR2071" s="13"/>
      <c r="AS2071" s="13"/>
      <c r="AT2071" s="12"/>
      <c r="AU2071" s="12"/>
      <c r="AV2071" s="14"/>
      <c r="AW2071" s="15"/>
      <c r="AX2071" s="15"/>
    </row>
    <row r="2072" ht="15.75" customHeight="1"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2"/>
      <c r="AE2072" s="12"/>
      <c r="AF2072" s="12"/>
      <c r="AG2072" s="12"/>
      <c r="AH2072" s="12"/>
      <c r="AI2072" s="12"/>
      <c r="AJ2072" s="12"/>
      <c r="AK2072" s="12"/>
      <c r="AL2072" s="12"/>
      <c r="AM2072" s="12"/>
      <c r="AN2072" s="12"/>
      <c r="AO2072" s="12"/>
      <c r="AP2072" s="13"/>
      <c r="AQ2072" s="13"/>
      <c r="AR2072" s="13"/>
      <c r="AS2072" s="13"/>
      <c r="AT2072" s="12"/>
      <c r="AU2072" s="12"/>
      <c r="AV2072" s="14"/>
      <c r="AW2072" s="15"/>
      <c r="AX2072" s="15"/>
    </row>
    <row r="2073" ht="15.75" customHeight="1"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2"/>
      <c r="AE2073" s="12"/>
      <c r="AF2073" s="12"/>
      <c r="AG2073" s="12"/>
      <c r="AH2073" s="12"/>
      <c r="AI2073" s="12"/>
      <c r="AJ2073" s="12"/>
      <c r="AK2073" s="12"/>
      <c r="AL2073" s="12"/>
      <c r="AM2073" s="12"/>
      <c r="AN2073" s="12"/>
      <c r="AO2073" s="12"/>
      <c r="AP2073" s="13"/>
      <c r="AQ2073" s="13"/>
      <c r="AR2073" s="13"/>
      <c r="AS2073" s="13"/>
      <c r="AT2073" s="12"/>
      <c r="AU2073" s="12"/>
      <c r="AV2073" s="14"/>
      <c r="AW2073" s="15"/>
      <c r="AX2073" s="15"/>
    </row>
    <row r="2074" ht="15.75" customHeight="1"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12"/>
      <c r="AI2074" s="12"/>
      <c r="AJ2074" s="12"/>
      <c r="AK2074" s="12"/>
      <c r="AL2074" s="12"/>
      <c r="AM2074" s="12"/>
      <c r="AN2074" s="12"/>
      <c r="AO2074" s="12"/>
      <c r="AP2074" s="13"/>
      <c r="AQ2074" s="13"/>
      <c r="AR2074" s="13"/>
      <c r="AS2074" s="13"/>
      <c r="AT2074" s="12"/>
      <c r="AU2074" s="12"/>
      <c r="AV2074" s="14"/>
      <c r="AW2074" s="15"/>
      <c r="AX2074" s="15"/>
    </row>
    <row r="2075" ht="15.75" customHeight="1"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2"/>
      <c r="AE2075" s="12"/>
      <c r="AF2075" s="12"/>
      <c r="AG2075" s="12"/>
      <c r="AH2075" s="12"/>
      <c r="AI2075" s="12"/>
      <c r="AJ2075" s="12"/>
      <c r="AK2075" s="12"/>
      <c r="AL2075" s="12"/>
      <c r="AM2075" s="12"/>
      <c r="AN2075" s="12"/>
      <c r="AO2075" s="12"/>
      <c r="AP2075" s="13"/>
      <c r="AQ2075" s="13"/>
      <c r="AR2075" s="13"/>
      <c r="AS2075" s="13"/>
      <c r="AT2075" s="12"/>
      <c r="AU2075" s="12"/>
      <c r="AV2075" s="14"/>
      <c r="AW2075" s="15"/>
      <c r="AX2075" s="15"/>
    </row>
    <row r="2076" ht="15.75" customHeight="1"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2"/>
      <c r="AE2076" s="12"/>
      <c r="AF2076" s="12"/>
      <c r="AG2076" s="12"/>
      <c r="AH2076" s="12"/>
      <c r="AI2076" s="12"/>
      <c r="AJ2076" s="12"/>
      <c r="AK2076" s="12"/>
      <c r="AL2076" s="12"/>
      <c r="AM2076" s="12"/>
      <c r="AN2076" s="12"/>
      <c r="AO2076" s="12"/>
      <c r="AP2076" s="13"/>
      <c r="AQ2076" s="13"/>
      <c r="AR2076" s="13"/>
      <c r="AS2076" s="13"/>
      <c r="AT2076" s="12"/>
      <c r="AU2076" s="12"/>
      <c r="AV2076" s="14"/>
      <c r="AW2076" s="15"/>
      <c r="AX2076" s="15"/>
    </row>
    <row r="2077" ht="15.75" customHeight="1"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  <c r="AG2077" s="12"/>
      <c r="AH2077" s="12"/>
      <c r="AI2077" s="12"/>
      <c r="AJ2077" s="12"/>
      <c r="AK2077" s="12"/>
      <c r="AL2077" s="12"/>
      <c r="AM2077" s="12"/>
      <c r="AN2077" s="12"/>
      <c r="AO2077" s="12"/>
      <c r="AP2077" s="13"/>
      <c r="AQ2077" s="13"/>
      <c r="AR2077" s="13"/>
      <c r="AS2077" s="13"/>
      <c r="AT2077" s="12"/>
      <c r="AU2077" s="12"/>
      <c r="AV2077" s="14"/>
      <c r="AW2077" s="15"/>
      <c r="AX2077" s="15"/>
    </row>
    <row r="2078" ht="15.75" customHeight="1"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12"/>
      <c r="AI2078" s="12"/>
      <c r="AJ2078" s="12"/>
      <c r="AK2078" s="12"/>
      <c r="AL2078" s="12"/>
      <c r="AM2078" s="12"/>
      <c r="AN2078" s="12"/>
      <c r="AO2078" s="12"/>
      <c r="AP2078" s="13"/>
      <c r="AQ2078" s="13"/>
      <c r="AR2078" s="13"/>
      <c r="AS2078" s="13"/>
      <c r="AT2078" s="12"/>
      <c r="AU2078" s="12"/>
      <c r="AV2078" s="14"/>
      <c r="AW2078" s="15"/>
      <c r="AX2078" s="15"/>
    </row>
    <row r="2079" ht="15.75" customHeight="1"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2"/>
      <c r="AI2079" s="12"/>
      <c r="AJ2079" s="12"/>
      <c r="AK2079" s="12"/>
      <c r="AL2079" s="12"/>
      <c r="AM2079" s="12"/>
      <c r="AN2079" s="12"/>
      <c r="AO2079" s="12"/>
      <c r="AP2079" s="13"/>
      <c r="AQ2079" s="13"/>
      <c r="AR2079" s="13"/>
      <c r="AS2079" s="13"/>
      <c r="AT2079" s="12"/>
      <c r="AU2079" s="12"/>
      <c r="AV2079" s="14"/>
      <c r="AW2079" s="15"/>
      <c r="AX2079" s="15"/>
    </row>
    <row r="2080" ht="15.75" customHeight="1"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  <c r="AG2080" s="12"/>
      <c r="AH2080" s="12"/>
      <c r="AI2080" s="12"/>
      <c r="AJ2080" s="12"/>
      <c r="AK2080" s="12"/>
      <c r="AL2080" s="12"/>
      <c r="AM2080" s="12"/>
      <c r="AN2080" s="12"/>
      <c r="AO2080" s="12"/>
      <c r="AP2080" s="13"/>
      <c r="AQ2080" s="13"/>
      <c r="AR2080" s="13"/>
      <c r="AS2080" s="13"/>
      <c r="AT2080" s="12"/>
      <c r="AU2080" s="12"/>
      <c r="AV2080" s="14"/>
      <c r="AW2080" s="15"/>
      <c r="AX2080" s="15"/>
    </row>
    <row r="2081" ht="15.75" customHeight="1"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2"/>
      <c r="AI2081" s="12"/>
      <c r="AJ2081" s="12"/>
      <c r="AK2081" s="12"/>
      <c r="AL2081" s="12"/>
      <c r="AM2081" s="12"/>
      <c r="AN2081" s="12"/>
      <c r="AO2081" s="12"/>
      <c r="AP2081" s="13"/>
      <c r="AQ2081" s="13"/>
      <c r="AR2081" s="13"/>
      <c r="AS2081" s="13"/>
      <c r="AT2081" s="12"/>
      <c r="AU2081" s="12"/>
      <c r="AV2081" s="14"/>
      <c r="AW2081" s="15"/>
      <c r="AX2081" s="15"/>
    </row>
    <row r="2082" ht="15.75" customHeight="1"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12"/>
      <c r="AP2082" s="13"/>
      <c r="AQ2082" s="13"/>
      <c r="AR2082" s="13"/>
      <c r="AS2082" s="13"/>
      <c r="AT2082" s="12"/>
      <c r="AU2082" s="12"/>
      <c r="AV2082" s="14"/>
      <c r="AW2082" s="15"/>
      <c r="AX2082" s="15"/>
    </row>
    <row r="2083" ht="15.75" customHeight="1"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  <c r="AG2083" s="12"/>
      <c r="AH2083" s="12"/>
      <c r="AI2083" s="12"/>
      <c r="AJ2083" s="12"/>
      <c r="AK2083" s="12"/>
      <c r="AL2083" s="12"/>
      <c r="AM2083" s="12"/>
      <c r="AN2083" s="12"/>
      <c r="AO2083" s="12"/>
      <c r="AP2083" s="13"/>
      <c r="AQ2083" s="13"/>
      <c r="AR2083" s="13"/>
      <c r="AS2083" s="13"/>
      <c r="AT2083" s="12"/>
      <c r="AU2083" s="12"/>
      <c r="AV2083" s="14"/>
      <c r="AW2083" s="15"/>
      <c r="AX2083" s="15"/>
    </row>
    <row r="2084" ht="15.75" customHeight="1"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12"/>
      <c r="AI2084" s="12"/>
      <c r="AJ2084" s="12"/>
      <c r="AK2084" s="12"/>
      <c r="AL2084" s="12"/>
      <c r="AM2084" s="12"/>
      <c r="AN2084" s="12"/>
      <c r="AO2084" s="12"/>
      <c r="AP2084" s="13"/>
      <c r="AQ2084" s="13"/>
      <c r="AR2084" s="13"/>
      <c r="AS2084" s="13"/>
      <c r="AT2084" s="12"/>
      <c r="AU2084" s="12"/>
      <c r="AV2084" s="14"/>
      <c r="AW2084" s="15"/>
      <c r="AX2084" s="15"/>
    </row>
    <row r="2085" ht="15.75" customHeight="1"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12"/>
      <c r="AI2085" s="12"/>
      <c r="AJ2085" s="12"/>
      <c r="AK2085" s="12"/>
      <c r="AL2085" s="12"/>
      <c r="AM2085" s="12"/>
      <c r="AN2085" s="12"/>
      <c r="AO2085" s="12"/>
      <c r="AP2085" s="13"/>
      <c r="AQ2085" s="13"/>
      <c r="AR2085" s="13"/>
      <c r="AS2085" s="13"/>
      <c r="AT2085" s="12"/>
      <c r="AU2085" s="12"/>
      <c r="AV2085" s="14"/>
      <c r="AW2085" s="15"/>
      <c r="AX2085" s="15"/>
    </row>
    <row r="2086" ht="15.75" customHeight="1"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  <c r="AG2086" s="12"/>
      <c r="AH2086" s="12"/>
      <c r="AI2086" s="12"/>
      <c r="AJ2086" s="12"/>
      <c r="AK2086" s="12"/>
      <c r="AL2086" s="12"/>
      <c r="AM2086" s="12"/>
      <c r="AN2086" s="12"/>
      <c r="AO2086" s="12"/>
      <c r="AP2086" s="13"/>
      <c r="AQ2086" s="13"/>
      <c r="AR2086" s="13"/>
      <c r="AS2086" s="13"/>
      <c r="AT2086" s="12"/>
      <c r="AU2086" s="12"/>
      <c r="AV2086" s="14"/>
      <c r="AW2086" s="15"/>
      <c r="AX2086" s="15"/>
    </row>
    <row r="2087" ht="15.75" customHeight="1"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2"/>
      <c r="AI2087" s="12"/>
      <c r="AJ2087" s="12"/>
      <c r="AK2087" s="12"/>
      <c r="AL2087" s="12"/>
      <c r="AM2087" s="12"/>
      <c r="AN2087" s="12"/>
      <c r="AO2087" s="12"/>
      <c r="AP2087" s="13"/>
      <c r="AQ2087" s="13"/>
      <c r="AR2087" s="13"/>
      <c r="AS2087" s="13"/>
      <c r="AT2087" s="12"/>
      <c r="AU2087" s="12"/>
      <c r="AV2087" s="14"/>
      <c r="AW2087" s="15"/>
      <c r="AX2087" s="15"/>
    </row>
    <row r="2088" ht="15.75" customHeight="1"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  <c r="AB2088" s="12"/>
      <c r="AC2088" s="12"/>
      <c r="AD2088" s="12"/>
      <c r="AE2088" s="12"/>
      <c r="AF2088" s="12"/>
      <c r="AG2088" s="12"/>
      <c r="AH2088" s="12"/>
      <c r="AI2088" s="12"/>
      <c r="AJ2088" s="12"/>
      <c r="AK2088" s="12"/>
      <c r="AL2088" s="12"/>
      <c r="AM2088" s="12"/>
      <c r="AN2088" s="12"/>
      <c r="AO2088" s="12"/>
      <c r="AP2088" s="13"/>
      <c r="AQ2088" s="13"/>
      <c r="AR2088" s="13"/>
      <c r="AS2088" s="13"/>
      <c r="AT2088" s="12"/>
      <c r="AU2088" s="12"/>
      <c r="AV2088" s="14"/>
      <c r="AW2088" s="15"/>
      <c r="AX2088" s="15"/>
    </row>
    <row r="2089" ht="15.75" customHeight="1"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  <c r="AG2089" s="12"/>
      <c r="AH2089" s="12"/>
      <c r="AI2089" s="12"/>
      <c r="AJ2089" s="12"/>
      <c r="AK2089" s="12"/>
      <c r="AL2089" s="12"/>
      <c r="AM2089" s="12"/>
      <c r="AN2089" s="12"/>
      <c r="AO2089" s="12"/>
      <c r="AP2089" s="13"/>
      <c r="AQ2089" s="13"/>
      <c r="AR2089" s="13"/>
      <c r="AS2089" s="13"/>
      <c r="AT2089" s="12"/>
      <c r="AU2089" s="12"/>
      <c r="AV2089" s="14"/>
      <c r="AW2089" s="15"/>
      <c r="AX2089" s="15"/>
    </row>
    <row r="2090" ht="15.75" customHeight="1"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  <c r="AG2090" s="12"/>
      <c r="AH2090" s="12"/>
      <c r="AI2090" s="12"/>
      <c r="AJ2090" s="12"/>
      <c r="AK2090" s="12"/>
      <c r="AL2090" s="12"/>
      <c r="AM2090" s="12"/>
      <c r="AN2090" s="12"/>
      <c r="AO2090" s="12"/>
      <c r="AP2090" s="13"/>
      <c r="AQ2090" s="13"/>
      <c r="AR2090" s="13"/>
      <c r="AS2090" s="13"/>
      <c r="AT2090" s="12"/>
      <c r="AU2090" s="12"/>
      <c r="AV2090" s="14"/>
      <c r="AW2090" s="15"/>
      <c r="AX2090" s="15"/>
    </row>
    <row r="2091" ht="15.75" customHeight="1"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12"/>
      <c r="AI2091" s="12"/>
      <c r="AJ2091" s="12"/>
      <c r="AK2091" s="12"/>
      <c r="AL2091" s="12"/>
      <c r="AM2091" s="12"/>
      <c r="AN2091" s="12"/>
      <c r="AO2091" s="12"/>
      <c r="AP2091" s="13"/>
      <c r="AQ2091" s="13"/>
      <c r="AR2091" s="13"/>
      <c r="AS2091" s="13"/>
      <c r="AT2091" s="12"/>
      <c r="AU2091" s="12"/>
      <c r="AV2091" s="14"/>
      <c r="AW2091" s="15"/>
      <c r="AX2091" s="15"/>
    </row>
    <row r="2092" ht="15.75" customHeight="1"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  <c r="AG2092" s="12"/>
      <c r="AH2092" s="12"/>
      <c r="AI2092" s="12"/>
      <c r="AJ2092" s="12"/>
      <c r="AK2092" s="12"/>
      <c r="AL2092" s="12"/>
      <c r="AM2092" s="12"/>
      <c r="AN2092" s="12"/>
      <c r="AO2092" s="12"/>
      <c r="AP2092" s="13"/>
      <c r="AQ2092" s="13"/>
      <c r="AR2092" s="13"/>
      <c r="AS2092" s="13"/>
      <c r="AT2092" s="12"/>
      <c r="AU2092" s="12"/>
      <c r="AV2092" s="14"/>
      <c r="AW2092" s="15"/>
      <c r="AX2092" s="15"/>
    </row>
    <row r="2093" ht="15.75" customHeight="1"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12"/>
      <c r="AI2093" s="12"/>
      <c r="AJ2093" s="12"/>
      <c r="AK2093" s="12"/>
      <c r="AL2093" s="12"/>
      <c r="AM2093" s="12"/>
      <c r="AN2093" s="12"/>
      <c r="AO2093" s="12"/>
      <c r="AP2093" s="13"/>
      <c r="AQ2093" s="13"/>
      <c r="AR2093" s="13"/>
      <c r="AS2093" s="13"/>
      <c r="AT2093" s="12"/>
      <c r="AU2093" s="12"/>
      <c r="AV2093" s="14"/>
      <c r="AW2093" s="15"/>
      <c r="AX2093" s="15"/>
    </row>
    <row r="2094" ht="15.75" customHeight="1"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  <c r="AG2094" s="12"/>
      <c r="AH2094" s="12"/>
      <c r="AI2094" s="12"/>
      <c r="AJ2094" s="12"/>
      <c r="AK2094" s="12"/>
      <c r="AL2094" s="12"/>
      <c r="AM2094" s="12"/>
      <c r="AN2094" s="12"/>
      <c r="AO2094" s="12"/>
      <c r="AP2094" s="13"/>
      <c r="AQ2094" s="13"/>
      <c r="AR2094" s="13"/>
      <c r="AS2094" s="13"/>
      <c r="AT2094" s="12"/>
      <c r="AU2094" s="12"/>
      <c r="AV2094" s="14"/>
      <c r="AW2094" s="15"/>
      <c r="AX2094" s="15"/>
    </row>
    <row r="2095" ht="15.75" customHeight="1"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  <c r="AG2095" s="12"/>
      <c r="AH2095" s="12"/>
      <c r="AI2095" s="12"/>
      <c r="AJ2095" s="12"/>
      <c r="AK2095" s="12"/>
      <c r="AL2095" s="12"/>
      <c r="AM2095" s="12"/>
      <c r="AN2095" s="12"/>
      <c r="AO2095" s="12"/>
      <c r="AP2095" s="13"/>
      <c r="AQ2095" s="13"/>
      <c r="AR2095" s="13"/>
      <c r="AS2095" s="13"/>
      <c r="AT2095" s="12"/>
      <c r="AU2095" s="12"/>
      <c r="AV2095" s="14"/>
      <c r="AW2095" s="15"/>
      <c r="AX2095" s="15"/>
    </row>
    <row r="2096" ht="15.75" customHeight="1"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  <c r="AB2096" s="12"/>
      <c r="AC2096" s="12"/>
      <c r="AD2096" s="12"/>
      <c r="AE2096" s="12"/>
      <c r="AF2096" s="12"/>
      <c r="AG2096" s="12"/>
      <c r="AH2096" s="12"/>
      <c r="AI2096" s="12"/>
      <c r="AJ2096" s="12"/>
      <c r="AK2096" s="12"/>
      <c r="AL2096" s="12"/>
      <c r="AM2096" s="12"/>
      <c r="AN2096" s="12"/>
      <c r="AO2096" s="12"/>
      <c r="AP2096" s="13"/>
      <c r="AQ2096" s="13"/>
      <c r="AR2096" s="13"/>
      <c r="AS2096" s="13"/>
      <c r="AT2096" s="12"/>
      <c r="AU2096" s="12"/>
      <c r="AV2096" s="14"/>
      <c r="AW2096" s="15"/>
      <c r="AX2096" s="15"/>
    </row>
    <row r="2097" ht="15.75" customHeight="1"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  <c r="AB2097" s="12"/>
      <c r="AC2097" s="12"/>
      <c r="AD2097" s="12"/>
      <c r="AE2097" s="12"/>
      <c r="AF2097" s="12"/>
      <c r="AG2097" s="12"/>
      <c r="AH2097" s="12"/>
      <c r="AI2097" s="12"/>
      <c r="AJ2097" s="12"/>
      <c r="AK2097" s="12"/>
      <c r="AL2097" s="12"/>
      <c r="AM2097" s="12"/>
      <c r="AN2097" s="12"/>
      <c r="AO2097" s="12"/>
      <c r="AP2097" s="13"/>
      <c r="AQ2097" s="13"/>
      <c r="AR2097" s="13"/>
      <c r="AS2097" s="13"/>
      <c r="AT2097" s="12"/>
      <c r="AU2097" s="12"/>
      <c r="AV2097" s="14"/>
      <c r="AW2097" s="15"/>
      <c r="AX2097" s="15"/>
    </row>
    <row r="2098" ht="15.75" customHeight="1"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2"/>
      <c r="AB2098" s="12"/>
      <c r="AC2098" s="12"/>
      <c r="AD2098" s="12"/>
      <c r="AE2098" s="12"/>
      <c r="AF2098" s="12"/>
      <c r="AG2098" s="12"/>
      <c r="AH2098" s="12"/>
      <c r="AI2098" s="12"/>
      <c r="AJ2098" s="12"/>
      <c r="AK2098" s="12"/>
      <c r="AL2098" s="12"/>
      <c r="AM2098" s="12"/>
      <c r="AN2098" s="12"/>
      <c r="AO2098" s="12"/>
      <c r="AP2098" s="13"/>
      <c r="AQ2098" s="13"/>
      <c r="AR2098" s="13"/>
      <c r="AS2098" s="13"/>
      <c r="AT2098" s="12"/>
      <c r="AU2098" s="12"/>
      <c r="AV2098" s="14"/>
      <c r="AW2098" s="15"/>
      <c r="AX2098" s="15"/>
    </row>
    <row r="2099" ht="15.75" customHeight="1"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2"/>
      <c r="AE2099" s="12"/>
      <c r="AF2099" s="12"/>
      <c r="AG2099" s="12"/>
      <c r="AH2099" s="12"/>
      <c r="AI2099" s="12"/>
      <c r="AJ2099" s="12"/>
      <c r="AK2099" s="12"/>
      <c r="AL2099" s="12"/>
      <c r="AM2099" s="12"/>
      <c r="AN2099" s="12"/>
      <c r="AO2099" s="12"/>
      <c r="AP2099" s="13"/>
      <c r="AQ2099" s="13"/>
      <c r="AR2099" s="13"/>
      <c r="AS2099" s="13"/>
      <c r="AT2099" s="12"/>
      <c r="AU2099" s="12"/>
      <c r="AV2099" s="14"/>
      <c r="AW2099" s="15"/>
      <c r="AX2099" s="15"/>
    </row>
    <row r="2100" ht="15.75" customHeight="1"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2"/>
      <c r="AB2100" s="12"/>
      <c r="AC2100" s="12"/>
      <c r="AD2100" s="12"/>
      <c r="AE2100" s="12"/>
      <c r="AF2100" s="12"/>
      <c r="AG2100" s="12"/>
      <c r="AH2100" s="12"/>
      <c r="AI2100" s="12"/>
      <c r="AJ2100" s="12"/>
      <c r="AK2100" s="12"/>
      <c r="AL2100" s="12"/>
      <c r="AM2100" s="12"/>
      <c r="AN2100" s="12"/>
      <c r="AO2100" s="12"/>
      <c r="AP2100" s="13"/>
      <c r="AQ2100" s="13"/>
      <c r="AR2100" s="13"/>
      <c r="AS2100" s="13"/>
      <c r="AT2100" s="12"/>
      <c r="AU2100" s="12"/>
      <c r="AV2100" s="14"/>
      <c r="AW2100" s="15"/>
      <c r="AX2100" s="15"/>
    </row>
    <row r="2101" ht="15.75" customHeight="1"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2"/>
      <c r="AE2101" s="12"/>
      <c r="AF2101" s="12"/>
      <c r="AG2101" s="12"/>
      <c r="AH2101" s="12"/>
      <c r="AI2101" s="12"/>
      <c r="AJ2101" s="12"/>
      <c r="AK2101" s="12"/>
      <c r="AL2101" s="12"/>
      <c r="AM2101" s="12"/>
      <c r="AN2101" s="12"/>
      <c r="AO2101" s="12"/>
      <c r="AP2101" s="13"/>
      <c r="AQ2101" s="13"/>
      <c r="AR2101" s="13"/>
      <c r="AS2101" s="13"/>
      <c r="AT2101" s="12"/>
      <c r="AU2101" s="12"/>
      <c r="AV2101" s="14"/>
      <c r="AW2101" s="15"/>
      <c r="AX2101" s="15"/>
    </row>
    <row r="2102" ht="15.75" customHeight="1"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2"/>
      <c r="AE2102" s="12"/>
      <c r="AF2102" s="12"/>
      <c r="AG2102" s="12"/>
      <c r="AH2102" s="12"/>
      <c r="AI2102" s="12"/>
      <c r="AJ2102" s="12"/>
      <c r="AK2102" s="12"/>
      <c r="AL2102" s="12"/>
      <c r="AM2102" s="12"/>
      <c r="AN2102" s="12"/>
      <c r="AO2102" s="12"/>
      <c r="AP2102" s="13"/>
      <c r="AQ2102" s="13"/>
      <c r="AR2102" s="13"/>
      <c r="AS2102" s="13"/>
      <c r="AT2102" s="12"/>
      <c r="AU2102" s="12"/>
      <c r="AV2102" s="14"/>
      <c r="AW2102" s="15"/>
      <c r="AX2102" s="15"/>
    </row>
    <row r="2103" ht="15.75" customHeight="1"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2"/>
      <c r="AE2103" s="12"/>
      <c r="AF2103" s="12"/>
      <c r="AG2103" s="12"/>
      <c r="AH2103" s="12"/>
      <c r="AI2103" s="12"/>
      <c r="AJ2103" s="12"/>
      <c r="AK2103" s="12"/>
      <c r="AL2103" s="12"/>
      <c r="AM2103" s="12"/>
      <c r="AN2103" s="12"/>
      <c r="AO2103" s="12"/>
      <c r="AP2103" s="13"/>
      <c r="AQ2103" s="13"/>
      <c r="AR2103" s="13"/>
      <c r="AS2103" s="13"/>
      <c r="AT2103" s="12"/>
      <c r="AU2103" s="12"/>
      <c r="AV2103" s="14"/>
      <c r="AW2103" s="15"/>
      <c r="AX2103" s="15"/>
    </row>
    <row r="2104" ht="15.75" customHeight="1"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2"/>
      <c r="AB2104" s="12"/>
      <c r="AC2104" s="12"/>
      <c r="AD2104" s="12"/>
      <c r="AE2104" s="12"/>
      <c r="AF2104" s="12"/>
      <c r="AG2104" s="12"/>
      <c r="AH2104" s="12"/>
      <c r="AI2104" s="12"/>
      <c r="AJ2104" s="12"/>
      <c r="AK2104" s="12"/>
      <c r="AL2104" s="12"/>
      <c r="AM2104" s="12"/>
      <c r="AN2104" s="12"/>
      <c r="AO2104" s="12"/>
      <c r="AP2104" s="13"/>
      <c r="AQ2104" s="13"/>
      <c r="AR2104" s="13"/>
      <c r="AS2104" s="13"/>
      <c r="AT2104" s="12"/>
      <c r="AU2104" s="12"/>
      <c r="AV2104" s="14"/>
      <c r="AW2104" s="15"/>
      <c r="AX2104" s="15"/>
    </row>
    <row r="2105" ht="15.75" customHeight="1"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2"/>
      <c r="AE2105" s="12"/>
      <c r="AF2105" s="12"/>
      <c r="AG2105" s="12"/>
      <c r="AH2105" s="12"/>
      <c r="AI2105" s="12"/>
      <c r="AJ2105" s="12"/>
      <c r="AK2105" s="12"/>
      <c r="AL2105" s="12"/>
      <c r="AM2105" s="12"/>
      <c r="AN2105" s="12"/>
      <c r="AO2105" s="12"/>
      <c r="AP2105" s="13"/>
      <c r="AQ2105" s="13"/>
      <c r="AR2105" s="13"/>
      <c r="AS2105" s="13"/>
      <c r="AT2105" s="12"/>
      <c r="AU2105" s="12"/>
      <c r="AV2105" s="14"/>
      <c r="AW2105" s="15"/>
      <c r="AX2105" s="15"/>
    </row>
  </sheetData>
  <conditionalFormatting sqref="L1:AS2105">
    <cfRule type="cellIs" dxfId="0" priority="1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7"/>
      <c r="B1" s="7"/>
      <c r="C1" s="7"/>
      <c r="D1" s="8"/>
      <c r="E1" s="7"/>
      <c r="F1" s="8"/>
      <c r="G1" s="8"/>
      <c r="H1" s="8"/>
      <c r="K1" s="8"/>
      <c r="M1" s="24" t="s">
        <v>321</v>
      </c>
      <c r="N1" s="24" t="s">
        <v>322</v>
      </c>
      <c r="O1" s="24" t="s">
        <v>323</v>
      </c>
      <c r="P1" s="24" t="s">
        <v>324</v>
      </c>
      <c r="Q1" s="24" t="s">
        <v>325</v>
      </c>
      <c r="R1" s="24" t="s">
        <v>326</v>
      </c>
      <c r="S1" s="24" t="s">
        <v>327</v>
      </c>
      <c r="T1" s="24" t="s">
        <v>328</v>
      </c>
      <c r="U1" s="24" t="s">
        <v>329</v>
      </c>
      <c r="V1" s="24" t="s">
        <v>330</v>
      </c>
      <c r="W1" s="24" t="s">
        <v>331</v>
      </c>
      <c r="X1" s="24" t="s">
        <v>332</v>
      </c>
      <c r="Y1" s="24" t="s">
        <v>333</v>
      </c>
      <c r="Z1" s="24" t="s">
        <v>334</v>
      </c>
      <c r="AA1" s="24" t="s">
        <v>335</v>
      </c>
      <c r="AB1" s="24" t="s">
        <v>336</v>
      </c>
      <c r="AC1" s="24" t="s">
        <v>337</v>
      </c>
      <c r="AD1" s="24" t="s">
        <v>338</v>
      </c>
      <c r="AE1" s="24" t="s">
        <v>339</v>
      </c>
      <c r="AF1" s="24" t="s">
        <v>340</v>
      </c>
      <c r="AG1" s="24" t="s">
        <v>341</v>
      </c>
      <c r="AH1" s="24" t="s">
        <v>342</v>
      </c>
      <c r="AI1" s="25" t="s">
        <v>343</v>
      </c>
    </row>
  </sheetData>
  <drawing r:id="rId1"/>
</worksheet>
</file>